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EB8155D6-C2F1-4944-A72D-E8A69C7EAB64}" xr6:coauthVersionLast="47" xr6:coauthVersionMax="47" xr10:uidLastSave="{00000000-0000-0000-0000-000000000000}"/>
  <bookViews>
    <workbookView xWindow="0" yWindow="1280" windowWidth="1990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19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Infopedia!$C$3:$L$31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18" l="1"/>
  <c r="AW7" i="18"/>
  <c r="AX7" i="18" a="1"/>
  <c r="AX7" i="18" s="1"/>
  <c r="AY7" i="18" a="1"/>
  <c r="AY7" i="18" s="1"/>
  <c r="AZ7" i="18"/>
  <c r="BA7" i="18"/>
  <c r="BB7" i="18"/>
  <c r="BC7" i="18"/>
  <c r="AW8" i="18"/>
  <c r="AX8" i="18" a="1"/>
  <c r="AX8" i="18" s="1"/>
  <c r="AY8" i="18" a="1"/>
  <c r="AY8" i="18" s="1"/>
  <c r="AZ8" i="18"/>
  <c r="BA8" i="18"/>
  <c r="BB8" i="18"/>
  <c r="BC8" i="18"/>
  <c r="AW9" i="18"/>
  <c r="AX9" i="18" a="1"/>
  <c r="AX9" i="18" s="1"/>
  <c r="AY9" i="18" a="1"/>
  <c r="AY9" i="18" s="1"/>
  <c r="AZ9" i="18"/>
  <c r="BA9" i="18"/>
  <c r="BB9" i="18"/>
  <c r="BC9" i="18"/>
  <c r="AW10" i="18"/>
  <c r="AX10" i="18" a="1"/>
  <c r="AX10" i="18" s="1"/>
  <c r="AY10" i="18" a="1"/>
  <c r="AY10" i="18" s="1"/>
  <c r="AZ10" i="18"/>
  <c r="BA10" i="18"/>
  <c r="BB10" i="18"/>
  <c r="BC10" i="18"/>
  <c r="AW11" i="18"/>
  <c r="AX11" i="18" a="1"/>
  <c r="AX11" i="18" s="1"/>
  <c r="AY11" i="18" a="1"/>
  <c r="AY11" i="18" s="1"/>
  <c r="AZ11" i="18"/>
  <c r="BA11" i="18"/>
  <c r="BB11" i="18"/>
  <c r="BC11" i="18"/>
  <c r="AW12" i="18"/>
  <c r="AX12" i="18" a="1"/>
  <c r="AX12" i="18" s="1"/>
  <c r="AY12" i="18" a="1"/>
  <c r="AY12" i="18" s="1"/>
  <c r="AZ12" i="18"/>
  <c r="BA12" i="18"/>
  <c r="BB12" i="18"/>
  <c r="BC12" i="18"/>
  <c r="AW13" i="18"/>
  <c r="AX13" i="18" a="1"/>
  <c r="AX13" i="18" s="1"/>
  <c r="AY13" i="18" a="1"/>
  <c r="AY13" i="18"/>
  <c r="AZ13" i="18"/>
  <c r="BA13" i="18"/>
  <c r="BB13" i="18"/>
  <c r="BC13" i="18"/>
  <c r="AW14" i="18"/>
  <c r="AX14" i="18" a="1"/>
  <c r="AX14" i="18" s="1"/>
  <c r="AY14" i="18" a="1"/>
  <c r="AY14" i="18"/>
  <c r="AZ14" i="18"/>
  <c r="BA14" i="18"/>
  <c r="BB14" i="18"/>
  <c r="BC14" i="18"/>
  <c r="AW15" i="18"/>
  <c r="AX15" i="18" a="1"/>
  <c r="AX15" i="18" s="1"/>
  <c r="AY15" i="18" a="1"/>
  <c r="AY15" i="18" s="1"/>
  <c r="AZ15" i="18"/>
  <c r="BA15" i="18"/>
  <c r="BB15" i="18"/>
  <c r="BC15" i="18"/>
  <c r="AW16" i="18"/>
  <c r="AX16" i="18" a="1"/>
  <c r="AX16" i="18"/>
  <c r="AY16" i="18" a="1"/>
  <c r="AY16" i="18" s="1"/>
  <c r="AZ16" i="18"/>
  <c r="BA16" i="18"/>
  <c r="BB16" i="18"/>
  <c r="BC16" i="18"/>
  <c r="AW17" i="18"/>
  <c r="AX17" i="18" a="1"/>
  <c r="AX17" i="18"/>
  <c r="AY17" i="18" a="1"/>
  <c r="AY17" i="18" s="1"/>
  <c r="AZ17" i="18"/>
  <c r="BA17" i="18"/>
  <c r="BB17" i="18"/>
  <c r="BC17" i="18"/>
  <c r="AW18" i="18"/>
  <c r="AX18" i="18" a="1"/>
  <c r="AX18" i="18" s="1"/>
  <c r="AY18" i="18" a="1"/>
  <c r="AY18" i="18" s="1"/>
  <c r="AZ18" i="18"/>
  <c r="BA18" i="18"/>
  <c r="BB18" i="18"/>
  <c r="BC18" i="18"/>
  <c r="AW19" i="18"/>
  <c r="AX19" i="18" a="1"/>
  <c r="AX19" i="18" s="1"/>
  <c r="AY19" i="18" a="1"/>
  <c r="AY19" i="18" s="1"/>
  <c r="AZ19" i="18"/>
  <c r="BA19" i="18"/>
  <c r="BB19" i="18"/>
  <c r="BC19" i="18"/>
  <c r="AW20" i="18"/>
  <c r="AX20" i="18" a="1"/>
  <c r="AX20" i="18" s="1"/>
  <c r="AY20" i="18" a="1"/>
  <c r="AY20" i="18" s="1"/>
  <c r="AZ20" i="18"/>
  <c r="BA20" i="18"/>
  <c r="BB20" i="18"/>
  <c r="BC20" i="18"/>
  <c r="AW21" i="18"/>
  <c r="AX21" i="18" a="1"/>
  <c r="AX21" i="18" s="1"/>
  <c r="AY21" i="18" a="1"/>
  <c r="AY21" i="18" s="1"/>
  <c r="AZ21" i="18"/>
  <c r="BA21" i="18"/>
  <c r="BB21" i="18"/>
  <c r="BC21" i="18"/>
  <c r="AW22" i="18"/>
  <c r="AX22" i="18" a="1"/>
  <c r="AX22" i="18" s="1"/>
  <c r="AY22" i="18" a="1"/>
  <c r="AY22" i="18" s="1"/>
  <c r="AZ22" i="18"/>
  <c r="BA22" i="18"/>
  <c r="BB22" i="18"/>
  <c r="BC22" i="18"/>
  <c r="AW23" i="18"/>
  <c r="AX23" i="18" a="1"/>
  <c r="AX23" i="18" s="1"/>
  <c r="AY23" i="18" a="1"/>
  <c r="AY23" i="18" s="1"/>
  <c r="AZ23" i="18"/>
  <c r="BA23" i="18"/>
  <c r="BB23" i="18"/>
  <c r="BC23" i="18"/>
  <c r="AW24" i="18"/>
  <c r="AX24" i="18" a="1"/>
  <c r="AX24" i="18" s="1"/>
  <c r="AY24" i="18" a="1"/>
  <c r="AY24" i="18" s="1"/>
  <c r="AZ24" i="18"/>
  <c r="BA24" i="18"/>
  <c r="BB24" i="18"/>
  <c r="BC24" i="18"/>
  <c r="AW25" i="18"/>
  <c r="AX25" i="18" a="1"/>
  <c r="AX25" i="18" s="1"/>
  <c r="AY25" i="18" a="1"/>
  <c r="AY25" i="18"/>
  <c r="AZ25" i="18"/>
  <c r="BA25" i="18"/>
  <c r="BB25" i="18"/>
  <c r="BC25" i="18"/>
  <c r="AW26" i="18"/>
  <c r="AX26" i="18" a="1"/>
  <c r="AX26" i="18" s="1"/>
  <c r="AY26" i="18" a="1"/>
  <c r="AY26" i="18"/>
  <c r="AZ26" i="18"/>
  <c r="BA26" i="18"/>
  <c r="BB26" i="18"/>
  <c r="BC26" i="18"/>
  <c r="AW27" i="18"/>
  <c r="AX27" i="18" a="1"/>
  <c r="AX27" i="18"/>
  <c r="AY27" i="18" a="1"/>
  <c r="AY27" i="18" s="1"/>
  <c r="AZ27" i="18"/>
  <c r="BA27" i="18"/>
  <c r="BB27" i="18"/>
  <c r="BC27" i="18"/>
  <c r="AW28" i="18"/>
  <c r="AX28" i="18" a="1"/>
  <c r="AX28" i="18"/>
  <c r="AY28" i="18" a="1"/>
  <c r="AY28" i="18" s="1"/>
  <c r="AZ28" i="18"/>
  <c r="BA28" i="18"/>
  <c r="BB28" i="18"/>
  <c r="BC28" i="18"/>
  <c r="AW29" i="18"/>
  <c r="AX29" i="18" a="1"/>
  <c r="AX29" i="18" s="1"/>
  <c r="AY29" i="18" a="1"/>
  <c r="AY29" i="18"/>
  <c r="AZ29" i="18"/>
  <c r="BA29" i="18"/>
  <c r="BB29" i="18"/>
  <c r="BC29" i="18"/>
  <c r="AW30" i="18"/>
  <c r="AX30" i="18" a="1"/>
  <c r="AX30" i="18" s="1"/>
  <c r="AY30" i="18" a="1"/>
  <c r="AY30" i="18"/>
  <c r="AZ30" i="18"/>
  <c r="BA30" i="18"/>
  <c r="BB30" i="18"/>
  <c r="BC30" i="18"/>
  <c r="AW31" i="18"/>
  <c r="AX31" i="18" a="1"/>
  <c r="AX31" i="18"/>
  <c r="AY31" i="18" a="1"/>
  <c r="AY31" i="18" s="1"/>
  <c r="AZ31" i="18"/>
  <c r="BA31" i="18"/>
  <c r="BB31" i="18"/>
  <c r="BC31" i="18"/>
  <c r="AW32" i="18"/>
  <c r="AX32" i="18" a="1"/>
  <c r="AX32" i="18"/>
  <c r="AY32" i="18" a="1"/>
  <c r="AY32" i="18" s="1"/>
  <c r="AZ32" i="18"/>
  <c r="BA32" i="18"/>
  <c r="BB32" i="18"/>
  <c r="BC32" i="18"/>
  <c r="AW33" i="18"/>
  <c r="AX33" i="18" a="1"/>
  <c r="AX33" i="18"/>
  <c r="AY33" i="18" a="1"/>
  <c r="AY33" i="18" s="1"/>
  <c r="AZ33" i="18"/>
  <c r="BA33" i="18"/>
  <c r="BB33" i="18"/>
  <c r="BC33" i="18"/>
  <c r="AW34" i="18"/>
  <c r="AX34" i="18" a="1"/>
  <c r="AX34" i="18" s="1"/>
  <c r="AY34" i="18" a="1"/>
  <c r="AY34" i="18" s="1"/>
  <c r="AZ34" i="18"/>
  <c r="BA34" i="18"/>
  <c r="BB34" i="18"/>
  <c r="BC34" i="18"/>
  <c r="AW35" i="18"/>
  <c r="AX35" i="18" a="1"/>
  <c r="AX35" i="18"/>
  <c r="AY35" i="18" a="1"/>
  <c r="AY35" i="18" s="1"/>
  <c r="AZ35" i="18"/>
  <c r="BA35" i="18"/>
  <c r="BB35" i="18"/>
  <c r="BC35" i="18"/>
  <c r="AW36" i="18"/>
  <c r="AX36" i="18" a="1"/>
  <c r="AX36" i="18"/>
  <c r="AY36" i="18" a="1"/>
  <c r="AY36" i="18" s="1"/>
  <c r="AZ36" i="18"/>
  <c r="BA36" i="18"/>
  <c r="BB36" i="18"/>
  <c r="BC36" i="18"/>
  <c r="AW37" i="18"/>
  <c r="AX37" i="18" a="1"/>
  <c r="AX37" i="18" s="1"/>
  <c r="AY37" i="18" a="1"/>
  <c r="AY37" i="18" s="1"/>
  <c r="AZ37" i="18"/>
  <c r="BA37" i="18"/>
  <c r="BB37" i="18"/>
  <c r="BC37" i="18"/>
  <c r="AW38" i="18"/>
  <c r="AX38" i="18" a="1"/>
  <c r="AX38" i="18" s="1"/>
  <c r="AY38" i="18" a="1"/>
  <c r="AY38" i="18" s="1"/>
  <c r="AZ38" i="18"/>
  <c r="BA38" i="18"/>
  <c r="BB38" i="18"/>
  <c r="BC38" i="18"/>
  <c r="AW39" i="18"/>
  <c r="AX39" i="18" a="1"/>
  <c r="AX39" i="18"/>
  <c r="AY39" i="18" a="1"/>
  <c r="AY39" i="18" s="1"/>
  <c r="AZ39" i="18"/>
  <c r="BA39" i="18"/>
  <c r="BB39" i="18"/>
  <c r="BC39" i="18"/>
  <c r="AW40" i="18"/>
  <c r="AX40" i="18" a="1"/>
  <c r="AX40" i="18" s="1"/>
  <c r="AY40" i="18" a="1"/>
  <c r="AY40" i="18" s="1"/>
  <c r="AZ40" i="18"/>
  <c r="BA40" i="18"/>
  <c r="BB40" i="18"/>
  <c r="BC40" i="18"/>
  <c r="AW41" i="18"/>
  <c r="AX41" i="18" a="1"/>
  <c r="AX41" i="18"/>
  <c r="AY41" i="18" a="1"/>
  <c r="AY41" i="18" s="1"/>
  <c r="AZ41" i="18"/>
  <c r="BA41" i="18"/>
  <c r="BB41" i="18"/>
  <c r="BC41" i="18"/>
  <c r="AW42" i="18"/>
  <c r="AX42" i="18" a="1"/>
  <c r="AX42" i="18" s="1"/>
  <c r="AY42" i="18" a="1"/>
  <c r="AY42" i="18" s="1"/>
  <c r="AZ42" i="18"/>
  <c r="BA42" i="18"/>
  <c r="BB42" i="18"/>
  <c r="BC42" i="18"/>
  <c r="AW43" i="18"/>
  <c r="AX43" i="18" a="1"/>
  <c r="AX43" i="18" s="1"/>
  <c r="AY43" i="18" a="1"/>
  <c r="AY43" i="18" s="1"/>
  <c r="AZ43" i="18"/>
  <c r="BA43" i="18"/>
  <c r="BB43" i="18"/>
  <c r="BC43" i="18"/>
  <c r="AW44" i="18"/>
  <c r="AX44" i="18" a="1"/>
  <c r="AX44" i="18" s="1"/>
  <c r="AY44" i="18" a="1"/>
  <c r="AY44" i="18" s="1"/>
  <c r="AZ44" i="18"/>
  <c r="BA44" i="18"/>
  <c r="BB44" i="18"/>
  <c r="BC44" i="18"/>
  <c r="AW45" i="18"/>
  <c r="AX45" i="18" a="1"/>
  <c r="AX45" i="18" s="1"/>
  <c r="AY45" i="18" a="1"/>
  <c r="AY45" i="18" s="1"/>
  <c r="AZ45" i="18"/>
  <c r="BA45" i="18"/>
  <c r="BB45" i="18"/>
  <c r="BC45" i="18"/>
  <c r="BC6" i="18"/>
  <c r="BB6" i="18"/>
  <c r="BA6" i="18"/>
  <c r="AZ6" i="18"/>
  <c r="AY6" i="18" a="1"/>
  <c r="AY6" i="18" s="1"/>
  <c r="AX6" i="18" a="1"/>
  <c r="AX6" i="18" s="1"/>
  <c r="AW6" i="18"/>
  <c r="AV6" i="18"/>
  <c r="I54" i="18"/>
  <c r="J54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BE6" i="18" l="1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6" i="18"/>
  <c r="AV7" i="18"/>
  <c r="BI7" i="18" s="1"/>
  <c r="AV8" i="18"/>
  <c r="BI8" i="18" s="1"/>
  <c r="AV9" i="18"/>
  <c r="BI9" i="18" s="1"/>
  <c r="AV10" i="18"/>
  <c r="BI10" i="18" s="1"/>
  <c r="AV11" i="18"/>
  <c r="BI11" i="18" s="1"/>
  <c r="AV12" i="18"/>
  <c r="BI12" i="18" s="1"/>
  <c r="AV13" i="18"/>
  <c r="BI13" i="18" s="1"/>
  <c r="AV14" i="18"/>
  <c r="BI14" i="18" s="1"/>
  <c r="AV15" i="18"/>
  <c r="BI15" i="18" s="1"/>
  <c r="AV16" i="18"/>
  <c r="BI16" i="18" s="1"/>
  <c r="AV17" i="18"/>
  <c r="BI17" i="18" s="1"/>
  <c r="AV18" i="18"/>
  <c r="BI18" i="18" s="1"/>
  <c r="AV19" i="18"/>
  <c r="BI19" i="18" s="1"/>
  <c r="AV20" i="18"/>
  <c r="BI20" i="18" s="1"/>
  <c r="AV21" i="18"/>
  <c r="BI21" i="18" s="1"/>
  <c r="AV22" i="18"/>
  <c r="BI22" i="18" s="1"/>
  <c r="AV23" i="18"/>
  <c r="BI23" i="18" s="1"/>
  <c r="AV24" i="18"/>
  <c r="BI24" i="18" s="1"/>
  <c r="AV25" i="18"/>
  <c r="BI25" i="18" s="1"/>
  <c r="AV26" i="18"/>
  <c r="BI26" i="18" s="1"/>
  <c r="AV27" i="18"/>
  <c r="BI27" i="18" s="1"/>
  <c r="AV28" i="18"/>
  <c r="BI28" i="18" s="1"/>
  <c r="AV29" i="18"/>
  <c r="BI29" i="18" s="1"/>
  <c r="AV30" i="18"/>
  <c r="BI30" i="18" s="1"/>
  <c r="AV31" i="18"/>
  <c r="BI31" i="18" s="1"/>
  <c r="AV32" i="18"/>
  <c r="BI32" i="18" s="1"/>
  <c r="AV33" i="18"/>
  <c r="BI33" i="18" s="1"/>
  <c r="AV34" i="18"/>
  <c r="BI34" i="18" s="1"/>
  <c r="AV35" i="18"/>
  <c r="BI35" i="18" s="1"/>
  <c r="AV36" i="18"/>
  <c r="BI36" i="18" s="1"/>
  <c r="AV37" i="18"/>
  <c r="BI37" i="18" s="1"/>
  <c r="AV38" i="18"/>
  <c r="BI38" i="18" s="1"/>
  <c r="AV39" i="18"/>
  <c r="BI39" i="18" s="1"/>
  <c r="AV40" i="18"/>
  <c r="BI40" i="18" s="1"/>
  <c r="AV41" i="18"/>
  <c r="BI41" i="18" s="1"/>
  <c r="AV42" i="18"/>
  <c r="BI42" i="18" s="1"/>
  <c r="AV43" i="18"/>
  <c r="BI43" i="18" s="1"/>
  <c r="AV44" i="18"/>
  <c r="BI44" i="18" s="1"/>
  <c r="AV45" i="18"/>
  <c r="BI45" i="18" s="1"/>
  <c r="BI6" i="18"/>
  <c r="A4" i="22"/>
  <c r="D4" i="22" s="1"/>
  <c r="L4" i="22" l="1"/>
  <c r="K4" i="22"/>
  <c r="C4" i="22"/>
  <c r="H4" i="22"/>
  <c r="G4" i="22"/>
  <c r="J4" i="22"/>
  <c r="I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B38" i="22" l="1"/>
  <c r="AS7" i="18"/>
  <c r="AT7" i="18"/>
  <c r="AU7" i="18"/>
  <c r="AS8" i="18"/>
  <c r="AT8" i="18"/>
  <c r="AU8" i="18"/>
  <c r="AS9" i="18"/>
  <c r="AT9" i="18"/>
  <c r="AU9" i="18"/>
  <c r="AS10" i="18"/>
  <c r="AT10" i="18"/>
  <c r="AU10" i="18"/>
  <c r="AS11" i="18"/>
  <c r="AT11" i="18"/>
  <c r="AU11" i="18"/>
  <c r="AS12" i="18"/>
  <c r="AT12" i="18"/>
  <c r="AU12" i="18"/>
  <c r="AS13" i="18"/>
  <c r="AT13" i="18"/>
  <c r="AU13" i="18"/>
  <c r="AS14" i="18"/>
  <c r="AT14" i="18"/>
  <c r="AU14" i="18"/>
  <c r="AS15" i="18"/>
  <c r="AT15" i="18"/>
  <c r="AU15" i="18"/>
  <c r="AS16" i="18"/>
  <c r="AT16" i="18"/>
  <c r="AU16" i="18"/>
  <c r="AS17" i="18"/>
  <c r="AT17" i="18"/>
  <c r="AU17" i="18"/>
  <c r="AS18" i="18"/>
  <c r="AT18" i="18"/>
  <c r="AU18" i="18"/>
  <c r="AS19" i="18"/>
  <c r="AT19" i="18"/>
  <c r="AU19" i="18"/>
  <c r="AS20" i="18"/>
  <c r="AT20" i="18"/>
  <c r="AU20" i="18"/>
  <c r="AS21" i="18"/>
  <c r="AT21" i="18"/>
  <c r="AU21" i="18"/>
  <c r="AS22" i="18"/>
  <c r="AT22" i="18"/>
  <c r="AU22" i="18"/>
  <c r="AS23" i="18"/>
  <c r="AT23" i="18"/>
  <c r="AU23" i="18"/>
  <c r="AS24" i="18"/>
  <c r="AT24" i="18"/>
  <c r="AU24" i="18"/>
  <c r="AS25" i="18"/>
  <c r="AT25" i="18"/>
  <c r="AU25" i="18"/>
  <c r="AS26" i="18"/>
  <c r="AT26" i="18"/>
  <c r="AU26" i="18"/>
  <c r="AS27" i="18"/>
  <c r="AT27" i="18"/>
  <c r="AU27" i="18"/>
  <c r="AS28" i="18"/>
  <c r="AT28" i="18"/>
  <c r="AU28" i="18"/>
  <c r="AS29" i="18"/>
  <c r="AT29" i="18"/>
  <c r="AU29" i="18"/>
  <c r="AS30" i="18"/>
  <c r="AT30" i="18"/>
  <c r="AU30" i="18"/>
  <c r="AS31" i="18"/>
  <c r="AT31" i="18"/>
  <c r="AU31" i="18"/>
  <c r="AS32" i="18"/>
  <c r="AT32" i="18"/>
  <c r="AU32" i="18"/>
  <c r="AS33" i="18"/>
  <c r="AT33" i="18"/>
  <c r="AU33" i="18"/>
  <c r="AS34" i="18"/>
  <c r="AT34" i="18"/>
  <c r="AU34" i="18"/>
  <c r="AS35" i="18"/>
  <c r="AT35" i="18"/>
  <c r="AU35" i="18"/>
  <c r="AS36" i="18"/>
  <c r="AT36" i="18"/>
  <c r="AU36" i="18"/>
  <c r="AS37" i="18"/>
  <c r="AT37" i="18"/>
  <c r="AU37" i="18"/>
  <c r="AS38" i="18"/>
  <c r="AT38" i="18"/>
  <c r="AU38" i="18"/>
  <c r="AS39" i="18"/>
  <c r="AT39" i="18"/>
  <c r="AU39" i="18"/>
  <c r="AS40" i="18"/>
  <c r="AT40" i="18"/>
  <c r="AU40" i="18"/>
  <c r="AS41" i="18"/>
  <c r="AT41" i="18"/>
  <c r="AU41" i="18"/>
  <c r="AS42" i="18"/>
  <c r="AT42" i="18"/>
  <c r="AU42" i="18"/>
  <c r="AS43" i="18"/>
  <c r="AT43" i="18"/>
  <c r="AU43" i="18"/>
  <c r="AS44" i="18"/>
  <c r="AT44" i="18"/>
  <c r="AU44" i="18"/>
  <c r="AS45" i="18"/>
  <c r="AT45" i="18"/>
  <c r="AU45" i="18"/>
  <c r="AU6" i="18"/>
  <c r="AT6" i="18"/>
  <c r="AS6" i="18"/>
  <c r="J47" i="18" l="1"/>
  <c r="K47" i="18"/>
  <c r="L47" i="18"/>
  <c r="M47" i="18"/>
  <c r="N47" i="18"/>
  <c r="O47" i="18"/>
  <c r="P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J48" i="18"/>
  <c r="K48" i="18"/>
  <c r="L48" i="18"/>
  <c r="M48" i="18"/>
  <c r="N48" i="18"/>
  <c r="O48" i="18"/>
  <c r="P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J49" i="18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J50" i="18"/>
  <c r="K50" i="18"/>
  <c r="L50" i="18"/>
  <c r="M50" i="18"/>
  <c r="N50" i="18"/>
  <c r="O50" i="18"/>
  <c r="P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J51" i="18"/>
  <c r="K51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J52" i="18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J53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I53" i="18"/>
  <c r="I52" i="18"/>
  <c r="I51" i="18"/>
  <c r="I50" i="18"/>
  <c r="I49" i="18"/>
  <c r="I48" i="18"/>
  <c r="I47" i="18"/>
  <c r="BE45" i="18"/>
  <c r="BE44" i="18"/>
  <c r="BE43" i="18"/>
  <c r="BE41" i="18"/>
  <c r="BE40" i="18"/>
  <c r="BE38" i="18"/>
  <c r="BE36" i="18"/>
  <c r="BE35" i="18"/>
  <c r="BE33" i="18"/>
  <c r="BE30" i="18"/>
  <c r="BE29" i="18"/>
  <c r="BE28" i="18"/>
  <c r="BE27" i="18"/>
  <c r="BE25" i="18"/>
  <c r="BE22" i="18"/>
  <c r="BE21" i="18"/>
  <c r="BE20" i="18"/>
  <c r="BE19" i="18"/>
  <c r="BE17" i="18"/>
  <c r="BE14" i="18"/>
  <c r="BE13" i="18"/>
  <c r="BE12" i="18"/>
  <c r="BE11" i="18"/>
  <c r="BE9" i="18"/>
  <c r="I2" i="18"/>
  <c r="H5" i="18"/>
  <c r="BE7" i="18" l="1"/>
  <c r="BE15" i="18"/>
  <c r="BE23" i="18"/>
  <c r="BE31" i="18"/>
  <c r="BE39" i="18"/>
  <c r="BE8" i="18"/>
  <c r="BE16" i="18"/>
  <c r="BE24" i="18"/>
  <c r="BE32" i="18"/>
  <c r="BE37" i="18"/>
  <c r="BE10" i="18"/>
  <c r="BE18" i="18"/>
  <c r="BE26" i="18"/>
  <c r="BE34" i="18"/>
  <c r="BE42" i="18"/>
  <c r="BD15" i="18"/>
  <c r="BD28" i="18"/>
  <c r="BD26" i="18"/>
  <c r="BD34" i="18"/>
  <c r="BD18" i="18"/>
  <c r="BD31" i="18"/>
  <c r="BD7" i="18"/>
  <c r="BG7" i="18" s="1"/>
  <c r="BD23" i="18"/>
  <c r="BD39" i="18"/>
  <c r="BD20" i="18"/>
  <c r="BD10" i="18"/>
  <c r="BD22" i="18"/>
  <c r="BD36" i="18"/>
  <c r="BD38" i="18"/>
  <c r="BD42" i="18"/>
  <c r="BG42" i="18" s="1"/>
  <c r="BD16" i="18"/>
  <c r="G5" i="18"/>
  <c r="G2" i="18" s="1"/>
  <c r="BD12" i="18"/>
  <c r="BD21" i="18"/>
  <c r="BD37" i="18"/>
  <c r="BD44" i="18"/>
  <c r="BG44" i="18" s="1"/>
  <c r="BD19" i="18"/>
  <c r="BD40" i="18"/>
  <c r="BD43" i="18"/>
  <c r="BG43" i="18" s="1"/>
  <c r="BD24" i="18"/>
  <c r="BD27" i="18"/>
  <c r="BD45" i="18"/>
  <c r="BD6" i="18"/>
  <c r="BG6" i="18" s="1"/>
  <c r="BD29" i="18"/>
  <c r="BD9" i="18"/>
  <c r="BD11" i="18"/>
  <c r="BD32" i="18"/>
  <c r="BD8" i="18"/>
  <c r="BD30" i="18"/>
  <c r="BD13" i="18"/>
  <c r="BD14" i="18"/>
  <c r="BD35" i="18"/>
  <c r="BD17" i="18"/>
  <c r="BD25" i="18"/>
  <c r="BD33" i="18"/>
  <c r="BD41" i="18"/>
  <c r="BH44" i="18"/>
  <c r="H2" i="18"/>
  <c r="BJ44" i="18" l="1"/>
  <c r="BH6" i="18"/>
  <c r="BH42" i="18"/>
  <c r="BH7" i="18"/>
  <c r="BH43" i="18"/>
  <c r="BJ42" i="18" l="1"/>
  <c r="BJ6" i="18"/>
  <c r="BJ43" i="18"/>
  <c r="BJ7" i="18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J2" i="18" l="1"/>
  <c r="G5" i="22"/>
  <c r="E5" i="22"/>
  <c r="C5" i="22"/>
  <c r="L5" i="22"/>
  <c r="J5" i="22"/>
  <c r="K5" i="22"/>
  <c r="H5" i="22"/>
  <c r="I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L6" i="22"/>
  <c r="D6" i="22"/>
  <c r="I6" i="22"/>
  <c r="E6" i="22"/>
  <c r="G6" i="22"/>
  <c r="C6" i="22"/>
  <c r="J6" i="22"/>
  <c r="K6" i="22"/>
  <c r="H6" i="22"/>
  <c r="F6" i="22"/>
  <c r="L5" i="18"/>
  <c r="I7" i="22" s="1"/>
  <c r="BB36" i="16"/>
  <c r="BB35" i="16"/>
  <c r="BB41" i="16"/>
  <c r="H7" i="22" l="1"/>
  <c r="C7" i="22"/>
  <c r="K7" i="22"/>
  <c r="E7" i="22"/>
  <c r="L2" i="18"/>
  <c r="J7" i="22"/>
  <c r="G7" i="22"/>
  <c r="L7" i="22"/>
  <c r="F7" i="22"/>
  <c r="D7" i="22"/>
  <c r="M5" i="18"/>
  <c r="J8" i="22" s="1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I8" i="22" l="1"/>
  <c r="L8" i="22"/>
  <c r="G8" i="22"/>
  <c r="E8" i="22"/>
  <c r="H8" i="22"/>
  <c r="D8" i="22"/>
  <c r="M2" i="18"/>
  <c r="C8" i="22"/>
  <c r="F8" i="22"/>
  <c r="K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J9" i="22" l="1"/>
  <c r="K9" i="22"/>
  <c r="G9" i="22"/>
  <c r="N2" i="18"/>
  <c r="E9" i="22"/>
  <c r="L9" i="22"/>
  <c r="C9" i="22"/>
  <c r="F9" i="22"/>
  <c r="I9" i="22"/>
  <c r="O5" i="18"/>
  <c r="I10" i="22" s="1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L10" i="22" l="1"/>
  <c r="O2" i="18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2" i="18" l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BH18" i="18" l="1"/>
  <c r="AI5" i="18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BJ18" i="18" l="1"/>
  <c r="AJ5" i="18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BH41" i="18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BJ41" i="18"/>
  <c r="BG25" i="18"/>
  <c r="BG29" i="18"/>
  <c r="BG26" i="18"/>
  <c r="BG41" i="18"/>
  <c r="BG18" i="18"/>
  <c r="BG15" i="18"/>
  <c r="BG23" i="18"/>
  <c r="AM5" i="18"/>
  <c r="AM2" i="18" s="1"/>
  <c r="BH29" i="18"/>
  <c r="BH25" i="18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BJ25" i="18" l="1"/>
  <c r="BJ29" i="18"/>
  <c r="BG27" i="18"/>
  <c r="BG16" i="18"/>
  <c r="BG8" i="18"/>
  <c r="BG40" i="18"/>
  <c r="BG38" i="18"/>
  <c r="BH26" i="18"/>
  <c r="BH27" i="18"/>
  <c r="AN5" i="18"/>
  <c r="AN2" i="18" s="1"/>
  <c r="BG31" i="18"/>
  <c r="BG39" i="18"/>
  <c r="BG28" i="18"/>
  <c r="BH16" i="18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BJ16" i="18" l="1"/>
  <c r="BJ27" i="18"/>
  <c r="BJ26" i="18"/>
  <c r="BG14" i="18"/>
  <c r="BG10" i="18"/>
  <c r="BH40" i="18"/>
  <c r="BH15" i="18"/>
  <c r="BH38" i="18"/>
  <c r="BH23" i="18"/>
  <c r="BH8" i="18"/>
  <c r="AO5" i="18"/>
  <c r="AO2" i="18" s="1"/>
  <c r="BH28" i="18"/>
  <c r="BH31" i="18"/>
  <c r="BH39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BJ31" i="18" l="1"/>
  <c r="BJ38" i="18"/>
  <c r="BJ15" i="18"/>
  <c r="BJ28" i="18"/>
  <c r="BJ8" i="18"/>
  <c r="BJ23" i="18"/>
  <c r="BJ39" i="18"/>
  <c r="BJ40" i="18"/>
  <c r="BH14" i="18"/>
  <c r="BH10" i="18"/>
  <c r="AP5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BJ10" i="18" l="1"/>
  <c r="BJ14" i="18"/>
  <c r="AQ5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Q2" i="18" l="1"/>
  <c r="K15" i="22"/>
  <c r="D10" i="22"/>
  <c r="J34" i="22"/>
  <c r="K14" i="22"/>
  <c r="L30" i="22"/>
  <c r="I27" i="22"/>
  <c r="L17" i="22"/>
  <c r="F23" i="22"/>
  <c r="D22" i="22"/>
  <c r="C34" i="22"/>
  <c r="F31" i="22"/>
  <c r="L33" i="22"/>
  <c r="K13" i="22"/>
  <c r="G30" i="22"/>
  <c r="D9" i="22"/>
  <c r="C36" i="22"/>
  <c r="E35" i="22"/>
  <c r="I36" i="22"/>
  <c r="G13" i="22"/>
  <c r="H16" i="22"/>
  <c r="K38" i="22"/>
  <c r="L19" i="22"/>
  <c r="H21" i="22"/>
  <c r="L29" i="22"/>
  <c r="G22" i="22"/>
  <c r="D36" i="22"/>
  <c r="J10" i="22"/>
  <c r="G26" i="22"/>
  <c r="J31" i="22"/>
  <c r="H33" i="22"/>
  <c r="K12" i="22"/>
  <c r="H28" i="22"/>
  <c r="K10" i="22"/>
  <c r="C17" i="22"/>
  <c r="K27" i="22"/>
  <c r="J17" i="22"/>
  <c r="C15" i="22"/>
  <c r="J38" i="22"/>
  <c r="H36" i="22"/>
  <c r="G24" i="22"/>
  <c r="J16" i="22"/>
  <c r="D34" i="22"/>
  <c r="I29" i="22"/>
  <c r="F30" i="22"/>
  <c r="D38" i="22"/>
  <c r="L35" i="22"/>
  <c r="F10" i="22"/>
  <c r="L21" i="22"/>
  <c r="J11" i="22"/>
  <c r="H37" i="22"/>
  <c r="E17" i="22"/>
  <c r="F26" i="22"/>
  <c r="D28" i="22"/>
  <c r="J14" i="22"/>
  <c r="F32" i="22"/>
  <c r="L32" i="22"/>
  <c r="I32" i="22"/>
  <c r="K28" i="22"/>
  <c r="C21" i="22"/>
  <c r="H22" i="22"/>
  <c r="E36" i="22"/>
  <c r="F37" i="22"/>
  <c r="C12" i="22"/>
  <c r="F12" i="22"/>
  <c r="C33" i="22"/>
  <c r="L13" i="22"/>
  <c r="G37" i="22"/>
  <c r="J35" i="22"/>
  <c r="H30" i="22"/>
  <c r="D17" i="22"/>
  <c r="K25" i="22"/>
  <c r="H20" i="22"/>
  <c r="L28" i="22"/>
  <c r="C13" i="22"/>
  <c r="E14" i="22"/>
  <c r="J28" i="22"/>
  <c r="C24" i="22"/>
  <c r="C26" i="22"/>
  <c r="H27" i="22"/>
  <c r="E15" i="22"/>
  <c r="G33" i="22"/>
  <c r="E29" i="22"/>
  <c r="H10" i="22"/>
  <c r="D21" i="22"/>
  <c r="K17" i="22"/>
  <c r="I12" i="22"/>
  <c r="I22" i="22"/>
  <c r="G19" i="22"/>
  <c r="J27" i="22"/>
  <c r="C10" i="22"/>
  <c r="E23" i="22"/>
  <c r="H34" i="22"/>
  <c r="I18" i="22"/>
  <c r="D12" i="22"/>
  <c r="H35" i="22"/>
  <c r="K24" i="22"/>
  <c r="C30" i="22"/>
  <c r="F34" i="22"/>
  <c r="C32" i="22"/>
  <c r="K11" i="22"/>
  <c r="K31" i="22"/>
  <c r="G34" i="22"/>
  <c r="L22" i="22"/>
  <c r="I11" i="22"/>
  <c r="L18" i="22"/>
  <c r="H18" i="22"/>
  <c r="K29" i="22"/>
  <c r="F20" i="22"/>
  <c r="I15" i="22"/>
  <c r="D19" i="22"/>
  <c r="D16" i="22"/>
  <c r="K33" i="22"/>
  <c r="I28" i="22"/>
  <c r="F11" i="22"/>
  <c r="D30" i="22"/>
  <c r="J26" i="22"/>
  <c r="C35" i="22"/>
  <c r="J32" i="22"/>
  <c r="D31" i="22"/>
  <c r="L12" i="22"/>
  <c r="I34" i="22"/>
  <c r="G15" i="22"/>
  <c r="K19" i="22"/>
  <c r="H23" i="22"/>
  <c r="I14" i="22"/>
  <c r="F22" i="22"/>
  <c r="E20" i="22"/>
  <c r="I25" i="22"/>
  <c r="E11" i="22"/>
  <c r="L27" i="22"/>
  <c r="L11" i="22"/>
  <c r="E27" i="22"/>
  <c r="G11" i="22"/>
  <c r="C18" i="22"/>
  <c r="K22" i="22"/>
  <c r="H11" i="22"/>
  <c r="E13" i="22"/>
  <c r="H14" i="22"/>
  <c r="E21" i="22"/>
  <c r="K20" i="22"/>
  <c r="G35" i="22"/>
  <c r="D37" i="22"/>
  <c r="D29" i="22"/>
  <c r="F13" i="22"/>
  <c r="F24" i="22"/>
  <c r="I35" i="22"/>
  <c r="L20" i="22"/>
  <c r="I24" i="22"/>
  <c r="H12" i="22"/>
  <c r="H19" i="22"/>
  <c r="G20" i="22"/>
  <c r="F33" i="22"/>
  <c r="K30" i="22"/>
  <c r="G12" i="22"/>
  <c r="C22" i="22"/>
  <c r="C38" i="22"/>
  <c r="L36" i="22"/>
  <c r="C19" i="22"/>
  <c r="K21" i="22"/>
  <c r="J20" i="22"/>
  <c r="I26" i="22"/>
  <c r="H25" i="22"/>
  <c r="J37" i="22"/>
  <c r="L31" i="22"/>
  <c r="I37" i="22"/>
  <c r="L37" i="22"/>
  <c r="K16" i="22"/>
  <c r="H29" i="22"/>
  <c r="E10" i="22"/>
  <c r="C20" i="22"/>
  <c r="H38" i="22"/>
  <c r="C11" i="22"/>
  <c r="D13" i="22"/>
  <c r="E32" i="22"/>
  <c r="F38" i="22"/>
  <c r="F27" i="22"/>
  <c r="F28" i="22"/>
  <c r="J29" i="22"/>
  <c r="G36" i="22"/>
  <c r="J24" i="22"/>
  <c r="I13" i="22"/>
  <c r="C25" i="22"/>
  <c r="H31" i="22"/>
  <c r="D23" i="22"/>
  <c r="I30" i="22"/>
  <c r="K26" i="22"/>
  <c r="E16" i="22"/>
  <c r="K32" i="22"/>
  <c r="E37" i="22"/>
  <c r="H32" i="22"/>
  <c r="E28" i="22"/>
  <c r="J36" i="22"/>
  <c r="H15" i="22"/>
  <c r="D35" i="22"/>
  <c r="K34" i="22"/>
  <c r="D20" i="22"/>
  <c r="D32" i="22"/>
  <c r="L15" i="22"/>
  <c r="K23" i="22"/>
  <c r="E34" i="22"/>
  <c r="J13" i="22"/>
  <c r="D24" i="22"/>
  <c r="J33" i="22"/>
  <c r="D25" i="22"/>
  <c r="G10" i="22"/>
  <c r="J12" i="22"/>
  <c r="C16" i="22"/>
  <c r="E31" i="22"/>
  <c r="G38" i="22"/>
  <c r="G16" i="22"/>
  <c r="G17" i="22"/>
  <c r="J19" i="22"/>
  <c r="F15" i="22"/>
  <c r="E26" i="22"/>
  <c r="H17" i="22"/>
  <c r="C37" i="22"/>
  <c r="D14" i="22"/>
  <c r="I31" i="22"/>
  <c r="F29" i="22"/>
  <c r="H26" i="22"/>
  <c r="E18" i="22"/>
  <c r="E22" i="22"/>
  <c r="G23" i="22"/>
  <c r="F21" i="22"/>
  <c r="E25" i="22"/>
  <c r="L34" i="22"/>
  <c r="C29" i="22"/>
  <c r="E38" i="22"/>
  <c r="G21" i="22"/>
  <c r="C31" i="22"/>
  <c r="J25" i="22"/>
  <c r="I23" i="22"/>
  <c r="F35" i="22"/>
  <c r="D18" i="22"/>
  <c r="I16" i="22"/>
  <c r="G14" i="22"/>
  <c r="F19" i="22"/>
  <c r="E19" i="22"/>
  <c r="F25" i="22"/>
  <c r="C28" i="22"/>
  <c r="I38" i="22"/>
  <c r="J21" i="22"/>
  <c r="D26" i="22"/>
  <c r="L14" i="22"/>
  <c r="L25" i="22"/>
  <c r="C14" i="22"/>
  <c r="K36" i="22"/>
  <c r="J22" i="22"/>
  <c r="K18" i="22"/>
  <c r="K35" i="22"/>
  <c r="J15" i="22"/>
  <c r="E12" i="22"/>
  <c r="D15" i="22"/>
  <c r="E24" i="22"/>
  <c r="J18" i="22"/>
  <c r="E33" i="22"/>
  <c r="C27" i="22"/>
  <c r="I19" i="22"/>
  <c r="H13" i="22"/>
  <c r="H24" i="22"/>
  <c r="I20" i="22"/>
  <c r="L26" i="22"/>
  <c r="I21" i="22"/>
  <c r="F18" i="22"/>
  <c r="G28" i="22"/>
  <c r="I17" i="22"/>
  <c r="L38" i="22"/>
  <c r="K37" i="22"/>
  <c r="D33" i="22"/>
  <c r="L24" i="22"/>
  <c r="G25" i="22"/>
  <c r="C23" i="22"/>
  <c r="F16" i="22"/>
  <c r="D11" i="22"/>
  <c r="G18" i="22"/>
  <c r="F14" i="22"/>
  <c r="G31" i="22"/>
  <c r="F36" i="22"/>
  <c r="D27" i="22"/>
  <c r="G27" i="22"/>
  <c r="J23" i="22"/>
  <c r="G29" i="22"/>
  <c r="L16" i="22"/>
  <c r="G32" i="22"/>
  <c r="I33" i="22"/>
  <c r="E30" i="22"/>
  <c r="F17" i="22"/>
  <c r="L23" i="22"/>
  <c r="J30" i="22"/>
  <c r="BF25" i="18" a="1"/>
  <c r="BF25" i="18" s="1"/>
  <c r="BF13" i="18" a="1"/>
  <c r="BF13" i="18" s="1"/>
  <c r="BF9" i="18" a="1"/>
  <c r="BF9" i="18" s="1"/>
  <c r="BF44" i="18" a="1"/>
  <c r="BF44" i="18" s="1"/>
  <c r="BF29" i="18" a="1"/>
  <c r="BF29" i="18" s="1"/>
  <c r="BF40" i="18" a="1"/>
  <c r="BF40" i="18" s="1"/>
  <c r="BF6" i="18" a="1"/>
  <c r="BF6" i="18" s="1"/>
  <c r="BF43" i="18" a="1"/>
  <c r="BF43" i="18" s="1"/>
  <c r="BF34" i="18" a="1"/>
  <c r="BF34" i="18" s="1"/>
  <c r="BF7" i="18" a="1"/>
  <c r="BF7" i="18" s="1"/>
  <c r="BF45" i="18" a="1"/>
  <c r="BF45" i="18" s="1"/>
  <c r="BF10" i="18" a="1"/>
  <c r="BF10" i="18" s="1"/>
  <c r="BF20" i="18" a="1"/>
  <c r="BF20" i="18" s="1"/>
  <c r="BF18" i="18" a="1"/>
  <c r="BF18" i="18" s="1"/>
  <c r="BF22" i="18" a="1"/>
  <c r="BF22" i="18" s="1"/>
  <c r="BF23" i="18" a="1"/>
  <c r="BF23" i="18" s="1"/>
  <c r="BF33" i="18" a="1"/>
  <c r="BF33" i="18" s="1"/>
  <c r="BF19" i="18" a="1"/>
  <c r="BF19" i="18" s="1"/>
  <c r="BF39" i="18" a="1"/>
  <c r="BF39" i="18" s="1"/>
  <c r="BF17" i="18" a="1"/>
  <c r="BF17" i="18" s="1"/>
  <c r="BF14" i="18" a="1"/>
  <c r="BF14" i="18" s="1"/>
  <c r="BF21" i="18" a="1"/>
  <c r="BF21" i="18" s="1"/>
  <c r="BF28" i="18" a="1"/>
  <c r="BF28" i="18" s="1"/>
  <c r="BF12" i="18" a="1"/>
  <c r="BF12" i="18" s="1"/>
  <c r="BF41" i="18" a="1"/>
  <c r="BF41" i="18" s="1"/>
  <c r="BF38" i="18" a="1"/>
  <c r="BF38" i="18" s="1"/>
  <c r="BF16" i="18" a="1"/>
  <c r="BF16" i="18" s="1"/>
  <c r="BF32" i="18" a="1"/>
  <c r="BF32" i="18" s="1"/>
  <c r="BF11" i="18" a="1"/>
  <c r="BF11" i="18" s="1"/>
  <c r="BF24" i="18" a="1"/>
  <c r="BF24" i="18" s="1"/>
  <c r="BF30" i="18" a="1"/>
  <c r="BF30" i="18" s="1"/>
  <c r="BF35" i="18" a="1"/>
  <c r="BF35" i="18" s="1"/>
  <c r="BF31" i="18" a="1"/>
  <c r="BF31" i="18" s="1"/>
  <c r="BF27" i="18" a="1"/>
  <c r="BF27" i="18" s="1"/>
  <c r="BF8" i="18" a="1"/>
  <c r="BF8" i="18" s="1"/>
  <c r="BE2" i="18"/>
  <c r="BG37" i="18"/>
  <c r="BG35" i="18"/>
  <c r="BG20" i="18"/>
  <c r="BG24" i="18"/>
  <c r="BG11" i="18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BF36" i="18" l="1" a="1"/>
  <c r="BF36" i="18" s="1"/>
  <c r="BF15" i="18" a="1"/>
  <c r="BF15" i="18" s="1"/>
  <c r="BF26" i="18" a="1"/>
  <c r="BF26" i="18" s="1"/>
  <c r="BF42" i="18" a="1"/>
  <c r="BF42" i="18" s="1"/>
  <c r="BF37" i="18" a="1"/>
  <c r="BF37" i="18" s="1"/>
  <c r="BH20" i="18"/>
  <c r="BH35" i="18"/>
  <c r="BG33" i="18"/>
  <c r="BG36" i="18"/>
  <c r="BH24" i="18"/>
  <c r="BH11" i="18"/>
  <c r="BG17" i="18"/>
  <c r="BG21" i="18"/>
  <c r="BH37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BJ11" i="18" l="1"/>
  <c r="BJ24" i="18"/>
  <c r="BJ35" i="18"/>
  <c r="BJ20" i="18"/>
  <c r="BJ37" i="18"/>
  <c r="BH21" i="18"/>
  <c r="BG13" i="18"/>
  <c r="BH17" i="18"/>
  <c r="BH36" i="18"/>
  <c r="BG19" i="18"/>
  <c r="BG9" i="18"/>
  <c r="BG34" i="18"/>
  <c r="BG12" i="18"/>
  <c r="BH33" i="18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BJ33" i="18" l="1"/>
  <c r="BJ21" i="18"/>
  <c r="BJ36" i="18"/>
  <c r="BJ17" i="18"/>
  <c r="BH34" i="18"/>
  <c r="BH19" i="18"/>
  <c r="BH9" i="18"/>
  <c r="BH13" i="18"/>
  <c r="BH1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BJ12" i="18" l="1"/>
  <c r="BJ9" i="18"/>
  <c r="BJ19" i="18"/>
  <c r="BJ13" i="18"/>
  <c r="BJ34" i="18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H32" i="18" l="1"/>
  <c r="BC25" i="16"/>
  <c r="BC22" i="16"/>
  <c r="AY34" i="16"/>
  <c r="AY44" i="16"/>
  <c r="AT30" i="15"/>
  <c r="AT37" i="15"/>
  <c r="AZ38" i="16"/>
  <c r="BH30" i="18" s="1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J30" i="18" l="1"/>
  <c r="BJ32" i="18"/>
  <c r="BC39" i="16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G22" i="18" s="1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G30" i="18" l="1"/>
  <c r="BG32" i="18"/>
  <c r="BH22" i="18"/>
  <c r="BC29" i="16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BG45" i="18" s="1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J22" i="18" l="1"/>
  <c r="BH45" i="18"/>
  <c r="BC12" i="16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  <c r="BJ45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<sst xmlns="http://schemas.openxmlformats.org/spreadsheetml/2006/main" count="3197" uniqueCount="288">
  <si>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</si>
  <si>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</si>
  <si>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</si>
  <si>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</si>
  <si>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</si>
  <si>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</si>
  <si>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</si>
  <si>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</si>
  <si>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</si>
  <si>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</si>
  <si>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</si>
  <si>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</si>
  <si>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</si>
  <si>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</si>
  <si>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</si>
  <si>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</si>
  <si>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</si>
  <si>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</si>
  <si>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</si>
  <si>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</si>
  <si>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</si>
  <si>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</si>
  <si>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</si>
  <si>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</si>
  <si>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</si>
  <si>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</si>
  <si>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</si>
  <si>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</si>
  <si>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</si>
  <si>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</si>
  <si>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</si>
  <si>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</si>
  <si>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</si>
  <si>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</si>
  <si>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</si>
  <si>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</si>
  <si>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</si>
  <si>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</si>
  <si>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</si>
  <si>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</si>
  <si>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</si>
  <si>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</si>
  <si>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</si>
  <si>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</si>
  <si>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</si>
  <si>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</si>
  <si>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</si>
  <si>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</si>
  <si>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</si>
  <si>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</si>
  <si>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</si>
  <si>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</si>
  <si>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</si>
  <si>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</si>
  <si>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</si>
  <si>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</si>
  <si>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</si>
  <si>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</si>
  <si>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</si>
  <si>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</si>
  <si>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</si>
  <si>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</si>
  <si>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</si>
  <si>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</si>
  <si>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</si>
  <si>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</si>
  <si>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</si>
  <si>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</si>
  <si>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</si>
  <si>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</si>
  <si>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</si>
  <si>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</si>
  <si>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</si>
  <si>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</si>
  <si>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</si>
  <si>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</si>
  <si>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</si>
  <si>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</si>
  <si>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</si>
  <si>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</si>
  <si>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</si>
  <si>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</si>
  <si>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</si>
  <si>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</si>
  <si>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</si>
  <si>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</si>
  <si>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</si>
  <si>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</si>
  <si>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</si>
  <si>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</si>
  <si>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</si>
  <si>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</si>
  <si>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</si>
  <si>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</si>
  <si>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</si>
  <si>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</si>
  <si>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</si>
  <si>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</si>
  <si>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</si>
  <si>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</si>
  <si>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</si>
  <si>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</si>
  <si>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</si>
  <si>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</si>
  <si>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</si>
  <si>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</si>
  <si>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</si>
  <si>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</si>
  <si>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</si>
  <si>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</si>
  <si>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</si>
  <si>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</si>
  <si>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</si>
  <si>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</si>
  <si>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</si>
  <si>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</si>
  <si>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</si>
  <si>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</si>
  <si>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</si>
  <si>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</si>
  <si>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</si>
  <si>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</si>
  <si>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</si>
  <si>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</si>
  <si>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</si>
  <si>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</si>
  <si>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</si>
  <si>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</si>
  <si>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</si>
  <si>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</si>
  <si>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</si>
  <si>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</si>
  <si>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</si>
  <si>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</si>
  <si>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</si>
  <si>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</si>
  <si>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</si>
  <si>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</si>
  <si>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</si>
  <si>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</si>
  <si>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</si>
  <si>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</si>
  <si>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</si>
  <si>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</si>
  <si>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</si>
  <si>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</si>
  <si>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</si>
  <si>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</si>
  <si>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</si>
  <si>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</si>
  <si>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</si>
  <si>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</si>
  <si>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</si>
  <si>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</si>
  <si>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</si>
  <si>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</si>
  <si>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</si>
  <si>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</si>
  <si>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</si>
  <si>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</si>
  <si>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</si>
  <si>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</si>
  <si>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</si>
  <si>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</si>
  <si>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</si>
  <si>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</si>
  <si>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</si>
  <si>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</si>
  <si>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</si>
  <si>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</si>
  <si>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</si>
  <si>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</si>
  <si>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</si>
  <si>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</si>
  <si>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</si>
  <si>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</si>
  <si>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</si>
  <si>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</si>
  <si>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</si>
  <si>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</si>
  <si>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</si>
  <si>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</si>
  <si>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</si>
  <si>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</si>
  <si>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</si>
  <si>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</si>
  <si>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</si>
  <si>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</si>
  <si>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</si>
  <si>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</si>
  <si>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</si>
  <si>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</si>
  <si>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</si>
  <si>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</si>
  <si>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</si>
  <si>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</si>
  <si>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</si>
  <si>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</si>
  <si>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</si>
  <si>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</si>
  <si>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</si>
  <si>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</si>
  <si>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</si>
  <si>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</si>
  <si>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</si>
  <si>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</si>
  <si>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</si>
  <si>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</si>
  <si>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</si>
  <si>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</si>
  <si>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</si>
  <si>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</si>
  <si>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</si>
  <si>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</si>
  <si>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</si>
  <si>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</si>
  <si>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</si>
  <si>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</si>
  <si>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</si>
  <si>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</si>
  <si>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</si>
  <si>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</si>
  <si>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</si>
  <si>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</si>
  <si>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</si>
  <si>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</si>
  <si>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</si>
  <si>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</si>
  <si>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</si>
  <si>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</si>
  <si>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</si>
  <si>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</si>
  <si>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</si>
  <si>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</si>
  <si>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</si>
  <si>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</si>
  <si>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</si>
  <si>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</si>
  <si>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</si>
  <si>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</si>
  <si>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</si>
  <si>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</si>
  <si>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</si>
  <si>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</si>
  <si>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</si>
  <si>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</si>
  <si>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</si>
  <si>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</si>
  <si>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</si>
  <si>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</si>
  <si>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</si>
  <si>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</si>
  <si>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</si>
  <si>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</si>
  <si>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</si>
  <si>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</si>
  <si>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</si>
  <si>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</si>
  <si>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</si>
  <si>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</si>
  <si>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</si>
  <si>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</si>
  <si>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Team</t>
  </si>
  <si>
    <t>AUTOBLOCK</t>
  </si>
  <si>
    <t>PRELEAVE</t>
  </si>
  <si>
    <t>Leave</t>
  </si>
  <si>
    <t>RECENTALL</t>
  </si>
  <si>
    <t>Blocked due to recent call</t>
  </si>
  <si>
    <t>Imported from last cycle</t>
  </si>
  <si>
    <t>Day of week</t>
  </si>
  <si>
    <t>Total weekends</t>
  </si>
  <si>
    <t>Golden Weekends</t>
  </si>
  <si>
    <t>WRs</t>
  </si>
  <si>
    <t>DATE/DAY</t>
  </si>
  <si>
    <t>HOUSE OFFICERS</t>
  </si>
  <si>
    <t>(31/51/65)</t>
  </si>
  <si>
    <t>(46/56/85)</t>
  </si>
  <si>
    <t>(41/66/44)</t>
  </si>
  <si>
    <t>(62/75/76)</t>
  </si>
  <si>
    <t>(55/86)</t>
  </si>
  <si>
    <t>(62/55) passive</t>
  </si>
  <si>
    <t>No. months</t>
  </si>
  <si>
    <t>Avg points per month</t>
  </si>
  <si>
    <t>Total call points</t>
  </si>
  <si>
    <t>Total months</t>
  </si>
  <si>
    <t>Total # of calls</t>
  </si>
  <si>
    <t>SpecialReq</t>
  </si>
  <si>
    <t>Mon-Thurs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</si>
</sst>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</fills>
  <borders count="6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</cellStyleXfs>
  <cellXfs count="432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9" fontId="0" fillId="0" borderId="2" xfId="4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9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16" fontId="24" fillId="34" borderId="24" xfId="0" applyNumberFormat="1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26" xfId="0" applyBorder="1"/>
    <xf numFmtId="0" fontId="33" fillId="57" borderId="61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3" fillId="57" borderId="40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0" fontId="35" fillId="57" borderId="41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0" fontId="0" fillId="0" borderId="6" xfId="0" applyBorder="1"/>
    <xf numFmtId="0" fontId="0" fillId="0" borderId="48" xfId="0" applyBorder="1"/>
    <xf numFmtId="0" fontId="0" fillId="0" borderId="4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15" fontId="0" fillId="0" borderId="4" xfId="0" applyNumberForma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15" fontId="0" fillId="0" borderId="66" xfId="0" applyNumberFormat="1" applyBorder="1" applyAlignment="1">
      <alignment horizontal="center" vertical="center"/>
    </xf>
    <xf numFmtId="15" fontId="0" fillId="0" borderId="65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61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3" fillId="57" borderId="40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" xfId="4" builtinId="5"/>
    <cellStyle name="Per cent 2" xfId="5" xr:uid="{9E270F38-2FBC-9F49-B90C-FACA539BF1D5}"/>
  </cellStyles>
  <dxfs count="5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BDBAEF"/>
        </patternFill>
      </fill>
    </dxf>
  </dxfs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T84"/>
  <sheetViews>
    <sheetView showGridLines="0" tabSelected="1" zoomScale="70" zoomScaleNormal="82" workbookViewId="0">
      <pane xSplit="5" ySplit="5" topLeftCell="G6" activePane="bottomRight" state="frozen"/>
      <selection pane="topRight" activeCell="F1" sqref="F1"/>
      <selection pane="bottomLeft" activeCell="A6" sqref="A6"/>
      <selection pane="bottomRight" activeCell="BF6" sqref="BF6"/>
    </sheetView>
  </sheetViews>
  <sheetFormatPr baseColWidth="10" defaultColWidth="10.83203125" defaultRowHeight="15" x14ac:dyDescent="0.2"/>
  <cols>
    <col min="1" max="1" width="0.6640625" style="1" customWidth="1"/>
    <col min="2" max="2" width="23.83203125" style="3" bestFit="1" customWidth="1"/>
    <col min="3" max="3" width="8" style="1" customWidth="1"/>
    <col min="4" max="4" width="9" style="3" customWidth="1"/>
    <col min="5" max="5" width="10.5" style="3" customWidth="1"/>
    <col min="6" max="6" width="5.6640625" style="3" hidden="1" customWidth="1"/>
    <col min="7" max="43" width="9" style="1" customWidth="1"/>
    <col min="44" max="44" width="3.1640625" style="1" customWidth="1"/>
    <col min="45" max="46" width="10.83203125" style="1"/>
    <col min="47" max="48" width="11" style="1" customWidth="1"/>
    <col min="49" max="49" width="10.83203125" style="1"/>
    <col min="50" max="50" width="13.5" style="1" bestFit="1" customWidth="1"/>
    <col min="51" max="51" width="11.5" style="1" bestFit="1" customWidth="1"/>
    <col min="52" max="57" width="10.83203125" style="1"/>
    <col min="58" max="58" width="14.1640625" style="1" customWidth="1"/>
    <col min="59" max="61" width="10.83203125" style="1"/>
    <col min="62" max="62" width="19.5" style="1" customWidth="1"/>
    <col min="63" max="16384" width="10.83203125" style="1"/>
  </cols>
  <sheetData>
    <row r="1" spans="2:72" ht="21" customHeight="1" x14ac:dyDescent="0.2">
      <c r="B1" s="332" t="s">
        <v>261</v>
      </c>
      <c r="D1" s="354" t="s">
        <v>159</v>
      </c>
      <c r="E1" s="354"/>
      <c r="F1" s="354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5"/>
      <c r="AI1" s="355"/>
      <c r="AJ1" s="355"/>
      <c r="AK1" s="355"/>
      <c r="AL1" s="355"/>
      <c r="AM1" s="355"/>
      <c r="AN1" s="355"/>
      <c r="AO1" s="355"/>
      <c r="AP1" s="355"/>
      <c r="AQ1" s="355"/>
      <c r="AS1" s="394"/>
      <c r="AT1" s="394"/>
      <c r="AU1" s="394"/>
      <c r="AV1" s="352"/>
    </row>
    <row r="2" spans="2:72" ht="16" customHeight="1" thickBot="1" x14ac:dyDescent="0.25">
      <c r="B2" s="332"/>
      <c r="D2" s="354" t="s">
        <v>269</v>
      </c>
      <c r="E2" s="354"/>
      <c r="F2" s="354"/>
      <c r="G2" s="355">
        <f>WEEKDAY(G5,2)</f>
        <v>7</v>
      </c>
      <c r="H2" s="355">
        <f t="shared" ref="H2:AQ2" si="0">WEEKDAY(H5,2)</f>
        <v>1</v>
      </c>
      <c r="I2" s="355">
        <f t="shared" si="0"/>
        <v>2</v>
      </c>
      <c r="J2" s="355">
        <f t="shared" si="0"/>
        <v>3</v>
      </c>
      <c r="K2" s="355">
        <f t="shared" si="0"/>
        <v>4</v>
      </c>
      <c r="L2" s="355">
        <f t="shared" si="0"/>
        <v>5</v>
      </c>
      <c r="M2" s="355">
        <f t="shared" si="0"/>
        <v>6</v>
      </c>
      <c r="N2" s="355">
        <f t="shared" si="0"/>
        <v>7</v>
      </c>
      <c r="O2" s="355">
        <f t="shared" si="0"/>
        <v>1</v>
      </c>
      <c r="P2" s="355">
        <f t="shared" si="0"/>
        <v>2</v>
      </c>
      <c r="Q2" s="355">
        <f t="shared" si="0"/>
        <v>3</v>
      </c>
      <c r="R2" s="355">
        <f t="shared" si="0"/>
        <v>4</v>
      </c>
      <c r="S2" s="355">
        <f t="shared" si="0"/>
        <v>5</v>
      </c>
      <c r="T2" s="355">
        <f t="shared" si="0"/>
        <v>6</v>
      </c>
      <c r="U2" s="355">
        <f t="shared" si="0"/>
        <v>7</v>
      </c>
      <c r="V2" s="355">
        <f t="shared" si="0"/>
        <v>1</v>
      </c>
      <c r="W2" s="355">
        <f t="shared" si="0"/>
        <v>2</v>
      </c>
      <c r="X2" s="355">
        <f t="shared" si="0"/>
        <v>3</v>
      </c>
      <c r="Y2" s="355">
        <f t="shared" si="0"/>
        <v>4</v>
      </c>
      <c r="Z2" s="355">
        <f t="shared" si="0"/>
        <v>5</v>
      </c>
      <c r="AA2" s="355">
        <f t="shared" si="0"/>
        <v>6</v>
      </c>
      <c r="AB2" s="355">
        <f t="shared" si="0"/>
        <v>7</v>
      </c>
      <c r="AC2" s="355">
        <f t="shared" si="0"/>
        <v>1</v>
      </c>
      <c r="AD2" s="355">
        <f t="shared" si="0"/>
        <v>2</v>
      </c>
      <c r="AE2" s="355">
        <f t="shared" si="0"/>
        <v>3</v>
      </c>
      <c r="AF2" s="355">
        <f t="shared" si="0"/>
        <v>4</v>
      </c>
      <c r="AG2" s="355">
        <f>WEEKDAY(AG5,2)</f>
        <v>5</v>
      </c>
      <c r="AH2" s="355">
        <f t="shared" si="0"/>
        <v>6</v>
      </c>
      <c r="AI2" s="355">
        <f t="shared" si="0"/>
        <v>7</v>
      </c>
      <c r="AJ2" s="355">
        <f t="shared" si="0"/>
        <v>1</v>
      </c>
      <c r="AK2" s="355">
        <f t="shared" si="0"/>
        <v>2</v>
      </c>
      <c r="AL2" s="355">
        <f t="shared" si="0"/>
        <v>3</v>
      </c>
      <c r="AM2" s="355">
        <f t="shared" si="0"/>
        <v>4</v>
      </c>
      <c r="AN2" s="355">
        <f t="shared" si="0"/>
        <v>5</v>
      </c>
      <c r="AO2" s="355">
        <f t="shared" si="0"/>
        <v>6</v>
      </c>
      <c r="AP2" s="355">
        <f t="shared" si="0"/>
        <v>7</v>
      </c>
      <c r="AQ2" s="355">
        <f t="shared" si="0"/>
        <v>1</v>
      </c>
      <c r="AS2" s="352"/>
      <c r="AT2" s="352"/>
      <c r="AU2" s="352"/>
      <c r="AV2" s="352"/>
      <c r="BD2" s="356" t="s">
        <v>270</v>
      </c>
      <c r="BE2" s="356">
        <f>COUNTIF(I2:AQ2, "&gt;5")</f>
        <v>10</v>
      </c>
      <c r="BF2" s="356"/>
    </row>
    <row r="3" spans="2:72" ht="16" customHeight="1" thickBot="1" x14ac:dyDescent="0.25">
      <c r="B3" s="332"/>
      <c r="D3" s="354"/>
      <c r="E3" s="354"/>
      <c r="F3" s="354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5"/>
      <c r="AC3" s="355"/>
      <c r="AD3" s="355"/>
      <c r="AE3" s="355"/>
      <c r="AF3" s="355"/>
      <c r="AG3" s="355"/>
      <c r="AH3" s="355"/>
      <c r="AI3" s="355"/>
      <c r="AJ3" s="355"/>
      <c r="AK3" s="355"/>
      <c r="AL3" s="355"/>
      <c r="AM3" s="355"/>
      <c r="AN3" s="355"/>
      <c r="AO3" s="355"/>
      <c r="AP3" s="355"/>
      <c r="AQ3" s="355"/>
      <c r="AS3" s="400" t="s">
        <v>268</v>
      </c>
      <c r="AT3" s="401"/>
      <c r="AU3" s="401"/>
      <c r="AV3" s="402"/>
      <c r="AW3" s="400" t="s">
        <v>175</v>
      </c>
      <c r="AX3" s="401"/>
      <c r="AY3" s="401"/>
      <c r="AZ3" s="401"/>
      <c r="BA3" s="401"/>
      <c r="BB3" s="401"/>
      <c r="BC3" s="401"/>
      <c r="BD3" s="401"/>
      <c r="BE3" s="401"/>
      <c r="BF3" s="401"/>
      <c r="BG3" s="401"/>
      <c r="BH3" s="401"/>
      <c r="BI3" s="401"/>
      <c r="BJ3" s="402"/>
    </row>
    <row r="4" spans="2:72" ht="16" thickBot="1" x14ac:dyDescent="0.25">
      <c r="G4" s="1" t="s">
        <v>133</v>
      </c>
      <c r="I4" s="1" t="s">
        <v>1</v>
      </c>
      <c r="AS4" s="395" t="s">
        <v>170</v>
      </c>
      <c r="AT4" s="396"/>
      <c r="AU4" s="396"/>
      <c r="AV4" s="397"/>
      <c r="AW4" s="395" t="s">
        <v>176</v>
      </c>
      <c r="AX4" s="396"/>
      <c r="AY4" s="396"/>
      <c r="AZ4" s="396"/>
      <c r="BA4" s="396"/>
      <c r="BB4" s="396"/>
      <c r="BC4" s="397"/>
      <c r="BD4" s="398" t="s">
        <v>188</v>
      </c>
      <c r="BE4" s="399"/>
      <c r="BF4" s="399"/>
      <c r="BG4" s="395" t="s">
        <v>170</v>
      </c>
      <c r="BH4" s="396"/>
      <c r="BI4" s="396"/>
      <c r="BJ4" s="397"/>
    </row>
    <row r="5" spans="2:72" x14ac:dyDescent="0.2">
      <c r="B5" s="358" t="s">
        <v>250</v>
      </c>
      <c r="C5" s="275" t="s">
        <v>262</v>
      </c>
      <c r="D5" s="66" t="s">
        <v>251</v>
      </c>
      <c r="E5" s="371" t="s">
        <v>286</v>
      </c>
      <c r="F5" s="390"/>
      <c r="G5" s="367">
        <f>H5-1</f>
        <v>46117</v>
      </c>
      <c r="H5" s="370">
        <f>I5-1</f>
        <v>46118</v>
      </c>
      <c r="I5" s="368">
        <v>46119</v>
      </c>
      <c r="J5" s="362">
        <f>I5+1</f>
        <v>46120</v>
      </c>
      <c r="K5" s="362">
        <f>J5+1</f>
        <v>46121</v>
      </c>
      <c r="L5" s="362">
        <f>K5+1</f>
        <v>46122</v>
      </c>
      <c r="M5" s="362">
        <f t="shared" ref="M5:AG5" si="1">L5+1</f>
        <v>46123</v>
      </c>
      <c r="N5" s="362">
        <f t="shared" si="1"/>
        <v>46124</v>
      </c>
      <c r="O5" s="362">
        <f t="shared" si="1"/>
        <v>46125</v>
      </c>
      <c r="P5" s="362">
        <f t="shared" si="1"/>
        <v>46126</v>
      </c>
      <c r="Q5" s="362">
        <f t="shared" si="1"/>
        <v>46127</v>
      </c>
      <c r="R5" s="362">
        <f t="shared" si="1"/>
        <v>46128</v>
      </c>
      <c r="S5" s="362">
        <f t="shared" si="1"/>
        <v>46129</v>
      </c>
      <c r="T5" s="362">
        <f t="shared" si="1"/>
        <v>46130</v>
      </c>
      <c r="U5" s="362">
        <f t="shared" si="1"/>
        <v>46131</v>
      </c>
      <c r="V5" s="362">
        <f t="shared" si="1"/>
        <v>46132</v>
      </c>
      <c r="W5" s="362">
        <f t="shared" si="1"/>
        <v>46133</v>
      </c>
      <c r="X5" s="362">
        <f t="shared" si="1"/>
        <v>46134</v>
      </c>
      <c r="Y5" s="362">
        <f t="shared" si="1"/>
        <v>46135</v>
      </c>
      <c r="Z5" s="362">
        <f t="shared" si="1"/>
        <v>46136</v>
      </c>
      <c r="AA5" s="362">
        <f t="shared" si="1"/>
        <v>46137</v>
      </c>
      <c r="AB5" s="362">
        <f t="shared" si="1"/>
        <v>46138</v>
      </c>
      <c r="AC5" s="362">
        <f t="shared" si="1"/>
        <v>46139</v>
      </c>
      <c r="AD5" s="362">
        <f t="shared" si="1"/>
        <v>46140</v>
      </c>
      <c r="AE5" s="362">
        <f t="shared" si="1"/>
        <v>46141</v>
      </c>
      <c r="AF5" s="362">
        <f t="shared" si="1"/>
        <v>46142</v>
      </c>
      <c r="AG5" s="362">
        <f t="shared" si="1"/>
        <v>46143</v>
      </c>
      <c r="AH5" s="362">
        <v>46235</v>
      </c>
      <c r="AI5" s="362">
        <f>AH5+1</f>
        <v>46236</v>
      </c>
      <c r="AJ5" s="362">
        <f t="shared" ref="AJ5:AQ5" si="2">AI5+1</f>
        <v>46237</v>
      </c>
      <c r="AK5" s="362">
        <f t="shared" si="2"/>
        <v>46238</v>
      </c>
      <c r="AL5" s="362">
        <f t="shared" si="2"/>
        <v>46239</v>
      </c>
      <c r="AM5" s="362">
        <f t="shared" si="2"/>
        <v>46240</v>
      </c>
      <c r="AN5" s="362">
        <f t="shared" si="2"/>
        <v>46241</v>
      </c>
      <c r="AO5" s="362">
        <f t="shared" si="2"/>
        <v>46242</v>
      </c>
      <c r="AP5" s="362">
        <f t="shared" si="2"/>
        <v>46243</v>
      </c>
      <c r="AQ5" s="363">
        <f t="shared" si="2"/>
        <v>46244</v>
      </c>
      <c r="AR5" s="5"/>
      <c r="AS5" s="230" t="s">
        <v>171</v>
      </c>
      <c r="AT5" s="66" t="s">
        <v>172</v>
      </c>
      <c r="AU5" s="66" t="s">
        <v>272</v>
      </c>
      <c r="AV5" s="70" t="s">
        <v>281</v>
      </c>
      <c r="AW5" s="393" t="s">
        <v>287</v>
      </c>
      <c r="AX5" s="364" t="s">
        <v>177</v>
      </c>
      <c r="AY5" s="364" t="s">
        <v>178</v>
      </c>
      <c r="AZ5" s="364" t="s">
        <v>168</v>
      </c>
      <c r="BA5" s="18" t="s">
        <v>19</v>
      </c>
      <c r="BB5" s="18" t="s">
        <v>212</v>
      </c>
      <c r="BC5" s="26" t="s">
        <v>216</v>
      </c>
      <c r="BD5" s="234" t="s">
        <v>171</v>
      </c>
      <c r="BE5" s="235" t="s">
        <v>172</v>
      </c>
      <c r="BF5" s="236" t="s">
        <v>271</v>
      </c>
      <c r="BG5" s="230" t="s">
        <v>285</v>
      </c>
      <c r="BH5" s="66" t="s">
        <v>283</v>
      </c>
      <c r="BI5" s="58" t="s">
        <v>284</v>
      </c>
      <c r="BJ5" s="59" t="s">
        <v>282</v>
      </c>
      <c r="BK5" s="5"/>
      <c r="BL5" s="5"/>
      <c r="BM5" s="5"/>
      <c r="BN5" s="5"/>
      <c r="BO5" s="5"/>
      <c r="BP5" s="5"/>
      <c r="BQ5" s="5"/>
      <c r="BR5" s="5"/>
      <c r="BS5" s="5"/>
      <c r="BT5" s="5"/>
    </row>
    <row r="6" spans="2:72" x14ac:dyDescent="0.2">
      <c r="B6" s="71"/>
      <c r="C6" s="18"/>
      <c r="D6" s="18"/>
      <c r="E6" s="372"/>
      <c r="F6" s="391"/>
      <c r="G6" s="25" t="str">
        <f>IFERROR(IF(VLOOKUP($B6,'Month-1'!$B$3:$D$42,2,0)=0,"",VLOOKUP($B6,'Month-1'!$B$3:$D$42,2,0)),"")</f>
        <v/>
      </c>
      <c r="H6" s="26" t="str">
        <f>IFERROR(IF(VLOOKUP($B6,'Month-1'!$B$3:$D$42,3,0)=0,"",VLOOKUP($B6,'Month-1'!$B$3:$D$42,3,0)),"")</f>
        <v/>
      </c>
      <c r="I6" s="24"/>
      <c r="J6" s="18"/>
      <c r="K6" s="357"/>
      <c r="L6" s="18"/>
      <c r="M6" s="18"/>
      <c r="N6" s="18"/>
      <c r="O6" s="18"/>
      <c r="P6" s="18"/>
      <c r="Q6" s="18"/>
      <c r="R6" s="18"/>
      <c r="S6" s="18"/>
      <c r="T6" s="357"/>
      <c r="U6" s="357"/>
      <c r="V6" s="18"/>
      <c r="W6" s="357"/>
      <c r="X6" s="357"/>
      <c r="Y6" s="357"/>
      <c r="Z6" s="357"/>
      <c r="AA6" s="357"/>
      <c r="AB6" s="357"/>
      <c r="AC6" s="357"/>
      <c r="AD6" s="357"/>
      <c r="AE6" s="357"/>
      <c r="AF6" s="357"/>
      <c r="AG6" s="357"/>
      <c r="AH6" s="357"/>
      <c r="AI6" s="357"/>
      <c r="AJ6" s="357"/>
      <c r="AK6" s="357"/>
      <c r="AL6" s="18"/>
      <c r="AM6" s="18"/>
      <c r="AN6" s="357"/>
      <c r="AO6" s="18"/>
      <c r="AP6" s="357"/>
      <c r="AQ6" s="26"/>
      <c r="AS6" s="345">
        <f>IFERROR(INDEX('Month-1'!$E$3:$E$42,MATCH($B6,'Month-1'!$B$3:$B$42,0)),0)</f>
        <v>0</v>
      </c>
      <c r="AT6" s="22">
        <f>IFERROR(INDEX('Month-1'!$F$3:$F$42,MATCH($B6,'Month-1'!$B$3:$B$42,0)),0)</f>
        <v>0</v>
      </c>
      <c r="AU6" s="22">
        <f>IFERROR(INDEX('Month-1'!#REF!,MATCH($B6,'Month-1'!$B$3:$B$42,0)),0)</f>
        <v>0</v>
      </c>
      <c r="AV6" s="346">
        <f>IFERROR(INDEX('Month-1'!$G$3:$G$42,MATCH($B6,'Month-1'!$B$3:$B$42,0)),0)</f>
        <v>0</v>
      </c>
      <c r="AW6" s="42">
        <f>COUNTIFS(I6:AQ6,"HO*",$I$2:$AQ$2,"&lt;5",$I$1:$AQ$1,"")</f>
        <v>0</v>
      </c>
      <c r="AX6" s="23" cm="1">
        <f t="array" ref="AX6">SUMPRODUCT( (LEFT(I6:AQ6,2)="HO") * (I6:AQ6&lt;&gt;"HO6") * ( (($I$1:$AQ$1="PRE") + ($I$2:$AQ$2=5)) &gt;0 ) )</f>
        <v>0</v>
      </c>
      <c r="AY6" s="23" cm="1">
        <f t="array" ref="AY6">SUMPRODUCT( (LEFT(I6:AQ6,2)="HO") * (I6:AQ6&lt;&gt;"HO6") * ( (($I$1:$AQ$1="Y") + ($I$2:$AQ$2=6)) &gt;0 ) )</f>
        <v>0</v>
      </c>
      <c r="AZ6" s="23">
        <f t="shared" ref="AZ6" si="3">COUNTIFS(I6:AQ6,"HO*",$I$2:$AQ$2,"7",$I$1:$AQ$1,"") - COUNTIFS(I6:AQ6,"HO6",$I$2:$AQ$2,"7",$I$1:$AQ$1,"")</f>
        <v>0</v>
      </c>
      <c r="BA6" s="23">
        <f t="shared" ref="BA6" si="4">COUNTIF(I6:AQ6,"HO6")</f>
        <v>0</v>
      </c>
      <c r="BB6" s="278">
        <f t="shared" ref="BB6" si="5">COUNTIF(I6:AQ6,"WR*")</f>
        <v>0</v>
      </c>
      <c r="BC6" s="39">
        <f t="shared" ref="BC6" si="6">COUNTIF(I6:AQ6,"SB")</f>
        <v>0</v>
      </c>
      <c r="BD6" s="25">
        <f t="shared" ref="BD6:BD45" si="7">SUM(AW6:AZ6)+BA6*0.5</f>
        <v>0</v>
      </c>
      <c r="BE6" s="18">
        <f>AW6*1+AX6*1.5+AY6*2.5+AZ6*2+BA6*0.5</f>
        <v>0</v>
      </c>
      <c r="BF6" s="346" cm="1">
        <f t="array" ref="BF6">SUMPRODUCT((I$2:AO$2=5)*(I6:AO6="")*(J$2:AP$2=6)*(J6:AP6="")*(K$2:AQ$2=7)*(K6:AQ6=""))</f>
        <v>5</v>
      </c>
      <c r="BG6" s="25">
        <f t="shared" ref="BG6:BG45" si="8">BD6+AS6</f>
        <v>0</v>
      </c>
      <c r="BH6" s="18">
        <f t="shared" ref="BH6:BH45" si="9">BE6+AT6</f>
        <v>0</v>
      </c>
      <c r="BI6" s="18">
        <f t="shared" ref="BI6:BI45" si="10">IF(AV6&lt;&gt;"", AV6+1, "")</f>
        <v>1</v>
      </c>
      <c r="BJ6" s="26">
        <f t="shared" ref="BJ6:BJ45" si="11">BH6/BI6</f>
        <v>0</v>
      </c>
    </row>
    <row r="7" spans="2:72" x14ac:dyDescent="0.2">
      <c r="B7" s="71"/>
      <c r="C7" s="18"/>
      <c r="D7" s="18"/>
      <c r="E7" s="372"/>
      <c r="F7" s="391"/>
      <c r="G7" s="25" t="str">
        <f>IFERROR(IF(VLOOKUP($B7,'Month-1'!$B$3:$D$42,2,0)=0,"",VLOOKUP($B7,'Month-1'!$B$3:$D$42,2,0)),"")</f>
        <v/>
      </c>
      <c r="H7" s="26" t="str">
        <f>IFERROR(IF(VLOOKUP($B7,'Month-1'!$B$3:$D$42,3,0)=0,"",VLOOKUP($B7,'Month-1'!$B$3:$D$42,3,0)),"")</f>
        <v/>
      </c>
      <c r="I7" s="24"/>
      <c r="J7" s="18"/>
      <c r="K7" s="357"/>
      <c r="L7" s="18"/>
      <c r="M7" s="18"/>
      <c r="N7" s="18"/>
      <c r="O7" s="18"/>
      <c r="P7" s="18"/>
      <c r="Q7" s="18"/>
      <c r="R7" s="18"/>
      <c r="S7" s="18"/>
      <c r="T7" s="357"/>
      <c r="U7" s="357"/>
      <c r="V7" s="18"/>
      <c r="W7" s="357"/>
      <c r="X7" s="357"/>
      <c r="Y7" s="357"/>
      <c r="Z7" s="357"/>
      <c r="AA7" s="357"/>
      <c r="AB7" s="357"/>
      <c r="AC7" s="357"/>
      <c r="AD7" s="357"/>
      <c r="AE7" s="357"/>
      <c r="AF7" s="357"/>
      <c r="AG7" s="357"/>
      <c r="AH7" s="357"/>
      <c r="AI7" s="357"/>
      <c r="AJ7" s="357"/>
      <c r="AK7" s="357"/>
      <c r="AL7" s="18"/>
      <c r="AM7" s="18"/>
      <c r="AN7" s="357"/>
      <c r="AO7" s="18"/>
      <c r="AP7" s="357"/>
      <c r="AQ7" s="26"/>
      <c r="AS7" s="345">
        <f>IFERROR(INDEX('Month-1'!$E$3:$E$42,MATCH($B7,'Month-1'!$B$3:$B$42,0)),0)</f>
        <v>0</v>
      </c>
      <c r="AT7" s="22">
        <f>IFERROR(INDEX('Month-1'!$F$3:$F$42,MATCH($B7,'Month-1'!$B$3:$B$42,0)),0)</f>
        <v>0</v>
      </c>
      <c r="AU7" s="22">
        <f>IFERROR(INDEX('Month-1'!#REF!,MATCH($B7,'Month-1'!$B$3:$B$42,0)),0)</f>
        <v>0</v>
      </c>
      <c r="AV7" s="346">
        <f>IFERROR(INDEX('Month-1'!$G$3:$G$42,MATCH($B7,'Month-1'!$B$3:$B$42,0)),0)</f>
        <v>0</v>
      </c>
      <c r="AW7" s="42">
        <f t="shared" ref="AW7:AW45" si="12">COUNTIFS(I7:AQ7,"HO*",$I$2:$AQ$2,"&lt;5",$I$1:$AQ$1,"")</f>
        <v>0</v>
      </c>
      <c r="AX7" s="23" cm="1">
        <f t="array" ref="AX7">SUMPRODUCT( (LEFT(I7:AQ7,2)="HO") * (I7:AQ7&lt;&gt;"HO6") * ( (($I$1:$AQ$1="PRE") + ($I$2:$AQ$2=5)) &gt;0 ) )</f>
        <v>0</v>
      </c>
      <c r="AY7" s="23" cm="1">
        <f t="array" ref="AY7">SUMPRODUCT( (LEFT(I7:AQ7,2)="HO") * (I7:AQ7&lt;&gt;"HO6") * ( (($I$1:$AQ$1="Y") + ($I$2:$AQ$2=6)) &gt;0 ) )</f>
        <v>0</v>
      </c>
      <c r="AZ7" s="23">
        <f t="shared" ref="AZ7:AZ45" si="13">COUNTIFS(I7:AQ7,"HO*",$I$2:$AQ$2,"7",$I$1:$AQ$1,"") - COUNTIFS(I7:AQ7,"HO6",$I$2:$AQ$2,"7",$I$1:$AQ$1,"")</f>
        <v>0</v>
      </c>
      <c r="BA7" s="23">
        <f t="shared" ref="BA7:BA45" si="14">COUNTIF(I7:AQ7,"HO6")</f>
        <v>0</v>
      </c>
      <c r="BB7" s="278">
        <f t="shared" ref="BB7:BB45" si="15">COUNTIF(I7:AQ7,"WR*")</f>
        <v>0</v>
      </c>
      <c r="BC7" s="39">
        <f t="shared" ref="BC7:BC45" si="16">COUNTIF(I7:AQ7,"SB")</f>
        <v>0</v>
      </c>
      <c r="BD7" s="25">
        <f t="shared" si="7"/>
        <v>0</v>
      </c>
      <c r="BE7" s="18">
        <f t="shared" ref="BE7:BE45" si="17">AW7*1+AX7*1.5+AY7*2.5+AZ7*2+BA7*0.5</f>
        <v>0</v>
      </c>
      <c r="BF7" s="346" cm="1">
        <f t="array" ref="BF7">SUMPRODUCT((I$2:AO$2=5)*(I7:AO7="")*(J$2:AP$2=6)*(J7:AP7="")*(K$2:AQ$2=7)*(K7:AQ7=""))</f>
        <v>5</v>
      </c>
      <c r="BG7" s="25">
        <f t="shared" si="8"/>
        <v>0</v>
      </c>
      <c r="BH7" s="18">
        <f t="shared" si="9"/>
        <v>0</v>
      </c>
      <c r="BI7" s="18">
        <f t="shared" si="10"/>
        <v>1</v>
      </c>
      <c r="BJ7" s="26">
        <f t="shared" si="11"/>
        <v>0</v>
      </c>
    </row>
    <row r="8" spans="2:72" x14ac:dyDescent="0.2">
      <c r="B8" s="71"/>
      <c r="C8" s="18"/>
      <c r="D8" s="18"/>
      <c r="E8" s="372"/>
      <c r="F8" s="391"/>
      <c r="G8" s="25" t="str">
        <f>IFERROR(IF(VLOOKUP($B8,'Month-1'!$B$3:$D$42,2,0)=0,"",VLOOKUP($B8,'Month-1'!$B$3:$D$42,2,0)),"")</f>
        <v/>
      </c>
      <c r="H8" s="26" t="str">
        <f>IFERROR(IF(VLOOKUP($B8,'Month-1'!$B$3:$D$42,3,0)=0,"",VLOOKUP($B8,'Month-1'!$B$3:$D$42,3,0)),"")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7"/>
      <c r="AA8" s="357"/>
      <c r="AB8" s="357"/>
      <c r="AC8" s="357"/>
      <c r="AD8" s="357"/>
      <c r="AE8" s="357"/>
      <c r="AF8" s="357"/>
      <c r="AG8" s="357"/>
      <c r="AH8" s="18"/>
      <c r="AI8" s="18"/>
      <c r="AJ8" s="18"/>
      <c r="AK8" s="18"/>
      <c r="AL8" s="18"/>
      <c r="AM8" s="18"/>
      <c r="AN8" s="18"/>
      <c r="AO8" s="18"/>
      <c r="AP8" s="18"/>
      <c r="AQ8" s="26"/>
      <c r="AS8" s="345">
        <f>IFERROR(INDEX('Month-1'!$E$3:$E$42,MATCH($B8,'Month-1'!$B$3:$B$42,0)),0)</f>
        <v>0</v>
      </c>
      <c r="AT8" s="22">
        <f>IFERROR(INDEX('Month-1'!$F$3:$F$42,MATCH($B8,'Month-1'!$B$3:$B$42,0)),0)</f>
        <v>0</v>
      </c>
      <c r="AU8" s="22">
        <f>IFERROR(INDEX('Month-1'!#REF!,MATCH($B8,'Month-1'!$B$3:$B$42,0)),0)</f>
        <v>0</v>
      </c>
      <c r="AV8" s="346">
        <f>IFERROR(INDEX('Month-1'!$G$3:$G$42,MATCH($B8,'Month-1'!$B$3:$B$42,0)),0)</f>
        <v>0</v>
      </c>
      <c r="AW8" s="42">
        <f t="shared" si="12"/>
        <v>0</v>
      </c>
      <c r="AX8" s="23" cm="1">
        <f t="array" ref="AX8">SUMPRODUCT( (LEFT(I8:AQ8,2)="HO") * (I8:AQ8&lt;&gt;"HO6") * ( (($I$1:$AQ$1="PRE") + ($I$2:$AQ$2=5)) &gt;0 ) )</f>
        <v>0</v>
      </c>
      <c r="AY8" s="23" cm="1">
        <f t="array" ref="AY8">SUMPRODUCT( (LEFT(I8:AQ8,2)="HO") * (I8:AQ8&lt;&gt;"HO6") * ( (($I$1:$AQ$1="Y") + ($I$2:$AQ$2=6)) &gt;0 ) )</f>
        <v>0</v>
      </c>
      <c r="AZ8" s="23">
        <f t="shared" si="13"/>
        <v>0</v>
      </c>
      <c r="BA8" s="23">
        <f t="shared" si="14"/>
        <v>0</v>
      </c>
      <c r="BB8" s="278">
        <f t="shared" si="15"/>
        <v>0</v>
      </c>
      <c r="BC8" s="39">
        <f t="shared" si="16"/>
        <v>0</v>
      </c>
      <c r="BD8" s="25">
        <f t="shared" si="7"/>
        <v>0</v>
      </c>
      <c r="BE8" s="18">
        <f t="shared" si="17"/>
        <v>0</v>
      </c>
      <c r="BF8" s="346" cm="1">
        <f t="array" ref="BF8">SUMPRODUCT((I$2:AO$2=5)*(I8:AO8="")*(J$2:AP$2=6)*(J8:AP8="")*(K$2:AQ$2=7)*(K8:AQ8=""))</f>
        <v>5</v>
      </c>
      <c r="BG8" s="25">
        <f t="shared" si="8"/>
        <v>0</v>
      </c>
      <c r="BH8" s="18">
        <f t="shared" si="9"/>
        <v>0</v>
      </c>
      <c r="BI8" s="18">
        <f t="shared" si="10"/>
        <v>1</v>
      </c>
      <c r="BJ8" s="26">
        <f t="shared" si="11"/>
        <v>0</v>
      </c>
    </row>
    <row r="9" spans="2:72" x14ac:dyDescent="0.2">
      <c r="B9" s="71"/>
      <c r="C9" s="18"/>
      <c r="D9" s="18"/>
      <c r="E9" s="372"/>
      <c r="F9" s="391"/>
      <c r="G9" s="25" t="str">
        <f>IFERROR(IF(VLOOKUP($B9,'Month-1'!$B$3:$D$42,2,0)=0,"",VLOOKUP($B9,'Month-1'!$B$3:$D$42,2,0)),"")</f>
        <v/>
      </c>
      <c r="H9" s="26" t="str">
        <f>IFERROR(IF(VLOOKUP($B9,'Month-1'!$B$3:$D$42,3,0)=0,"",VLOOKUP($B9,'Month-1'!$B$3:$D$42,3,0)),"")</f>
        <v/>
      </c>
      <c r="I9" s="24"/>
      <c r="J9" s="357"/>
      <c r="K9" s="357"/>
      <c r="L9" s="18"/>
      <c r="M9" s="357"/>
      <c r="N9" s="18"/>
      <c r="O9" s="18"/>
      <c r="P9" s="18"/>
      <c r="Q9" s="18"/>
      <c r="R9" s="18"/>
      <c r="S9" s="357"/>
      <c r="T9" s="18"/>
      <c r="U9" s="18"/>
      <c r="V9" s="18"/>
      <c r="W9" s="18"/>
      <c r="X9" s="18"/>
      <c r="Y9" s="18"/>
      <c r="Z9" s="18"/>
      <c r="AA9" s="357"/>
      <c r="AB9" s="357"/>
      <c r="AC9" s="18"/>
      <c r="AD9" s="18"/>
      <c r="AE9" s="18"/>
      <c r="AF9" s="18"/>
      <c r="AG9" s="18"/>
      <c r="AH9" s="18"/>
      <c r="AI9" s="357"/>
      <c r="AJ9" s="357"/>
      <c r="AK9" s="357"/>
      <c r="AL9" s="18"/>
      <c r="AM9" s="18"/>
      <c r="AN9" s="18"/>
      <c r="AO9" s="357"/>
      <c r="AP9" s="18"/>
      <c r="AQ9" s="26"/>
      <c r="AS9" s="345">
        <f>IFERROR(INDEX('Month-1'!$E$3:$E$42,MATCH($B9,'Month-1'!$B$3:$B$42,0)),0)</f>
        <v>0</v>
      </c>
      <c r="AT9" s="22">
        <f>IFERROR(INDEX('Month-1'!$F$3:$F$42,MATCH($B9,'Month-1'!$B$3:$B$42,0)),0)</f>
        <v>0</v>
      </c>
      <c r="AU9" s="22">
        <f>IFERROR(INDEX('Month-1'!#REF!,MATCH($B9,'Month-1'!$B$3:$B$42,0)),0)</f>
        <v>0</v>
      </c>
      <c r="AV9" s="346">
        <f>IFERROR(INDEX('Month-1'!$G$3:$G$42,MATCH($B9,'Month-1'!$B$3:$B$42,0)),0)</f>
        <v>0</v>
      </c>
      <c r="AW9" s="42">
        <f t="shared" si="12"/>
        <v>0</v>
      </c>
      <c r="AX9" s="23" cm="1">
        <f t="array" ref="AX9">SUMPRODUCT( (LEFT(I9:AQ9,2)="HO") * (I9:AQ9&lt;&gt;"HO6") * ( (($I$1:$AQ$1="PRE") + ($I$2:$AQ$2=5)) &gt;0 ) )</f>
        <v>0</v>
      </c>
      <c r="AY9" s="23" cm="1">
        <f t="array" ref="AY9">SUMPRODUCT( (LEFT(I9:AQ9,2)="HO") * (I9:AQ9&lt;&gt;"HO6") * ( (($I$1:$AQ$1="Y") + ($I$2:$AQ$2=6)) &gt;0 ) )</f>
        <v>0</v>
      </c>
      <c r="AZ9" s="23">
        <f t="shared" si="13"/>
        <v>0</v>
      </c>
      <c r="BA9" s="23">
        <f t="shared" si="14"/>
        <v>0</v>
      </c>
      <c r="BB9" s="278">
        <f t="shared" si="15"/>
        <v>0</v>
      </c>
      <c r="BC9" s="39">
        <f t="shared" si="16"/>
        <v>0</v>
      </c>
      <c r="BD9" s="25">
        <f t="shared" si="7"/>
        <v>0</v>
      </c>
      <c r="BE9" s="18">
        <f t="shared" si="17"/>
        <v>0</v>
      </c>
      <c r="BF9" s="346" cm="1">
        <f t="array" ref="BF9">SUMPRODUCT((I$2:AO$2=5)*(I9:AO9="")*(J$2:AP$2=6)*(J9:AP9="")*(K$2:AQ$2=7)*(K9:AQ9=""))</f>
        <v>5</v>
      </c>
      <c r="BG9" s="25">
        <f t="shared" si="8"/>
        <v>0</v>
      </c>
      <c r="BH9" s="18">
        <f t="shared" si="9"/>
        <v>0</v>
      </c>
      <c r="BI9" s="18">
        <f t="shared" si="10"/>
        <v>1</v>
      </c>
      <c r="BJ9" s="26">
        <f t="shared" si="11"/>
        <v>0</v>
      </c>
    </row>
    <row r="10" spans="2:72" x14ac:dyDescent="0.2">
      <c r="B10" s="71"/>
      <c r="C10" s="18"/>
      <c r="D10" s="18"/>
      <c r="E10" s="372"/>
      <c r="F10" s="391"/>
      <c r="G10" s="25" t="str">
        <f>IFERROR(IF(VLOOKUP($B10,'Month-1'!$B$3:$D$42,2,0)=0,"",VLOOKUP($B10,'Month-1'!$B$3:$D$42,2,0)),"")</f>
        <v/>
      </c>
      <c r="H10" s="26" t="str">
        <f>IFERROR(IF(VLOOKUP($B10,'Month-1'!$B$3:$D$42,3,0)=0,"",VLOOKUP($B10,'Month-1'!$B$3:$D$42,3,0)),"")</f>
        <v/>
      </c>
      <c r="I10" s="369"/>
      <c r="J10" s="357"/>
      <c r="K10" s="357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357"/>
      <c r="X10" s="357"/>
      <c r="Y10" s="357"/>
      <c r="Z10" s="357"/>
      <c r="AA10" s="357"/>
      <c r="AB10" s="18"/>
      <c r="AC10" s="357"/>
      <c r="AD10" s="18"/>
      <c r="AE10" s="18"/>
      <c r="AF10" s="18"/>
      <c r="AG10" s="357"/>
      <c r="AH10" s="357"/>
      <c r="AI10" s="357"/>
      <c r="AJ10" s="18"/>
      <c r="AK10" s="18"/>
      <c r="AL10" s="18"/>
      <c r="AM10" s="18"/>
      <c r="AN10" s="357"/>
      <c r="AO10" s="357"/>
      <c r="AP10" s="357"/>
      <c r="AQ10" s="359"/>
      <c r="AS10" s="345">
        <f>IFERROR(INDEX('Month-1'!$E$3:$E$42,MATCH($B10,'Month-1'!$B$3:$B$42,0)),0)</f>
        <v>0</v>
      </c>
      <c r="AT10" s="22">
        <f>IFERROR(INDEX('Month-1'!$F$3:$F$42,MATCH($B10,'Month-1'!$B$3:$B$42,0)),0)</f>
        <v>0</v>
      </c>
      <c r="AU10" s="22">
        <f>IFERROR(INDEX('Month-1'!#REF!,MATCH($B10,'Month-1'!$B$3:$B$42,0)),0)</f>
        <v>0</v>
      </c>
      <c r="AV10" s="346">
        <f>IFERROR(INDEX('Month-1'!$G$3:$G$42,MATCH($B10,'Month-1'!$B$3:$B$42,0)),0)</f>
        <v>0</v>
      </c>
      <c r="AW10" s="42">
        <f t="shared" si="12"/>
        <v>0</v>
      </c>
      <c r="AX10" s="23" cm="1">
        <f t="array" ref="AX10">SUMPRODUCT( (LEFT(I10:AQ10,2)="HO") * (I10:AQ10&lt;&gt;"HO6") * ( (($I$1:$AQ$1="PRE") + ($I$2:$AQ$2=5)) &gt;0 ) )</f>
        <v>0</v>
      </c>
      <c r="AY10" s="23" cm="1">
        <f t="array" ref="AY10">SUMPRODUCT( (LEFT(I10:AQ10,2)="HO") * (I10:AQ10&lt;&gt;"HO6") * ( (($I$1:$AQ$1="Y") + ($I$2:$AQ$2=6)) &gt;0 ) )</f>
        <v>0</v>
      </c>
      <c r="AZ10" s="23">
        <f t="shared" si="13"/>
        <v>0</v>
      </c>
      <c r="BA10" s="23">
        <f t="shared" si="14"/>
        <v>0</v>
      </c>
      <c r="BB10" s="278">
        <f t="shared" si="15"/>
        <v>0</v>
      </c>
      <c r="BC10" s="39">
        <f t="shared" si="16"/>
        <v>0</v>
      </c>
      <c r="BD10" s="25">
        <f t="shared" si="7"/>
        <v>0</v>
      </c>
      <c r="BE10" s="18">
        <f t="shared" si="17"/>
        <v>0</v>
      </c>
      <c r="BF10" s="346" cm="1">
        <f t="array" ref="BF10">SUMPRODUCT((I$2:AO$2=5)*(I10:AO10="")*(J$2:AP$2=6)*(J10:AP10="")*(K$2:AQ$2=7)*(K10:AQ10=""))</f>
        <v>5</v>
      </c>
      <c r="BG10" s="25">
        <f t="shared" si="8"/>
        <v>0</v>
      </c>
      <c r="BH10" s="18">
        <f t="shared" si="9"/>
        <v>0</v>
      </c>
      <c r="BI10" s="18">
        <f t="shared" si="10"/>
        <v>1</v>
      </c>
      <c r="BJ10" s="26">
        <f t="shared" si="11"/>
        <v>0</v>
      </c>
    </row>
    <row r="11" spans="2:72" x14ac:dyDescent="0.2">
      <c r="B11" s="71"/>
      <c r="C11" s="18"/>
      <c r="D11" s="18"/>
      <c r="E11" s="372"/>
      <c r="F11" s="391"/>
      <c r="G11" s="25" t="str">
        <f>IFERROR(IF(VLOOKUP($B11,'Month-1'!$B$3:$D$42,2,0)=0,"",VLOOKUP($B11,'Month-1'!$B$3:$D$42,2,0)),"")</f>
        <v/>
      </c>
      <c r="H11" s="26" t="str">
        <f>IFERROR(IF(VLOOKUP($B11,'Month-1'!$B$3:$D$42,3,0)=0,"",VLOOKUP($B11,'Month-1'!$B$3:$D$42,3,0)),"")</f>
        <v/>
      </c>
      <c r="I11" s="24"/>
      <c r="J11" s="18"/>
      <c r="K11" s="357"/>
      <c r="L11" s="18"/>
      <c r="M11" s="357"/>
      <c r="N11" s="18"/>
      <c r="O11" s="357"/>
      <c r="P11" s="357"/>
      <c r="Q11" s="357"/>
      <c r="R11" s="357"/>
      <c r="S11" s="357"/>
      <c r="T11" s="357"/>
      <c r="U11" s="18"/>
      <c r="V11" s="18"/>
      <c r="W11" s="18"/>
      <c r="X11" s="18"/>
      <c r="Y11" s="357"/>
      <c r="Z11" s="357"/>
      <c r="AA11" s="357"/>
      <c r="AB11" s="357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26"/>
      <c r="AS11" s="345">
        <f>IFERROR(INDEX('Month-1'!$E$3:$E$42,MATCH($B11,'Month-1'!$B$3:$B$42,0)),0)</f>
        <v>0</v>
      </c>
      <c r="AT11" s="22">
        <f>IFERROR(INDEX('Month-1'!$F$3:$F$42,MATCH($B11,'Month-1'!$B$3:$B$42,0)),0)</f>
        <v>0</v>
      </c>
      <c r="AU11" s="22">
        <f>IFERROR(INDEX('Month-1'!#REF!,MATCH($B11,'Month-1'!$B$3:$B$42,0)),0)</f>
        <v>0</v>
      </c>
      <c r="AV11" s="346">
        <f>IFERROR(INDEX('Month-1'!$G$3:$G$42,MATCH($B11,'Month-1'!$B$3:$B$42,0)),0)</f>
        <v>0</v>
      </c>
      <c r="AW11" s="42">
        <f t="shared" si="12"/>
        <v>0</v>
      </c>
      <c r="AX11" s="23" cm="1">
        <f t="array" ref="AX11">SUMPRODUCT( (LEFT(I11:AQ11,2)="HO") * (I11:AQ11&lt;&gt;"HO6") * ( (($I$1:$AQ$1="PRE") + ($I$2:$AQ$2=5)) &gt;0 ) )</f>
        <v>0</v>
      </c>
      <c r="AY11" s="23" cm="1">
        <f t="array" ref="AY11">SUMPRODUCT( (LEFT(I11:AQ11,2)="HO") * (I11:AQ11&lt;&gt;"HO6") * ( (($I$1:$AQ$1="Y") + ($I$2:$AQ$2=6)) &gt;0 ) )</f>
        <v>0</v>
      </c>
      <c r="AZ11" s="23">
        <f t="shared" si="13"/>
        <v>0</v>
      </c>
      <c r="BA11" s="23">
        <f t="shared" si="14"/>
        <v>0</v>
      </c>
      <c r="BB11" s="278">
        <f t="shared" si="15"/>
        <v>0</v>
      </c>
      <c r="BC11" s="39">
        <f t="shared" si="16"/>
        <v>0</v>
      </c>
      <c r="BD11" s="25">
        <f t="shared" si="7"/>
        <v>0</v>
      </c>
      <c r="BE11" s="18">
        <f t="shared" si="17"/>
        <v>0</v>
      </c>
      <c r="BF11" s="346" cm="1">
        <f t="array" ref="BF11">SUMPRODUCT((I$2:AO$2=5)*(I11:AO11="")*(J$2:AP$2=6)*(J11:AP11="")*(K$2:AQ$2=7)*(K11:AQ11=""))</f>
        <v>5</v>
      </c>
      <c r="BG11" s="25">
        <f t="shared" si="8"/>
        <v>0</v>
      </c>
      <c r="BH11" s="18">
        <f t="shared" si="9"/>
        <v>0</v>
      </c>
      <c r="BI11" s="18">
        <f t="shared" si="10"/>
        <v>1</v>
      </c>
      <c r="BJ11" s="26">
        <f t="shared" si="11"/>
        <v>0</v>
      </c>
    </row>
    <row r="12" spans="2:72" x14ac:dyDescent="0.2">
      <c r="B12" s="71"/>
      <c r="C12" s="18"/>
      <c r="D12" s="18"/>
      <c r="E12" s="372"/>
      <c r="F12" s="391"/>
      <c r="G12" s="25" t="str">
        <f>IFERROR(IF(VLOOKUP($B12,'Month-1'!$B$3:$D$42,2,0)=0,"",VLOOKUP($B12,'Month-1'!$B$3:$D$42,2,0)),"")</f>
        <v/>
      </c>
      <c r="H12" s="26" t="str">
        <f>IFERROR(IF(VLOOKUP($B12,'Month-1'!$B$3:$D$42,3,0)=0,"",VLOOKUP($B12,'Month-1'!$B$3:$D$42,3,0)),"")</f>
        <v/>
      </c>
      <c r="I12" s="24"/>
      <c r="J12" s="18"/>
      <c r="K12" s="18"/>
      <c r="L12" s="357"/>
      <c r="M12" s="18"/>
      <c r="N12" s="18"/>
      <c r="O12" s="18"/>
      <c r="P12" s="18"/>
      <c r="Q12" s="18"/>
      <c r="R12" s="357"/>
      <c r="S12" s="18"/>
      <c r="T12" s="18"/>
      <c r="U12" s="18"/>
      <c r="V12" s="357"/>
      <c r="W12" s="357"/>
      <c r="X12" s="357"/>
      <c r="Y12" s="18"/>
      <c r="Z12" s="18"/>
      <c r="AA12" s="357"/>
      <c r="AB12" s="357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26"/>
      <c r="AS12" s="345">
        <f>IFERROR(INDEX('Month-1'!$E$3:$E$42,MATCH($B12,'Month-1'!$B$3:$B$42,0)),0)</f>
        <v>0</v>
      </c>
      <c r="AT12" s="22">
        <f>IFERROR(INDEX('Month-1'!$F$3:$F$42,MATCH($B12,'Month-1'!$B$3:$B$42,0)),0)</f>
        <v>0</v>
      </c>
      <c r="AU12" s="22">
        <f>IFERROR(INDEX('Month-1'!#REF!,MATCH($B12,'Month-1'!$B$3:$B$42,0)),0)</f>
        <v>0</v>
      </c>
      <c r="AV12" s="346">
        <f>IFERROR(INDEX('Month-1'!$G$3:$G$42,MATCH($B12,'Month-1'!$B$3:$B$42,0)),0)</f>
        <v>0</v>
      </c>
      <c r="AW12" s="42">
        <f t="shared" si="12"/>
        <v>0</v>
      </c>
      <c r="AX12" s="23" cm="1">
        <f t="array" ref="AX12">SUMPRODUCT( (LEFT(I12:AQ12,2)="HO") * (I12:AQ12&lt;&gt;"HO6") * ( (($I$1:$AQ$1="PRE") + ($I$2:$AQ$2=5)) &gt;0 ) )</f>
        <v>0</v>
      </c>
      <c r="AY12" s="23" cm="1">
        <f t="array" ref="AY12">SUMPRODUCT( (LEFT(I12:AQ12,2)="HO") * (I12:AQ12&lt;&gt;"HO6") * ( (($I$1:$AQ$1="Y") + ($I$2:$AQ$2=6)) &gt;0 ) )</f>
        <v>0</v>
      </c>
      <c r="AZ12" s="23">
        <f t="shared" si="13"/>
        <v>0</v>
      </c>
      <c r="BA12" s="23">
        <f t="shared" si="14"/>
        <v>0</v>
      </c>
      <c r="BB12" s="278">
        <f t="shared" si="15"/>
        <v>0</v>
      </c>
      <c r="BC12" s="39">
        <f t="shared" si="16"/>
        <v>0</v>
      </c>
      <c r="BD12" s="25">
        <f t="shared" si="7"/>
        <v>0</v>
      </c>
      <c r="BE12" s="18">
        <f t="shared" si="17"/>
        <v>0</v>
      </c>
      <c r="BF12" s="346" cm="1">
        <f t="array" ref="BF12">SUMPRODUCT((I$2:AO$2=5)*(I12:AO12="")*(J$2:AP$2=6)*(J12:AP12="")*(K$2:AQ$2=7)*(K12:AQ12=""))</f>
        <v>5</v>
      </c>
      <c r="BG12" s="25">
        <f t="shared" si="8"/>
        <v>0</v>
      </c>
      <c r="BH12" s="18">
        <f t="shared" si="9"/>
        <v>0</v>
      </c>
      <c r="BI12" s="18">
        <f t="shared" si="10"/>
        <v>1</v>
      </c>
      <c r="BJ12" s="26">
        <f t="shared" si="11"/>
        <v>0</v>
      </c>
    </row>
    <row r="13" spans="2:72" x14ac:dyDescent="0.2">
      <c r="B13" s="71"/>
      <c r="C13" s="18"/>
      <c r="D13" s="18"/>
      <c r="E13" s="372"/>
      <c r="F13" s="391"/>
      <c r="G13" s="25" t="str">
        <f>IFERROR(IF(VLOOKUP($B13,'Month-1'!$B$3:$D$42,2,0)=0,"",VLOOKUP($B13,'Month-1'!$B$3:$D$42,2,0)),"")</f>
        <v/>
      </c>
      <c r="H13" s="26" t="str">
        <f>IFERROR(IF(VLOOKUP($B13,'Month-1'!$B$3:$D$42,3,0)=0,"",VLOOKUP($B13,'Month-1'!$B$3:$D$42,3,0)),"")</f>
        <v/>
      </c>
      <c r="I13" s="24"/>
      <c r="J13" s="18"/>
      <c r="K13" s="357"/>
      <c r="L13" s="18"/>
      <c r="M13" s="357"/>
      <c r="N13" s="357"/>
      <c r="O13" s="357"/>
      <c r="P13" s="357"/>
      <c r="Q13" s="357"/>
      <c r="R13" s="357"/>
      <c r="S13" s="357"/>
      <c r="T13" s="18"/>
      <c r="U13" s="357"/>
      <c r="V13" s="357"/>
      <c r="W13" s="357"/>
      <c r="X13" s="357"/>
      <c r="Y13" s="18"/>
      <c r="Z13" s="18"/>
      <c r="AA13" s="357"/>
      <c r="AB13" s="357"/>
      <c r="AC13" s="18"/>
      <c r="AD13" s="18"/>
      <c r="AE13" s="18"/>
      <c r="AF13" s="18"/>
      <c r="AG13" s="357"/>
      <c r="AH13" s="357"/>
      <c r="AI13" s="357"/>
      <c r="AJ13" s="18"/>
      <c r="AK13" s="18"/>
      <c r="AL13" s="18"/>
      <c r="AM13" s="18"/>
      <c r="AN13" s="18"/>
      <c r="AO13" s="357"/>
      <c r="AP13" s="357"/>
      <c r="AQ13" s="359"/>
      <c r="AS13" s="345">
        <f>IFERROR(INDEX('Month-1'!$E$3:$E$42,MATCH($B13,'Month-1'!$B$3:$B$42,0)),0)</f>
        <v>0</v>
      </c>
      <c r="AT13" s="22">
        <f>IFERROR(INDEX('Month-1'!$F$3:$F$42,MATCH($B13,'Month-1'!$B$3:$B$42,0)),0)</f>
        <v>0</v>
      </c>
      <c r="AU13" s="22">
        <f>IFERROR(INDEX('Month-1'!#REF!,MATCH($B13,'Month-1'!$B$3:$B$42,0)),0)</f>
        <v>0</v>
      </c>
      <c r="AV13" s="346">
        <f>IFERROR(INDEX('Month-1'!$G$3:$G$42,MATCH($B13,'Month-1'!$B$3:$B$42,0)),0)</f>
        <v>0</v>
      </c>
      <c r="AW13" s="42">
        <f t="shared" si="12"/>
        <v>0</v>
      </c>
      <c r="AX13" s="23" cm="1">
        <f t="array" ref="AX13">SUMPRODUCT( (LEFT(I13:AQ13,2)="HO") * (I13:AQ13&lt;&gt;"HO6") * ( (($I$1:$AQ$1="PRE") + ($I$2:$AQ$2=5)) &gt;0 ) )</f>
        <v>0</v>
      </c>
      <c r="AY13" s="23" cm="1">
        <f t="array" ref="AY13">SUMPRODUCT( (LEFT(I13:AQ13,2)="HO") * (I13:AQ13&lt;&gt;"HO6") * ( (($I$1:$AQ$1="Y") + ($I$2:$AQ$2=6)) &gt;0 ) )</f>
        <v>0</v>
      </c>
      <c r="AZ13" s="23">
        <f t="shared" si="13"/>
        <v>0</v>
      </c>
      <c r="BA13" s="23">
        <f t="shared" si="14"/>
        <v>0</v>
      </c>
      <c r="BB13" s="278">
        <f t="shared" si="15"/>
        <v>0</v>
      </c>
      <c r="BC13" s="39">
        <f t="shared" si="16"/>
        <v>0</v>
      </c>
      <c r="BD13" s="25">
        <f t="shared" si="7"/>
        <v>0</v>
      </c>
      <c r="BE13" s="18">
        <f t="shared" si="17"/>
        <v>0</v>
      </c>
      <c r="BF13" s="346" cm="1">
        <f t="array" ref="BF13">SUMPRODUCT((I$2:AO$2=5)*(I13:AO13="")*(J$2:AP$2=6)*(J13:AP13="")*(K$2:AQ$2=7)*(K13:AQ13=""))</f>
        <v>5</v>
      </c>
      <c r="BG13" s="25">
        <f t="shared" si="8"/>
        <v>0</v>
      </c>
      <c r="BH13" s="18">
        <f t="shared" si="9"/>
        <v>0</v>
      </c>
      <c r="BI13" s="18">
        <f t="shared" si="10"/>
        <v>1</v>
      </c>
      <c r="BJ13" s="26">
        <f t="shared" si="11"/>
        <v>0</v>
      </c>
    </row>
    <row r="14" spans="2:72" x14ac:dyDescent="0.2">
      <c r="B14" s="71"/>
      <c r="C14" s="18"/>
      <c r="D14" s="18"/>
      <c r="E14" s="372"/>
      <c r="F14" s="391"/>
      <c r="G14" s="25" t="str">
        <f>IFERROR(IF(VLOOKUP($B14,'Month-1'!$B$3:$D$42,2,0)=0,"",VLOOKUP($B14,'Month-1'!$B$3:$D$42,2,0)),"")</f>
        <v/>
      </c>
      <c r="H14" s="26" t="str">
        <f>IFERROR(IF(VLOOKUP($B14,'Month-1'!$B$3:$D$42,3,0)=0,"",VLOOKUP($B14,'Month-1'!$B$3:$D$42,3,0)),"")</f>
        <v/>
      </c>
      <c r="I14" s="24"/>
      <c r="J14" s="18"/>
      <c r="K14" s="18"/>
      <c r="L14" s="18"/>
      <c r="M14" s="18"/>
      <c r="N14" s="18"/>
      <c r="O14" s="18"/>
      <c r="P14" s="18"/>
      <c r="Q14" s="357"/>
      <c r="R14" s="357"/>
      <c r="S14" s="357"/>
      <c r="T14" s="357"/>
      <c r="U14" s="18"/>
      <c r="V14" s="18"/>
      <c r="W14" s="18"/>
      <c r="X14" s="18"/>
      <c r="Y14" s="18"/>
      <c r="Z14" s="18"/>
      <c r="AA14" s="357"/>
      <c r="AB14" s="357"/>
      <c r="AC14" s="18"/>
      <c r="AD14" s="18"/>
      <c r="AE14" s="18"/>
      <c r="AF14" s="18"/>
      <c r="AG14" s="18"/>
      <c r="AH14" s="357"/>
      <c r="AI14" s="18"/>
      <c r="AJ14" s="18"/>
      <c r="AK14" s="18"/>
      <c r="AL14" s="357"/>
      <c r="AM14" s="18"/>
      <c r="AN14" s="357"/>
      <c r="AO14" s="18"/>
      <c r="AP14" s="18"/>
      <c r="AQ14" s="359"/>
      <c r="AS14" s="345">
        <f>IFERROR(INDEX('Month-1'!$E$3:$E$42,MATCH($B14,'Month-1'!$B$3:$B$42,0)),0)</f>
        <v>0</v>
      </c>
      <c r="AT14" s="22">
        <f>IFERROR(INDEX('Month-1'!$F$3:$F$42,MATCH($B14,'Month-1'!$B$3:$B$42,0)),0)</f>
        <v>0</v>
      </c>
      <c r="AU14" s="22">
        <f>IFERROR(INDEX('Month-1'!#REF!,MATCH($B14,'Month-1'!$B$3:$B$42,0)),0)</f>
        <v>0</v>
      </c>
      <c r="AV14" s="346">
        <f>IFERROR(INDEX('Month-1'!$G$3:$G$42,MATCH($B14,'Month-1'!$B$3:$B$42,0)),0)</f>
        <v>0</v>
      </c>
      <c r="AW14" s="42">
        <f t="shared" si="12"/>
        <v>0</v>
      </c>
      <c r="AX14" s="23" cm="1">
        <f t="array" ref="AX14">SUMPRODUCT( (LEFT(I14:AQ14,2)="HO") * (I14:AQ14&lt;&gt;"HO6") * ( (($I$1:$AQ$1="PRE") + ($I$2:$AQ$2=5)) &gt;0 ) )</f>
        <v>0</v>
      </c>
      <c r="AY14" s="23" cm="1">
        <f t="array" ref="AY14">SUMPRODUCT( (LEFT(I14:AQ14,2)="HO") * (I14:AQ14&lt;&gt;"HO6") * ( (($I$1:$AQ$1="Y") + ($I$2:$AQ$2=6)) &gt;0 ) )</f>
        <v>0</v>
      </c>
      <c r="AZ14" s="23">
        <f t="shared" si="13"/>
        <v>0</v>
      </c>
      <c r="BA14" s="23">
        <f t="shared" si="14"/>
        <v>0</v>
      </c>
      <c r="BB14" s="278">
        <f t="shared" si="15"/>
        <v>0</v>
      </c>
      <c r="BC14" s="39">
        <f t="shared" si="16"/>
        <v>0</v>
      </c>
      <c r="BD14" s="25">
        <f t="shared" si="7"/>
        <v>0</v>
      </c>
      <c r="BE14" s="18">
        <f t="shared" si="17"/>
        <v>0</v>
      </c>
      <c r="BF14" s="346" cm="1">
        <f t="array" ref="BF14">SUMPRODUCT((I$2:AO$2=5)*(I14:AO14="")*(J$2:AP$2=6)*(J14:AP14="")*(K$2:AQ$2=7)*(K14:AQ14=""))</f>
        <v>5</v>
      </c>
      <c r="BG14" s="25">
        <f t="shared" si="8"/>
        <v>0</v>
      </c>
      <c r="BH14" s="18">
        <f t="shared" si="9"/>
        <v>0</v>
      </c>
      <c r="BI14" s="18">
        <f t="shared" si="10"/>
        <v>1</v>
      </c>
      <c r="BJ14" s="26">
        <f t="shared" si="11"/>
        <v>0</v>
      </c>
    </row>
    <row r="15" spans="2:72" x14ac:dyDescent="0.2">
      <c r="B15" s="71"/>
      <c r="C15" s="18"/>
      <c r="D15" s="18"/>
      <c r="E15" s="372"/>
      <c r="F15" s="391"/>
      <c r="G15" s="25" t="str">
        <f>IFERROR(IF(VLOOKUP($B15,'Month-1'!$B$3:$D$42,2,0)=0,"",VLOOKUP($B15,'Month-1'!$B$3:$D$42,2,0)),"")</f>
        <v/>
      </c>
      <c r="H15" s="26" t="str">
        <f>IFERROR(IF(VLOOKUP($B15,'Month-1'!$B$3:$D$42,3,0)=0,"",VLOOKUP($B15,'Month-1'!$B$3:$D$42,3,0)),"")</f>
        <v/>
      </c>
      <c r="I15" s="24"/>
      <c r="J15" s="18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U15" s="357"/>
      <c r="V15" s="18"/>
      <c r="W15" s="18"/>
      <c r="X15" s="18"/>
      <c r="Y15" s="357"/>
      <c r="Z15" s="18"/>
      <c r="AA15" s="357"/>
      <c r="AB15" s="18"/>
      <c r="AC15" s="18"/>
      <c r="AD15" s="18"/>
      <c r="AE15" s="18"/>
      <c r="AF15" s="18"/>
      <c r="AG15" s="18"/>
      <c r="AH15" s="357"/>
      <c r="AI15" s="357"/>
      <c r="AJ15" s="18"/>
      <c r="AK15" s="18"/>
      <c r="AL15" s="18"/>
      <c r="AM15" s="18"/>
      <c r="AN15" s="357"/>
      <c r="AO15" s="357"/>
      <c r="AP15" s="357"/>
      <c r="AQ15" s="359"/>
      <c r="AS15" s="345">
        <f>IFERROR(INDEX('Month-1'!$E$3:$E$42,MATCH($B15,'Month-1'!$B$3:$B$42,0)),0)</f>
        <v>0</v>
      </c>
      <c r="AT15" s="22">
        <f>IFERROR(INDEX('Month-1'!$F$3:$F$42,MATCH($B15,'Month-1'!$B$3:$B$42,0)),0)</f>
        <v>0</v>
      </c>
      <c r="AU15" s="22">
        <f>IFERROR(INDEX('Month-1'!#REF!,MATCH($B15,'Month-1'!$B$3:$B$42,0)),0)</f>
        <v>0</v>
      </c>
      <c r="AV15" s="346">
        <f>IFERROR(INDEX('Month-1'!$G$3:$G$42,MATCH($B15,'Month-1'!$B$3:$B$42,0)),0)</f>
        <v>0</v>
      </c>
      <c r="AW15" s="42">
        <f t="shared" si="12"/>
        <v>0</v>
      </c>
      <c r="AX15" s="23" cm="1">
        <f t="array" ref="AX15">SUMPRODUCT( (LEFT(I15:AQ15,2)="HO") * (I15:AQ15&lt;&gt;"HO6") * ( (($I$1:$AQ$1="PRE") + ($I$2:$AQ$2=5)) &gt;0 ) )</f>
        <v>0</v>
      </c>
      <c r="AY15" s="23" cm="1">
        <f t="array" ref="AY15">SUMPRODUCT( (LEFT(I15:AQ15,2)="HO") * (I15:AQ15&lt;&gt;"HO6") * ( (($I$1:$AQ$1="Y") + ($I$2:$AQ$2=6)) &gt;0 ) )</f>
        <v>0</v>
      </c>
      <c r="AZ15" s="23">
        <f t="shared" si="13"/>
        <v>0</v>
      </c>
      <c r="BA15" s="23">
        <f t="shared" si="14"/>
        <v>0</v>
      </c>
      <c r="BB15" s="278">
        <f t="shared" si="15"/>
        <v>0</v>
      </c>
      <c r="BC15" s="39">
        <f t="shared" si="16"/>
        <v>0</v>
      </c>
      <c r="BD15" s="25">
        <f t="shared" si="7"/>
        <v>0</v>
      </c>
      <c r="BE15" s="18">
        <f t="shared" si="17"/>
        <v>0</v>
      </c>
      <c r="BF15" s="346" cm="1">
        <f t="array" ref="BF15">SUMPRODUCT((I$2:AO$2=5)*(I15:AO15="")*(J$2:AP$2=6)*(J15:AP15="")*(K$2:AQ$2=7)*(K15:AQ15=""))</f>
        <v>5</v>
      </c>
      <c r="BG15" s="25">
        <f t="shared" si="8"/>
        <v>0</v>
      </c>
      <c r="BH15" s="18">
        <f t="shared" si="9"/>
        <v>0</v>
      </c>
      <c r="BI15" s="18">
        <f t="shared" si="10"/>
        <v>1</v>
      </c>
      <c r="BJ15" s="26">
        <f t="shared" si="11"/>
        <v>0</v>
      </c>
    </row>
    <row r="16" spans="2:72" x14ac:dyDescent="0.2">
      <c r="B16" s="71"/>
      <c r="C16" s="18"/>
      <c r="D16" s="18"/>
      <c r="E16" s="372"/>
      <c r="F16" s="391"/>
      <c r="G16" s="25" t="str">
        <f>IFERROR(IF(VLOOKUP($B16,'Month-1'!$B$3:$D$42,2,0)=0,"",VLOOKUP($B16,'Month-1'!$B$3:$D$42,2,0)),"")</f>
        <v/>
      </c>
      <c r="H16" s="26" t="str">
        <f>IFERROR(IF(VLOOKUP($B16,'Month-1'!$B$3:$D$42,3,0)=0,"",VLOOKUP($B16,'Month-1'!$B$3:$D$42,3,0)),"")</f>
        <v/>
      </c>
      <c r="I16" s="24"/>
      <c r="J16" s="18"/>
      <c r="K16" s="357"/>
      <c r="L16" s="18"/>
      <c r="M16" s="18"/>
      <c r="N16" s="357"/>
      <c r="O16" s="18"/>
      <c r="P16" s="18"/>
      <c r="Q16" s="357"/>
      <c r="R16" s="18"/>
      <c r="S16" s="18"/>
      <c r="T16" s="357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357"/>
      <c r="AF16" s="18"/>
      <c r="AG16" s="18"/>
      <c r="AH16" s="357"/>
      <c r="AI16" s="18"/>
      <c r="AJ16" s="18"/>
      <c r="AK16" s="18"/>
      <c r="AL16" s="18"/>
      <c r="AM16" s="357"/>
      <c r="AN16" s="357"/>
      <c r="AO16" s="357"/>
      <c r="AP16" s="357"/>
      <c r="AQ16" s="359"/>
      <c r="AS16" s="345">
        <f>IFERROR(INDEX('Month-1'!$E$3:$E$42,MATCH($B16,'Month-1'!$B$3:$B$42,0)),0)</f>
        <v>0</v>
      </c>
      <c r="AT16" s="22">
        <f>IFERROR(INDEX('Month-1'!$F$3:$F$42,MATCH($B16,'Month-1'!$B$3:$B$42,0)),0)</f>
        <v>0</v>
      </c>
      <c r="AU16" s="22">
        <f>IFERROR(INDEX('Month-1'!#REF!,MATCH($B16,'Month-1'!$B$3:$B$42,0)),0)</f>
        <v>0</v>
      </c>
      <c r="AV16" s="346">
        <f>IFERROR(INDEX('Month-1'!$G$3:$G$42,MATCH($B16,'Month-1'!$B$3:$B$42,0)),0)</f>
        <v>0</v>
      </c>
      <c r="AW16" s="42">
        <f t="shared" si="12"/>
        <v>0</v>
      </c>
      <c r="AX16" s="23" cm="1">
        <f t="array" ref="AX16">SUMPRODUCT( (LEFT(I16:AQ16,2)="HO") * (I16:AQ16&lt;&gt;"HO6") * ( (($I$1:$AQ$1="PRE") + ($I$2:$AQ$2=5)) &gt;0 ) )</f>
        <v>0</v>
      </c>
      <c r="AY16" s="23" cm="1">
        <f t="array" ref="AY16">SUMPRODUCT( (LEFT(I16:AQ16,2)="HO") * (I16:AQ16&lt;&gt;"HO6") * ( (($I$1:$AQ$1="Y") + ($I$2:$AQ$2=6)) &gt;0 ) )</f>
        <v>0</v>
      </c>
      <c r="AZ16" s="23">
        <f t="shared" si="13"/>
        <v>0</v>
      </c>
      <c r="BA16" s="23">
        <f t="shared" si="14"/>
        <v>0</v>
      </c>
      <c r="BB16" s="278">
        <f t="shared" si="15"/>
        <v>0</v>
      </c>
      <c r="BC16" s="39">
        <f t="shared" si="16"/>
        <v>0</v>
      </c>
      <c r="BD16" s="25">
        <f t="shared" si="7"/>
        <v>0</v>
      </c>
      <c r="BE16" s="18">
        <f t="shared" si="17"/>
        <v>0</v>
      </c>
      <c r="BF16" s="346" cm="1">
        <f t="array" ref="BF16">SUMPRODUCT((I$2:AO$2=5)*(I16:AO16="")*(J$2:AP$2=6)*(J16:AP16="")*(K$2:AQ$2=7)*(K16:AQ16=""))</f>
        <v>5</v>
      </c>
      <c r="BG16" s="25">
        <f t="shared" si="8"/>
        <v>0</v>
      </c>
      <c r="BH16" s="18">
        <f t="shared" si="9"/>
        <v>0</v>
      </c>
      <c r="BI16" s="18">
        <f t="shared" si="10"/>
        <v>1</v>
      </c>
      <c r="BJ16" s="26">
        <f t="shared" si="11"/>
        <v>0</v>
      </c>
    </row>
    <row r="17" spans="2:62" x14ac:dyDescent="0.2">
      <c r="B17" s="71"/>
      <c r="C17" s="18"/>
      <c r="D17" s="18"/>
      <c r="E17" s="372"/>
      <c r="F17" s="391"/>
      <c r="G17" s="25" t="str">
        <f>IFERROR(IF(VLOOKUP($B17,'Month-1'!$B$3:$D$42,2,0)=0,"",VLOOKUP($B17,'Month-1'!$B$3:$D$42,2,0)),"")</f>
        <v/>
      </c>
      <c r="H17" s="26" t="str">
        <f>IFERROR(IF(VLOOKUP($B17,'Month-1'!$B$3:$D$42,3,0)=0,"",VLOOKUP($B17,'Month-1'!$B$3:$D$42,3,0)),"")</f>
        <v/>
      </c>
      <c r="I17" s="24"/>
      <c r="J17" s="18"/>
      <c r="K17" s="18"/>
      <c r="L17" s="18"/>
      <c r="M17" s="18"/>
      <c r="N17" s="18"/>
      <c r="O17" s="18"/>
      <c r="P17" s="18"/>
      <c r="Q17" s="357"/>
      <c r="R17" s="357"/>
      <c r="S17" s="357"/>
      <c r="T17" s="18"/>
      <c r="U17" s="18"/>
      <c r="V17" s="18"/>
      <c r="W17" s="357"/>
      <c r="X17" s="18"/>
      <c r="Y17" s="18"/>
      <c r="Z17" s="18"/>
      <c r="AA17" s="357"/>
      <c r="AB17" s="18"/>
      <c r="AC17" s="18"/>
      <c r="AD17" s="357"/>
      <c r="AE17" s="18"/>
      <c r="AF17" s="18"/>
      <c r="AG17" s="357"/>
      <c r="AH17" s="357"/>
      <c r="AI17" s="18"/>
      <c r="AJ17" s="18"/>
      <c r="AK17" s="18"/>
      <c r="AL17" s="18"/>
      <c r="AM17" s="18"/>
      <c r="AN17" s="357"/>
      <c r="AO17" s="18"/>
      <c r="AP17" s="357"/>
      <c r="AQ17" s="26"/>
      <c r="AS17" s="345">
        <f>IFERROR(INDEX('Month-1'!$E$3:$E$42,MATCH($B17,'Month-1'!$B$3:$B$42,0)),0)</f>
        <v>0</v>
      </c>
      <c r="AT17" s="22">
        <f>IFERROR(INDEX('Month-1'!$F$3:$F$42,MATCH($B17,'Month-1'!$B$3:$B$42,0)),0)</f>
        <v>0</v>
      </c>
      <c r="AU17" s="22">
        <f>IFERROR(INDEX('Month-1'!#REF!,MATCH($B17,'Month-1'!$B$3:$B$42,0)),0)</f>
        <v>0</v>
      </c>
      <c r="AV17" s="346">
        <f>IFERROR(INDEX('Month-1'!$G$3:$G$42,MATCH($B17,'Month-1'!$B$3:$B$42,0)),0)</f>
        <v>0</v>
      </c>
      <c r="AW17" s="42">
        <f t="shared" si="12"/>
        <v>0</v>
      </c>
      <c r="AX17" s="23" cm="1">
        <f t="array" ref="AX17">SUMPRODUCT( (LEFT(I17:AQ17,2)="HO") * (I17:AQ17&lt;&gt;"HO6") * ( (($I$1:$AQ$1="PRE") + ($I$2:$AQ$2=5)) &gt;0 ) )</f>
        <v>0</v>
      </c>
      <c r="AY17" s="23" cm="1">
        <f t="array" ref="AY17">SUMPRODUCT( (LEFT(I17:AQ17,2)="HO") * (I17:AQ17&lt;&gt;"HO6") * ( (($I$1:$AQ$1="Y") + ($I$2:$AQ$2=6)) &gt;0 ) )</f>
        <v>0</v>
      </c>
      <c r="AZ17" s="23">
        <f t="shared" si="13"/>
        <v>0</v>
      </c>
      <c r="BA17" s="23">
        <f t="shared" si="14"/>
        <v>0</v>
      </c>
      <c r="BB17" s="278">
        <f t="shared" si="15"/>
        <v>0</v>
      </c>
      <c r="BC17" s="39">
        <f t="shared" si="16"/>
        <v>0</v>
      </c>
      <c r="BD17" s="25">
        <f t="shared" si="7"/>
        <v>0</v>
      </c>
      <c r="BE17" s="18">
        <f t="shared" si="17"/>
        <v>0</v>
      </c>
      <c r="BF17" s="346" cm="1">
        <f t="array" ref="BF17">SUMPRODUCT((I$2:AO$2=5)*(I17:AO17="")*(J$2:AP$2=6)*(J17:AP17="")*(K$2:AQ$2=7)*(K17:AQ17=""))</f>
        <v>5</v>
      </c>
      <c r="BG17" s="25">
        <f t="shared" si="8"/>
        <v>0</v>
      </c>
      <c r="BH17" s="18">
        <f t="shared" si="9"/>
        <v>0</v>
      </c>
      <c r="BI17" s="18">
        <f t="shared" si="10"/>
        <v>1</v>
      </c>
      <c r="BJ17" s="26">
        <f t="shared" si="11"/>
        <v>0</v>
      </c>
    </row>
    <row r="18" spans="2:62" x14ac:dyDescent="0.2">
      <c r="B18" s="71"/>
      <c r="C18" s="18"/>
      <c r="D18" s="18"/>
      <c r="E18" s="372"/>
      <c r="F18" s="391"/>
      <c r="G18" s="25" t="str">
        <f>IFERROR(IF(VLOOKUP($B18,'Month-1'!$B$3:$D$42,2,0)=0,"",VLOOKUP($B18,'Month-1'!$B$3:$D$42,2,0)),"")</f>
        <v/>
      </c>
      <c r="H18" s="26" t="str">
        <f>IFERROR(IF(VLOOKUP($B18,'Month-1'!$B$3:$D$42,3,0)=0,"",VLOOKUP($B18,'Month-1'!$B$3:$D$42,3,0)),"")</f>
        <v/>
      </c>
      <c r="I18" s="24"/>
      <c r="J18" s="18"/>
      <c r="K18" s="357"/>
      <c r="L18" s="18"/>
      <c r="M18" s="18"/>
      <c r="N18" s="18"/>
      <c r="O18" s="18"/>
      <c r="P18" s="18"/>
      <c r="Q18" s="18"/>
      <c r="R18" s="18"/>
      <c r="S18" s="18"/>
      <c r="T18" s="357"/>
      <c r="U18" s="18"/>
      <c r="V18" s="18"/>
      <c r="W18" s="18"/>
      <c r="X18" s="18"/>
      <c r="Y18" s="357"/>
      <c r="Z18" s="357"/>
      <c r="AA18" s="357"/>
      <c r="AB18" s="357"/>
      <c r="AC18" s="357"/>
      <c r="AD18" s="357"/>
      <c r="AE18" s="357"/>
      <c r="AF18" s="357"/>
      <c r="AG18" s="357"/>
      <c r="AH18" s="357"/>
      <c r="AI18" s="357"/>
      <c r="AJ18" s="357"/>
      <c r="AK18" s="357"/>
      <c r="AL18" s="357"/>
      <c r="AM18" s="18"/>
      <c r="AN18" s="18"/>
      <c r="AO18" s="18"/>
      <c r="AP18" s="357"/>
      <c r="AQ18" s="359"/>
      <c r="AS18" s="345">
        <f>IFERROR(INDEX('Month-1'!$E$3:$E$42,MATCH($B18,'Month-1'!$B$3:$B$42,0)),0)</f>
        <v>0</v>
      </c>
      <c r="AT18" s="22">
        <f>IFERROR(INDEX('Month-1'!$F$3:$F$42,MATCH($B18,'Month-1'!$B$3:$B$42,0)),0)</f>
        <v>0</v>
      </c>
      <c r="AU18" s="22">
        <f>IFERROR(INDEX('Month-1'!#REF!,MATCH($B18,'Month-1'!$B$3:$B$42,0)),0)</f>
        <v>0</v>
      </c>
      <c r="AV18" s="346">
        <f>IFERROR(INDEX('Month-1'!$G$3:$G$42,MATCH($B18,'Month-1'!$B$3:$B$42,0)),0)</f>
        <v>0</v>
      </c>
      <c r="AW18" s="42">
        <f t="shared" si="12"/>
        <v>0</v>
      </c>
      <c r="AX18" s="23" cm="1">
        <f t="array" ref="AX18">SUMPRODUCT( (LEFT(I18:AQ18,2)="HO") * (I18:AQ18&lt;&gt;"HO6") * ( (($I$1:$AQ$1="PRE") + ($I$2:$AQ$2=5)) &gt;0 ) )</f>
        <v>0</v>
      </c>
      <c r="AY18" s="23" cm="1">
        <f t="array" ref="AY18">SUMPRODUCT( (LEFT(I18:AQ18,2)="HO") * (I18:AQ18&lt;&gt;"HO6") * ( (($I$1:$AQ$1="Y") + ($I$2:$AQ$2=6)) &gt;0 ) )</f>
        <v>0</v>
      </c>
      <c r="AZ18" s="23">
        <f t="shared" si="13"/>
        <v>0</v>
      </c>
      <c r="BA18" s="23">
        <f t="shared" si="14"/>
        <v>0</v>
      </c>
      <c r="BB18" s="278">
        <f t="shared" si="15"/>
        <v>0</v>
      </c>
      <c r="BC18" s="39">
        <f t="shared" si="16"/>
        <v>0</v>
      </c>
      <c r="BD18" s="25">
        <f t="shared" si="7"/>
        <v>0</v>
      </c>
      <c r="BE18" s="18">
        <f t="shared" si="17"/>
        <v>0</v>
      </c>
      <c r="BF18" s="346" cm="1">
        <f t="array" ref="BF18">SUMPRODUCT((I$2:AO$2=5)*(I18:AO18="")*(J$2:AP$2=6)*(J18:AP18="")*(K$2:AQ$2=7)*(K18:AQ18=""))</f>
        <v>5</v>
      </c>
      <c r="BG18" s="25">
        <f t="shared" si="8"/>
        <v>0</v>
      </c>
      <c r="BH18" s="18">
        <f t="shared" si="9"/>
        <v>0</v>
      </c>
      <c r="BI18" s="18">
        <f t="shared" si="10"/>
        <v>1</v>
      </c>
      <c r="BJ18" s="26">
        <f t="shared" si="11"/>
        <v>0</v>
      </c>
    </row>
    <row r="19" spans="2:62" x14ac:dyDescent="0.2">
      <c r="B19" s="71"/>
      <c r="C19" s="18"/>
      <c r="D19" s="18"/>
      <c r="E19" s="372"/>
      <c r="F19" s="391"/>
      <c r="G19" s="25" t="str">
        <f>IFERROR(IF(VLOOKUP($B19,'Month-1'!$B$3:$D$42,2,0)=0,"",VLOOKUP($B19,'Month-1'!$B$3:$D$42,2,0)),"")</f>
        <v/>
      </c>
      <c r="H19" s="26" t="str">
        <f>IFERROR(IF(VLOOKUP($B19,'Month-1'!$B$3:$D$42,3,0)=0,"",VLOOKUP($B19,'Month-1'!$B$3:$D$42,3,0)),"")</f>
        <v/>
      </c>
      <c r="I19" s="24"/>
      <c r="J19" s="18"/>
      <c r="K19" s="18"/>
      <c r="L19" s="18"/>
      <c r="M19" s="18"/>
      <c r="N19" s="18"/>
      <c r="O19" s="18"/>
      <c r="P19" s="18"/>
      <c r="Q19" s="18"/>
      <c r="R19" s="357"/>
      <c r="S19" s="18"/>
      <c r="T19" s="18"/>
      <c r="U19" s="18"/>
      <c r="V19" s="18"/>
      <c r="W19" s="357"/>
      <c r="X19" s="18"/>
      <c r="Y19" s="357"/>
      <c r="Z19" s="18"/>
      <c r="AA19" s="357"/>
      <c r="AB19" s="357"/>
      <c r="AC19" s="357"/>
      <c r="AD19" s="357"/>
      <c r="AE19" s="357"/>
      <c r="AF19" s="357"/>
      <c r="AG19" s="357"/>
      <c r="AH19" s="357"/>
      <c r="AI19" s="357"/>
      <c r="AJ19" s="357"/>
      <c r="AK19" s="357"/>
      <c r="AL19" s="357"/>
      <c r="AM19" s="18"/>
      <c r="AN19" s="357"/>
      <c r="AO19" s="357"/>
      <c r="AP19" s="357"/>
      <c r="AQ19" s="359"/>
      <c r="AS19" s="345">
        <f>IFERROR(INDEX('Month-1'!$E$3:$E$42,MATCH($B19,'Month-1'!$B$3:$B$42,0)),0)</f>
        <v>0</v>
      </c>
      <c r="AT19" s="22">
        <f>IFERROR(INDEX('Month-1'!$F$3:$F$42,MATCH($B19,'Month-1'!$B$3:$B$42,0)),0)</f>
        <v>0</v>
      </c>
      <c r="AU19" s="22">
        <f>IFERROR(INDEX('Month-1'!#REF!,MATCH($B19,'Month-1'!$B$3:$B$42,0)),0)</f>
        <v>0</v>
      </c>
      <c r="AV19" s="346">
        <f>IFERROR(INDEX('Month-1'!$G$3:$G$42,MATCH($B19,'Month-1'!$B$3:$B$42,0)),0)</f>
        <v>0</v>
      </c>
      <c r="AW19" s="42">
        <f t="shared" si="12"/>
        <v>0</v>
      </c>
      <c r="AX19" s="23" cm="1">
        <f t="array" ref="AX19">SUMPRODUCT( (LEFT(I19:AQ19,2)="HO") * (I19:AQ19&lt;&gt;"HO6") * ( (($I$1:$AQ$1="PRE") + ($I$2:$AQ$2=5)) &gt;0 ) )</f>
        <v>0</v>
      </c>
      <c r="AY19" s="23" cm="1">
        <f t="array" ref="AY19">SUMPRODUCT( (LEFT(I19:AQ19,2)="HO") * (I19:AQ19&lt;&gt;"HO6") * ( (($I$1:$AQ$1="Y") + ($I$2:$AQ$2=6)) &gt;0 ) )</f>
        <v>0</v>
      </c>
      <c r="AZ19" s="23">
        <f t="shared" si="13"/>
        <v>0</v>
      </c>
      <c r="BA19" s="23">
        <f t="shared" si="14"/>
        <v>0</v>
      </c>
      <c r="BB19" s="278">
        <f t="shared" si="15"/>
        <v>0</v>
      </c>
      <c r="BC19" s="39">
        <f t="shared" si="16"/>
        <v>0</v>
      </c>
      <c r="BD19" s="25">
        <f t="shared" si="7"/>
        <v>0</v>
      </c>
      <c r="BE19" s="18">
        <f t="shared" si="17"/>
        <v>0</v>
      </c>
      <c r="BF19" s="346" cm="1">
        <f t="array" ref="BF19">SUMPRODUCT((I$2:AO$2=5)*(I19:AO19="")*(J$2:AP$2=6)*(J19:AP19="")*(K$2:AQ$2=7)*(K19:AQ19=""))</f>
        <v>5</v>
      </c>
      <c r="BG19" s="25">
        <f t="shared" si="8"/>
        <v>0</v>
      </c>
      <c r="BH19" s="18">
        <f t="shared" si="9"/>
        <v>0</v>
      </c>
      <c r="BI19" s="18">
        <f t="shared" si="10"/>
        <v>1</v>
      </c>
      <c r="BJ19" s="26">
        <f t="shared" si="11"/>
        <v>0</v>
      </c>
    </row>
    <row r="20" spans="2:62" x14ac:dyDescent="0.2">
      <c r="B20" s="71"/>
      <c r="C20" s="18"/>
      <c r="D20" s="18"/>
      <c r="E20" s="372"/>
      <c r="F20" s="391"/>
      <c r="G20" s="25" t="str">
        <f>IFERROR(IF(VLOOKUP($B20,'Month-1'!$B$3:$D$42,2,0)=0,"",VLOOKUP($B20,'Month-1'!$B$3:$D$42,2,0)),"")</f>
        <v/>
      </c>
      <c r="H20" s="26" t="str">
        <f>IFERROR(IF(VLOOKUP($B20,'Month-1'!$B$3:$D$42,3,0)=0,"",VLOOKUP($B20,'Month-1'!$B$3:$D$42,3,0)),"")</f>
        <v/>
      </c>
      <c r="I20" s="24"/>
      <c r="J20" s="18"/>
      <c r="K20" s="18"/>
      <c r="L20" s="18"/>
      <c r="M20" s="18"/>
      <c r="N20" s="18"/>
      <c r="O20" s="357"/>
      <c r="P20" s="357"/>
      <c r="Q20" s="18"/>
      <c r="R20" s="18"/>
      <c r="S20" s="357"/>
      <c r="T20" s="357"/>
      <c r="U20" s="357"/>
      <c r="V20" s="357"/>
      <c r="W20" s="357"/>
      <c r="X20" s="357"/>
      <c r="Y20" s="357"/>
      <c r="Z20" s="357"/>
      <c r="AA20" s="357"/>
      <c r="AB20" s="357"/>
      <c r="AC20" s="357"/>
      <c r="AD20" s="357"/>
      <c r="AE20" s="18"/>
      <c r="AF20" s="18"/>
      <c r="AG20" s="18"/>
      <c r="AH20" s="357"/>
      <c r="AI20" s="357"/>
      <c r="AJ20" s="18"/>
      <c r="AK20" s="18"/>
      <c r="AL20" s="18"/>
      <c r="AM20" s="18"/>
      <c r="AN20" s="18"/>
      <c r="AO20" s="18"/>
      <c r="AP20" s="357"/>
      <c r="AQ20" s="26"/>
      <c r="AS20" s="345">
        <f>IFERROR(INDEX('Month-1'!$E$3:$E$42,MATCH($B20,'Month-1'!$B$3:$B$42,0)),0)</f>
        <v>0</v>
      </c>
      <c r="AT20" s="22">
        <f>IFERROR(INDEX('Month-1'!$F$3:$F$42,MATCH($B20,'Month-1'!$B$3:$B$42,0)),0)</f>
        <v>0</v>
      </c>
      <c r="AU20" s="22">
        <f>IFERROR(INDEX('Month-1'!#REF!,MATCH($B20,'Month-1'!$B$3:$B$42,0)),0)</f>
        <v>0</v>
      </c>
      <c r="AV20" s="346">
        <f>IFERROR(INDEX('Month-1'!$G$3:$G$42,MATCH($B20,'Month-1'!$B$3:$B$42,0)),0)</f>
        <v>0</v>
      </c>
      <c r="AW20" s="42">
        <f t="shared" si="12"/>
        <v>0</v>
      </c>
      <c r="AX20" s="23" cm="1">
        <f t="array" ref="AX20">SUMPRODUCT( (LEFT(I20:AQ20,2)="HO") * (I20:AQ20&lt;&gt;"HO6") * ( (($I$1:$AQ$1="PRE") + ($I$2:$AQ$2=5)) &gt;0 ) )</f>
        <v>0</v>
      </c>
      <c r="AY20" s="23" cm="1">
        <f t="array" ref="AY20">SUMPRODUCT( (LEFT(I20:AQ20,2)="HO") * (I20:AQ20&lt;&gt;"HO6") * ( (($I$1:$AQ$1="Y") + ($I$2:$AQ$2=6)) &gt;0 ) )</f>
        <v>0</v>
      </c>
      <c r="AZ20" s="23">
        <f t="shared" si="13"/>
        <v>0</v>
      </c>
      <c r="BA20" s="23">
        <f t="shared" si="14"/>
        <v>0</v>
      </c>
      <c r="BB20" s="278">
        <f t="shared" si="15"/>
        <v>0</v>
      </c>
      <c r="BC20" s="39">
        <f t="shared" si="16"/>
        <v>0</v>
      </c>
      <c r="BD20" s="25">
        <f t="shared" si="7"/>
        <v>0</v>
      </c>
      <c r="BE20" s="18">
        <f t="shared" si="17"/>
        <v>0</v>
      </c>
      <c r="BF20" s="346" cm="1">
        <f t="array" ref="BF20">SUMPRODUCT((I$2:AO$2=5)*(I20:AO20="")*(J$2:AP$2=6)*(J20:AP20="")*(K$2:AQ$2=7)*(K20:AQ20=""))</f>
        <v>5</v>
      </c>
      <c r="BG20" s="25">
        <f t="shared" si="8"/>
        <v>0</v>
      </c>
      <c r="BH20" s="18">
        <f t="shared" si="9"/>
        <v>0</v>
      </c>
      <c r="BI20" s="18">
        <f t="shared" si="10"/>
        <v>1</v>
      </c>
      <c r="BJ20" s="26">
        <f t="shared" si="11"/>
        <v>0</v>
      </c>
    </row>
    <row r="21" spans="2:62" x14ac:dyDescent="0.2">
      <c r="B21" s="71"/>
      <c r="C21" s="18"/>
      <c r="D21" s="18"/>
      <c r="E21" s="372"/>
      <c r="F21" s="391"/>
      <c r="G21" s="25" t="str">
        <f>IFERROR(IF(VLOOKUP($B21,'Month-1'!$B$3:$D$42,2,0)=0,"",VLOOKUP($B21,'Month-1'!$B$3:$D$42,2,0)),"")</f>
        <v/>
      </c>
      <c r="H21" s="26" t="str">
        <f>IFERROR(IF(VLOOKUP($B21,'Month-1'!$B$3:$D$42,3,0)=0,"",VLOOKUP($B21,'Month-1'!$B$3:$D$42,3,0)),"")</f>
        <v/>
      </c>
      <c r="I21" s="24"/>
      <c r="J21" s="18"/>
      <c r="K21" s="357"/>
      <c r="L21" s="357"/>
      <c r="M21" s="18"/>
      <c r="N21" s="18"/>
      <c r="O21" s="18"/>
      <c r="P21" s="18"/>
      <c r="Q21" s="18"/>
      <c r="R21" s="18"/>
      <c r="S21" s="18"/>
      <c r="T21" s="18"/>
      <c r="U21" s="357"/>
      <c r="V21" s="357"/>
      <c r="W21" s="357"/>
      <c r="X21" s="357"/>
      <c r="Y21" s="357"/>
      <c r="Z21" s="18"/>
      <c r="AA21" s="18"/>
      <c r="AB21" s="18"/>
      <c r="AC21" s="18"/>
      <c r="AD21" s="18"/>
      <c r="AE21" s="18"/>
      <c r="AF21" s="18"/>
      <c r="AG21" s="18"/>
      <c r="AH21" s="18"/>
      <c r="AI21" s="357"/>
      <c r="AJ21" s="18"/>
      <c r="AK21" s="18"/>
      <c r="AL21" s="18"/>
      <c r="AM21" s="18"/>
      <c r="AN21" s="357"/>
      <c r="AO21" s="357"/>
      <c r="AP21" s="18"/>
      <c r="AQ21" s="26"/>
      <c r="AS21" s="345">
        <f>IFERROR(INDEX('Month-1'!$E$3:$E$42,MATCH($B21,'Month-1'!$B$3:$B$42,0)),0)</f>
        <v>0</v>
      </c>
      <c r="AT21" s="22">
        <f>IFERROR(INDEX('Month-1'!$F$3:$F$42,MATCH($B21,'Month-1'!$B$3:$B$42,0)),0)</f>
        <v>0</v>
      </c>
      <c r="AU21" s="22">
        <f>IFERROR(INDEX('Month-1'!#REF!,MATCH($B21,'Month-1'!$B$3:$B$42,0)),0)</f>
        <v>0</v>
      </c>
      <c r="AV21" s="346">
        <f>IFERROR(INDEX('Month-1'!$G$3:$G$42,MATCH($B21,'Month-1'!$B$3:$B$42,0)),0)</f>
        <v>0</v>
      </c>
      <c r="AW21" s="42">
        <f t="shared" si="12"/>
        <v>0</v>
      </c>
      <c r="AX21" s="23" cm="1">
        <f t="array" ref="AX21">SUMPRODUCT( (LEFT(I21:AQ21,2)="HO") * (I21:AQ21&lt;&gt;"HO6") * ( (($I$1:$AQ$1="PRE") + ($I$2:$AQ$2=5)) &gt;0 ) )</f>
        <v>0</v>
      </c>
      <c r="AY21" s="23" cm="1">
        <f t="array" ref="AY21">SUMPRODUCT( (LEFT(I21:AQ21,2)="HO") * (I21:AQ21&lt;&gt;"HO6") * ( (($I$1:$AQ$1="Y") + ($I$2:$AQ$2=6)) &gt;0 ) )</f>
        <v>0</v>
      </c>
      <c r="AZ21" s="23">
        <f t="shared" si="13"/>
        <v>0</v>
      </c>
      <c r="BA21" s="23">
        <f t="shared" si="14"/>
        <v>0</v>
      </c>
      <c r="BB21" s="278">
        <f t="shared" si="15"/>
        <v>0</v>
      </c>
      <c r="BC21" s="39">
        <f t="shared" si="16"/>
        <v>0</v>
      </c>
      <c r="BD21" s="25">
        <f t="shared" si="7"/>
        <v>0</v>
      </c>
      <c r="BE21" s="18">
        <f t="shared" si="17"/>
        <v>0</v>
      </c>
      <c r="BF21" s="346" cm="1">
        <f t="array" ref="BF21">SUMPRODUCT((I$2:AO$2=5)*(I21:AO21="")*(J$2:AP$2=6)*(J21:AP21="")*(K$2:AQ$2=7)*(K21:AQ21=""))</f>
        <v>5</v>
      </c>
      <c r="BG21" s="25">
        <f t="shared" si="8"/>
        <v>0</v>
      </c>
      <c r="BH21" s="18">
        <f t="shared" si="9"/>
        <v>0</v>
      </c>
      <c r="BI21" s="18">
        <f t="shared" si="10"/>
        <v>1</v>
      </c>
      <c r="BJ21" s="26">
        <f t="shared" si="11"/>
        <v>0</v>
      </c>
    </row>
    <row r="22" spans="2:62" x14ac:dyDescent="0.2">
      <c r="B22" s="71"/>
      <c r="C22" s="18"/>
      <c r="D22" s="18"/>
      <c r="E22" s="372"/>
      <c r="F22" s="391"/>
      <c r="G22" s="25" t="str">
        <f>IFERROR(IF(VLOOKUP($B22,'Month-1'!$B$3:$D$42,2,0)=0,"",VLOOKUP($B22,'Month-1'!$B$3:$D$42,2,0)),"")</f>
        <v/>
      </c>
      <c r="H22" s="26" t="str">
        <f>IFERROR(IF(VLOOKUP($B22,'Month-1'!$B$3:$D$42,3,0)=0,"",VLOOKUP($B22,'Month-1'!$B$3:$D$42,3,0)),"")</f>
        <v/>
      </c>
      <c r="I22" s="24"/>
      <c r="J22" s="357"/>
      <c r="K22" s="18"/>
      <c r="L22" s="18"/>
      <c r="M22" s="18"/>
      <c r="N22" s="18"/>
      <c r="O22" s="18"/>
      <c r="P22" s="18"/>
      <c r="Q22" s="18"/>
      <c r="R22" s="18"/>
      <c r="S22" s="18"/>
      <c r="T22" s="357"/>
      <c r="U22" s="357"/>
      <c r="V22" s="18"/>
      <c r="W22" s="18"/>
      <c r="X22" s="357"/>
      <c r="Y22" s="357"/>
      <c r="Z22" s="357"/>
      <c r="AA22" s="357"/>
      <c r="AB22" s="357"/>
      <c r="AC22" s="357"/>
      <c r="AD22" s="357"/>
      <c r="AE22" s="357"/>
      <c r="AF22" s="357"/>
      <c r="AG22" s="18"/>
      <c r="AH22" s="357"/>
      <c r="AI22" s="357"/>
      <c r="AJ22" s="357"/>
      <c r="AK22" s="357"/>
      <c r="AL22" s="18"/>
      <c r="AM22" s="18"/>
      <c r="AN22" s="357"/>
      <c r="AO22" s="357"/>
      <c r="AP22" s="18"/>
      <c r="AQ22" s="26"/>
      <c r="AS22" s="345">
        <f>IFERROR(INDEX('Month-1'!$E$3:$E$42,MATCH($B22,'Month-1'!$B$3:$B$42,0)),0)</f>
        <v>0</v>
      </c>
      <c r="AT22" s="22">
        <f>IFERROR(INDEX('Month-1'!$F$3:$F$42,MATCH($B22,'Month-1'!$B$3:$B$42,0)),0)</f>
        <v>0</v>
      </c>
      <c r="AU22" s="22">
        <f>IFERROR(INDEX('Month-1'!#REF!,MATCH($B22,'Month-1'!$B$3:$B$42,0)),0)</f>
        <v>0</v>
      </c>
      <c r="AV22" s="346">
        <f>IFERROR(INDEX('Month-1'!$G$3:$G$42,MATCH($B22,'Month-1'!$B$3:$B$42,0)),0)</f>
        <v>0</v>
      </c>
      <c r="AW22" s="42">
        <f t="shared" si="12"/>
        <v>0</v>
      </c>
      <c r="AX22" s="23" cm="1">
        <f t="array" ref="AX22">SUMPRODUCT( (LEFT(I22:AQ22,2)="HO") * (I22:AQ22&lt;&gt;"HO6") * ( (($I$1:$AQ$1="PRE") + ($I$2:$AQ$2=5)) &gt;0 ) )</f>
        <v>0</v>
      </c>
      <c r="AY22" s="23" cm="1">
        <f t="array" ref="AY22">SUMPRODUCT( (LEFT(I22:AQ22,2)="HO") * (I22:AQ22&lt;&gt;"HO6") * ( (($I$1:$AQ$1="Y") + ($I$2:$AQ$2=6)) &gt;0 ) )</f>
        <v>0</v>
      </c>
      <c r="AZ22" s="23">
        <f t="shared" si="13"/>
        <v>0</v>
      </c>
      <c r="BA22" s="23">
        <f t="shared" si="14"/>
        <v>0</v>
      </c>
      <c r="BB22" s="278">
        <f t="shared" si="15"/>
        <v>0</v>
      </c>
      <c r="BC22" s="39">
        <f t="shared" si="16"/>
        <v>0</v>
      </c>
      <c r="BD22" s="25">
        <f t="shared" si="7"/>
        <v>0</v>
      </c>
      <c r="BE22" s="18">
        <f t="shared" si="17"/>
        <v>0</v>
      </c>
      <c r="BF22" s="346" cm="1">
        <f t="array" ref="BF22">SUMPRODUCT((I$2:AO$2=5)*(I22:AO22="")*(J$2:AP$2=6)*(J22:AP22="")*(K$2:AQ$2=7)*(K22:AQ22=""))</f>
        <v>5</v>
      </c>
      <c r="BG22" s="25">
        <f t="shared" si="8"/>
        <v>0</v>
      </c>
      <c r="BH22" s="18">
        <f t="shared" si="9"/>
        <v>0</v>
      </c>
      <c r="BI22" s="18">
        <f t="shared" si="10"/>
        <v>1</v>
      </c>
      <c r="BJ22" s="26">
        <f t="shared" si="11"/>
        <v>0</v>
      </c>
    </row>
    <row r="23" spans="2:62" x14ac:dyDescent="0.2">
      <c r="B23" s="71"/>
      <c r="C23" s="18"/>
      <c r="D23" s="18"/>
      <c r="E23" s="372"/>
      <c r="F23" s="391"/>
      <c r="G23" s="25" t="str">
        <f>IFERROR(IF(VLOOKUP($B23,'Month-1'!$B$3:$D$42,2,0)=0,"",VLOOKUP($B23,'Month-1'!$B$3:$D$42,2,0)),"")</f>
        <v/>
      </c>
      <c r="H23" s="26" t="str">
        <f>IFERROR(IF(VLOOKUP($B23,'Month-1'!$B$3:$D$42,3,0)=0,"",VLOOKUP($B23,'Month-1'!$B$3:$D$42,3,0)),"")</f>
        <v/>
      </c>
      <c r="I23" s="24"/>
      <c r="J23" s="18"/>
      <c r="K23" s="18"/>
      <c r="L23" s="357"/>
      <c r="M23" s="18"/>
      <c r="N23" s="357"/>
      <c r="O23" s="18"/>
      <c r="P23" s="18"/>
      <c r="Q23" s="18"/>
      <c r="R23" s="18"/>
      <c r="S23" s="18"/>
      <c r="T23" s="18"/>
      <c r="U23" s="357"/>
      <c r="V23" s="18"/>
      <c r="W23" s="18"/>
      <c r="X23" s="18"/>
      <c r="Y23" s="357"/>
      <c r="Z23" s="357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357"/>
      <c r="AO23" s="357"/>
      <c r="AP23" s="357"/>
      <c r="AQ23" s="359"/>
      <c r="AS23" s="345">
        <f>IFERROR(INDEX('Month-1'!$E$3:$E$42,MATCH($B23,'Month-1'!$B$3:$B$42,0)),0)</f>
        <v>0</v>
      </c>
      <c r="AT23" s="22">
        <f>IFERROR(INDEX('Month-1'!$F$3:$F$42,MATCH($B23,'Month-1'!$B$3:$B$42,0)),0)</f>
        <v>0</v>
      </c>
      <c r="AU23" s="22">
        <f>IFERROR(INDEX('Month-1'!#REF!,MATCH($B23,'Month-1'!$B$3:$B$42,0)),0)</f>
        <v>0</v>
      </c>
      <c r="AV23" s="346">
        <f>IFERROR(INDEX('Month-1'!$G$3:$G$42,MATCH($B23,'Month-1'!$B$3:$B$42,0)),0)</f>
        <v>0</v>
      </c>
      <c r="AW23" s="42">
        <f t="shared" si="12"/>
        <v>0</v>
      </c>
      <c r="AX23" s="23" cm="1">
        <f t="array" ref="AX23">SUMPRODUCT( (LEFT(I23:AQ23,2)="HO") * (I23:AQ23&lt;&gt;"HO6") * ( (($I$1:$AQ$1="PRE") + ($I$2:$AQ$2=5)) &gt;0 ) )</f>
        <v>0</v>
      </c>
      <c r="AY23" s="23" cm="1">
        <f t="array" ref="AY23">SUMPRODUCT( (LEFT(I23:AQ23,2)="HO") * (I23:AQ23&lt;&gt;"HO6") * ( (($I$1:$AQ$1="Y") + ($I$2:$AQ$2=6)) &gt;0 ) )</f>
        <v>0</v>
      </c>
      <c r="AZ23" s="23">
        <f t="shared" si="13"/>
        <v>0</v>
      </c>
      <c r="BA23" s="23">
        <f t="shared" si="14"/>
        <v>0</v>
      </c>
      <c r="BB23" s="278">
        <f t="shared" si="15"/>
        <v>0</v>
      </c>
      <c r="BC23" s="39">
        <f t="shared" si="16"/>
        <v>0</v>
      </c>
      <c r="BD23" s="25">
        <f t="shared" si="7"/>
        <v>0</v>
      </c>
      <c r="BE23" s="18">
        <f t="shared" si="17"/>
        <v>0</v>
      </c>
      <c r="BF23" s="346" cm="1">
        <f t="array" ref="BF23">SUMPRODUCT((I$2:AO$2=5)*(I23:AO23="")*(J$2:AP$2=6)*(J23:AP23="")*(K$2:AQ$2=7)*(K23:AQ23=""))</f>
        <v>5</v>
      </c>
      <c r="BG23" s="25">
        <f t="shared" si="8"/>
        <v>0</v>
      </c>
      <c r="BH23" s="18">
        <f t="shared" si="9"/>
        <v>0</v>
      </c>
      <c r="BI23" s="18">
        <f t="shared" si="10"/>
        <v>1</v>
      </c>
      <c r="BJ23" s="26">
        <f t="shared" si="11"/>
        <v>0</v>
      </c>
    </row>
    <row r="24" spans="2:62" x14ac:dyDescent="0.2">
      <c r="B24" s="71"/>
      <c r="C24" s="18"/>
      <c r="D24" s="18"/>
      <c r="E24" s="372"/>
      <c r="F24" s="391"/>
      <c r="G24" s="25" t="str">
        <f>IFERROR(IF(VLOOKUP($B24,'Month-1'!$B$3:$D$42,2,0)=0,"",VLOOKUP($B24,'Month-1'!$B$3:$D$42,2,0)),"")</f>
        <v/>
      </c>
      <c r="H24" s="26" t="str">
        <f>IFERROR(IF(VLOOKUP($B24,'Month-1'!$B$3:$D$42,3,0)=0,"",VLOOKUP($B24,'Month-1'!$B$3:$D$42,3,0)),"")</f>
        <v/>
      </c>
      <c r="I24" s="24"/>
      <c r="J24" s="18"/>
      <c r="K24" s="18"/>
      <c r="L24" s="35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357"/>
      <c r="AA24" s="357"/>
      <c r="AB24" s="357"/>
      <c r="AC24" s="18"/>
      <c r="AD24" s="18"/>
      <c r="AE24" s="18"/>
      <c r="AF24" s="18"/>
      <c r="AG24" s="357"/>
      <c r="AH24" s="357"/>
      <c r="AI24" s="18"/>
      <c r="AJ24" s="18"/>
      <c r="AK24" s="18"/>
      <c r="AL24" s="357"/>
      <c r="AM24" s="357"/>
      <c r="AN24" s="18"/>
      <c r="AO24" s="18"/>
      <c r="AP24" s="357"/>
      <c r="AQ24" s="26"/>
      <c r="AS24" s="345">
        <f>IFERROR(INDEX('Month-1'!$E$3:$E$42,MATCH($B24,'Month-1'!$B$3:$B$42,0)),0)</f>
        <v>0</v>
      </c>
      <c r="AT24" s="22">
        <f>IFERROR(INDEX('Month-1'!$F$3:$F$42,MATCH($B24,'Month-1'!$B$3:$B$42,0)),0)</f>
        <v>0</v>
      </c>
      <c r="AU24" s="22">
        <f>IFERROR(INDEX('Month-1'!#REF!,MATCH($B24,'Month-1'!$B$3:$B$42,0)),0)</f>
        <v>0</v>
      </c>
      <c r="AV24" s="346">
        <f>IFERROR(INDEX('Month-1'!$G$3:$G$42,MATCH($B24,'Month-1'!$B$3:$B$42,0)),0)</f>
        <v>0</v>
      </c>
      <c r="AW24" s="42">
        <f t="shared" si="12"/>
        <v>0</v>
      </c>
      <c r="AX24" s="23" cm="1">
        <f t="array" ref="AX24">SUMPRODUCT( (LEFT(I24:AQ24,2)="HO") * (I24:AQ24&lt;&gt;"HO6") * ( (($I$1:$AQ$1="PRE") + ($I$2:$AQ$2=5)) &gt;0 ) )</f>
        <v>0</v>
      </c>
      <c r="AY24" s="23" cm="1">
        <f t="array" ref="AY24">SUMPRODUCT( (LEFT(I24:AQ24,2)="HO") * (I24:AQ24&lt;&gt;"HO6") * ( (($I$1:$AQ$1="Y") + ($I$2:$AQ$2=6)) &gt;0 ) )</f>
        <v>0</v>
      </c>
      <c r="AZ24" s="23">
        <f t="shared" si="13"/>
        <v>0</v>
      </c>
      <c r="BA24" s="23">
        <f t="shared" si="14"/>
        <v>0</v>
      </c>
      <c r="BB24" s="278">
        <f t="shared" si="15"/>
        <v>0</v>
      </c>
      <c r="BC24" s="39">
        <f t="shared" si="16"/>
        <v>0</v>
      </c>
      <c r="BD24" s="25">
        <f t="shared" si="7"/>
        <v>0</v>
      </c>
      <c r="BE24" s="18">
        <f t="shared" si="17"/>
        <v>0</v>
      </c>
      <c r="BF24" s="346" cm="1">
        <f t="array" ref="BF24">SUMPRODUCT((I$2:AO$2=5)*(I24:AO24="")*(J$2:AP$2=6)*(J24:AP24="")*(K$2:AQ$2=7)*(K24:AQ24=""))</f>
        <v>5</v>
      </c>
      <c r="BG24" s="25">
        <f t="shared" si="8"/>
        <v>0</v>
      </c>
      <c r="BH24" s="18">
        <f t="shared" si="9"/>
        <v>0</v>
      </c>
      <c r="BI24" s="18">
        <f t="shared" si="10"/>
        <v>1</v>
      </c>
      <c r="BJ24" s="26">
        <f t="shared" si="11"/>
        <v>0</v>
      </c>
    </row>
    <row r="25" spans="2:62" x14ac:dyDescent="0.2">
      <c r="B25" s="71"/>
      <c r="C25" s="18"/>
      <c r="D25" s="18"/>
      <c r="E25" s="372"/>
      <c r="F25" s="391"/>
      <c r="G25" s="25" t="str">
        <f>IFERROR(IF(VLOOKUP($B25,'Month-1'!$B$3:$D$42,2,0)=0,"",VLOOKUP($B25,'Month-1'!$B$3:$D$42,2,0)),"")</f>
        <v/>
      </c>
      <c r="H25" s="26" t="str">
        <f>IFERROR(IF(VLOOKUP($B25,'Month-1'!$B$3:$D$42,3,0)=0,"",VLOOKUP($B25,'Month-1'!$B$3:$D$42,3,0)),"")</f>
        <v/>
      </c>
      <c r="I25" s="24"/>
      <c r="J25" s="18"/>
      <c r="K25" s="357"/>
      <c r="L25" s="18"/>
      <c r="M25" s="18"/>
      <c r="N25" s="18"/>
      <c r="O25" s="357"/>
      <c r="P25" s="18"/>
      <c r="Q25" s="18"/>
      <c r="R25" s="18"/>
      <c r="S25" s="18"/>
      <c r="T25" s="18"/>
      <c r="U25" s="18"/>
      <c r="V25" s="18"/>
      <c r="W25" s="357"/>
      <c r="X25" s="357"/>
      <c r="Y25" s="18"/>
      <c r="Z25" s="18"/>
      <c r="AA25" s="357"/>
      <c r="AB25" s="18"/>
      <c r="AC25" s="18"/>
      <c r="AD25" s="357"/>
      <c r="AE25" s="18"/>
      <c r="AF25" s="18"/>
      <c r="AG25" s="18"/>
      <c r="AH25" s="357"/>
      <c r="AI25" s="18"/>
      <c r="AJ25" s="18"/>
      <c r="AK25" s="18"/>
      <c r="AL25" s="18"/>
      <c r="AM25" s="18"/>
      <c r="AN25" s="18"/>
      <c r="AO25" s="18"/>
      <c r="AP25" s="18"/>
      <c r="AQ25" s="26"/>
      <c r="AS25" s="345">
        <f>IFERROR(INDEX('Month-1'!$E$3:$E$42,MATCH($B25,'Month-1'!$B$3:$B$42,0)),0)</f>
        <v>0</v>
      </c>
      <c r="AT25" s="22">
        <f>IFERROR(INDEX('Month-1'!$F$3:$F$42,MATCH($B25,'Month-1'!$B$3:$B$42,0)),0)</f>
        <v>0</v>
      </c>
      <c r="AU25" s="22">
        <f>IFERROR(INDEX('Month-1'!#REF!,MATCH($B25,'Month-1'!$B$3:$B$42,0)),0)</f>
        <v>0</v>
      </c>
      <c r="AV25" s="346">
        <f>IFERROR(INDEX('Month-1'!$G$3:$G$42,MATCH($B25,'Month-1'!$B$3:$B$42,0)),0)</f>
        <v>0</v>
      </c>
      <c r="AW25" s="42">
        <f t="shared" si="12"/>
        <v>0</v>
      </c>
      <c r="AX25" s="23" cm="1">
        <f t="array" ref="AX25">SUMPRODUCT( (LEFT(I25:AQ25,2)="HO") * (I25:AQ25&lt;&gt;"HO6") * ( (($I$1:$AQ$1="PRE") + ($I$2:$AQ$2=5)) &gt;0 ) )</f>
        <v>0</v>
      </c>
      <c r="AY25" s="23" cm="1">
        <f t="array" ref="AY25">SUMPRODUCT( (LEFT(I25:AQ25,2)="HO") * (I25:AQ25&lt;&gt;"HO6") * ( (($I$1:$AQ$1="Y") + ($I$2:$AQ$2=6)) &gt;0 ) )</f>
        <v>0</v>
      </c>
      <c r="AZ25" s="23">
        <f t="shared" si="13"/>
        <v>0</v>
      </c>
      <c r="BA25" s="23">
        <f t="shared" si="14"/>
        <v>0</v>
      </c>
      <c r="BB25" s="278">
        <f t="shared" si="15"/>
        <v>0</v>
      </c>
      <c r="BC25" s="39">
        <f t="shared" si="16"/>
        <v>0</v>
      </c>
      <c r="BD25" s="25">
        <f t="shared" si="7"/>
        <v>0</v>
      </c>
      <c r="BE25" s="18">
        <f t="shared" si="17"/>
        <v>0</v>
      </c>
      <c r="BF25" s="346" cm="1">
        <f t="array" ref="BF25">SUMPRODUCT((I$2:AO$2=5)*(I25:AO25="")*(J$2:AP$2=6)*(J25:AP25="")*(K$2:AQ$2=7)*(K25:AQ25=""))</f>
        <v>5</v>
      </c>
      <c r="BG25" s="25">
        <f t="shared" si="8"/>
        <v>0</v>
      </c>
      <c r="BH25" s="18">
        <f t="shared" si="9"/>
        <v>0</v>
      </c>
      <c r="BI25" s="18">
        <f t="shared" si="10"/>
        <v>1</v>
      </c>
      <c r="BJ25" s="26">
        <f t="shared" si="11"/>
        <v>0</v>
      </c>
    </row>
    <row r="26" spans="2:62" x14ac:dyDescent="0.2">
      <c r="B26" s="71"/>
      <c r="C26" s="18"/>
      <c r="D26" s="18"/>
      <c r="E26" s="372"/>
      <c r="F26" s="391"/>
      <c r="G26" s="25" t="str">
        <f>IFERROR(IF(VLOOKUP($B26,'Month-1'!$B$3:$D$42,2,0)=0,"",VLOOKUP($B26,'Month-1'!$B$3:$D$42,2,0)),"")</f>
        <v/>
      </c>
      <c r="H26" s="26" t="str">
        <f>IFERROR(IF(VLOOKUP($B26,'Month-1'!$B$3:$D$42,3,0)=0,"",VLOOKUP($B26,'Month-1'!$B$3:$D$42,3,0)),"")</f>
        <v/>
      </c>
      <c r="I26" s="24"/>
      <c r="J26" s="18"/>
      <c r="K26" s="357"/>
      <c r="L26" s="18"/>
      <c r="M26" s="18"/>
      <c r="N26" s="357"/>
      <c r="O26" s="357"/>
      <c r="P26" s="357"/>
      <c r="Q26" s="357"/>
      <c r="R26" s="357"/>
      <c r="S26" s="357"/>
      <c r="T26" s="18"/>
      <c r="U26" s="18"/>
      <c r="V26" s="18"/>
      <c r="W26" s="357"/>
      <c r="X26" s="18"/>
      <c r="Y26" s="357"/>
      <c r="Z26" s="18"/>
      <c r="AA26" s="18"/>
      <c r="AB26" s="18"/>
      <c r="AC26" s="18"/>
      <c r="AD26" s="18"/>
      <c r="AE26" s="18"/>
      <c r="AF26" s="18"/>
      <c r="AG26" s="18"/>
      <c r="AH26" s="18"/>
      <c r="AI26" s="357"/>
      <c r="AJ26" s="357"/>
      <c r="AK26" s="357"/>
      <c r="AL26" s="357"/>
      <c r="AM26" s="357"/>
      <c r="AN26" s="18"/>
      <c r="AO26" s="18"/>
      <c r="AP26" s="18"/>
      <c r="AQ26" s="26"/>
      <c r="AS26" s="345">
        <f>IFERROR(INDEX('Month-1'!$E$3:$E$42,MATCH($B26,'Month-1'!$B$3:$B$42,0)),0)</f>
        <v>0</v>
      </c>
      <c r="AT26" s="22">
        <f>IFERROR(INDEX('Month-1'!$F$3:$F$42,MATCH($B26,'Month-1'!$B$3:$B$42,0)),0)</f>
        <v>0</v>
      </c>
      <c r="AU26" s="22">
        <f>IFERROR(INDEX('Month-1'!#REF!,MATCH($B26,'Month-1'!$B$3:$B$42,0)),0)</f>
        <v>0</v>
      </c>
      <c r="AV26" s="346">
        <f>IFERROR(INDEX('Month-1'!$G$3:$G$42,MATCH($B26,'Month-1'!$B$3:$B$42,0)),0)</f>
        <v>0</v>
      </c>
      <c r="AW26" s="42">
        <f t="shared" si="12"/>
        <v>0</v>
      </c>
      <c r="AX26" s="23" cm="1">
        <f t="array" ref="AX26">SUMPRODUCT( (LEFT(I26:AQ26,2)="HO") * (I26:AQ26&lt;&gt;"HO6") * ( (($I$1:$AQ$1="PRE") + ($I$2:$AQ$2=5)) &gt;0 ) )</f>
        <v>0</v>
      </c>
      <c r="AY26" s="23" cm="1">
        <f t="array" ref="AY26">SUMPRODUCT( (LEFT(I26:AQ26,2)="HO") * (I26:AQ26&lt;&gt;"HO6") * ( (($I$1:$AQ$1="Y") + ($I$2:$AQ$2=6)) &gt;0 ) )</f>
        <v>0</v>
      </c>
      <c r="AZ26" s="23">
        <f t="shared" si="13"/>
        <v>0</v>
      </c>
      <c r="BA26" s="23">
        <f t="shared" si="14"/>
        <v>0</v>
      </c>
      <c r="BB26" s="278">
        <f t="shared" si="15"/>
        <v>0</v>
      </c>
      <c r="BC26" s="39">
        <f t="shared" si="16"/>
        <v>0</v>
      </c>
      <c r="BD26" s="25">
        <f t="shared" si="7"/>
        <v>0</v>
      </c>
      <c r="BE26" s="18">
        <f t="shared" si="17"/>
        <v>0</v>
      </c>
      <c r="BF26" s="346" cm="1">
        <f t="array" ref="BF26">SUMPRODUCT((I$2:AO$2=5)*(I26:AO26="")*(J$2:AP$2=6)*(J26:AP26="")*(K$2:AQ$2=7)*(K26:AQ26=""))</f>
        <v>5</v>
      </c>
      <c r="BG26" s="25">
        <f t="shared" si="8"/>
        <v>0</v>
      </c>
      <c r="BH26" s="18">
        <f t="shared" si="9"/>
        <v>0</v>
      </c>
      <c r="BI26" s="18">
        <f t="shared" si="10"/>
        <v>1</v>
      </c>
      <c r="BJ26" s="26">
        <f t="shared" si="11"/>
        <v>0</v>
      </c>
    </row>
    <row r="27" spans="2:62" x14ac:dyDescent="0.2">
      <c r="B27" s="71"/>
      <c r="C27" s="18"/>
      <c r="D27" s="18"/>
      <c r="E27" s="372"/>
      <c r="F27" s="391"/>
      <c r="G27" s="25" t="str">
        <f>IFERROR(IF(VLOOKUP($B27,'Month-1'!$B$3:$D$42,2,0)=0,"",VLOOKUP($B27,'Month-1'!$B$3:$D$42,2,0)),"")</f>
        <v/>
      </c>
      <c r="H27" s="26" t="str">
        <f>IFERROR(IF(VLOOKUP($B27,'Month-1'!$B$3:$D$42,3,0)=0,"",VLOOKUP($B27,'Month-1'!$B$3:$D$42,3,0)),"")</f>
        <v/>
      </c>
      <c r="I27" s="24"/>
      <c r="J27" s="18"/>
      <c r="K27" s="18"/>
      <c r="L27" s="18"/>
      <c r="M27" s="18"/>
      <c r="N27" s="18"/>
      <c r="O27" s="18"/>
      <c r="P27" s="357"/>
      <c r="Q27" s="357"/>
      <c r="R27" s="18"/>
      <c r="S27" s="18"/>
      <c r="T27" s="357"/>
      <c r="U27" s="357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357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26"/>
      <c r="AS27" s="345">
        <f>IFERROR(INDEX('Month-1'!$E$3:$E$42,MATCH($B27,'Month-1'!$B$3:$B$42,0)),0)</f>
        <v>0</v>
      </c>
      <c r="AT27" s="22">
        <f>IFERROR(INDEX('Month-1'!$F$3:$F$42,MATCH($B27,'Month-1'!$B$3:$B$42,0)),0)</f>
        <v>0</v>
      </c>
      <c r="AU27" s="22">
        <f>IFERROR(INDEX('Month-1'!#REF!,MATCH($B27,'Month-1'!$B$3:$B$42,0)),0)</f>
        <v>0</v>
      </c>
      <c r="AV27" s="346">
        <f>IFERROR(INDEX('Month-1'!$G$3:$G$42,MATCH($B27,'Month-1'!$B$3:$B$42,0)),0)</f>
        <v>0</v>
      </c>
      <c r="AW27" s="42">
        <f t="shared" si="12"/>
        <v>0</v>
      </c>
      <c r="AX27" s="23" cm="1">
        <f t="array" ref="AX27">SUMPRODUCT( (LEFT(I27:AQ27,2)="HO") * (I27:AQ27&lt;&gt;"HO6") * ( (($I$1:$AQ$1="PRE") + ($I$2:$AQ$2=5)) &gt;0 ) )</f>
        <v>0</v>
      </c>
      <c r="AY27" s="23" cm="1">
        <f t="array" ref="AY27">SUMPRODUCT( (LEFT(I27:AQ27,2)="HO") * (I27:AQ27&lt;&gt;"HO6") * ( (($I$1:$AQ$1="Y") + ($I$2:$AQ$2=6)) &gt;0 ) )</f>
        <v>0</v>
      </c>
      <c r="AZ27" s="23">
        <f t="shared" si="13"/>
        <v>0</v>
      </c>
      <c r="BA27" s="23">
        <f t="shared" si="14"/>
        <v>0</v>
      </c>
      <c r="BB27" s="278">
        <f t="shared" si="15"/>
        <v>0</v>
      </c>
      <c r="BC27" s="39">
        <f t="shared" si="16"/>
        <v>0</v>
      </c>
      <c r="BD27" s="25">
        <f t="shared" si="7"/>
        <v>0</v>
      </c>
      <c r="BE27" s="18">
        <f t="shared" si="17"/>
        <v>0</v>
      </c>
      <c r="BF27" s="346" cm="1">
        <f t="array" ref="BF27">SUMPRODUCT((I$2:AO$2=5)*(I27:AO27="")*(J$2:AP$2=6)*(J27:AP27="")*(K$2:AQ$2=7)*(K27:AQ27=""))</f>
        <v>5</v>
      </c>
      <c r="BG27" s="25">
        <f t="shared" si="8"/>
        <v>0</v>
      </c>
      <c r="BH27" s="18">
        <f t="shared" si="9"/>
        <v>0</v>
      </c>
      <c r="BI27" s="18">
        <f t="shared" si="10"/>
        <v>1</v>
      </c>
      <c r="BJ27" s="26">
        <f t="shared" si="11"/>
        <v>0</v>
      </c>
    </row>
    <row r="28" spans="2:62" x14ac:dyDescent="0.2">
      <c r="B28" s="71"/>
      <c r="C28" s="18"/>
      <c r="D28" s="18"/>
      <c r="E28" s="372"/>
      <c r="F28" s="391"/>
      <c r="G28" s="25" t="str">
        <f>IFERROR(IF(VLOOKUP($B28,'Month-1'!$B$3:$D$42,2,0)=0,"",VLOOKUP($B28,'Month-1'!$B$3:$D$42,2,0)),"")</f>
        <v/>
      </c>
      <c r="H28" s="26" t="str">
        <f>IFERROR(IF(VLOOKUP($B28,'Month-1'!$B$3:$D$42,3,0)=0,"",VLOOKUP($B28,'Month-1'!$B$3:$D$42,3,0)),"")</f>
        <v/>
      </c>
      <c r="I28" s="24"/>
      <c r="J28" s="18"/>
      <c r="K28" s="18"/>
      <c r="L28" s="18"/>
      <c r="M28" s="18"/>
      <c r="N28" s="18"/>
      <c r="O28" s="18"/>
      <c r="P28" s="357"/>
      <c r="Q28" s="357"/>
      <c r="R28" s="357"/>
      <c r="S28" s="357"/>
      <c r="T28" s="357"/>
      <c r="U28" s="357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357"/>
      <c r="AI28" s="18"/>
      <c r="AJ28" s="18"/>
      <c r="AK28" s="18"/>
      <c r="AL28" s="18"/>
      <c r="AM28" s="18"/>
      <c r="AN28" s="357"/>
      <c r="AO28" s="357"/>
      <c r="AP28" s="18"/>
      <c r="AQ28" s="26"/>
      <c r="AS28" s="345">
        <f>IFERROR(INDEX('Month-1'!$E$3:$E$42,MATCH($B28,'Month-1'!$B$3:$B$42,0)),0)</f>
        <v>0</v>
      </c>
      <c r="AT28" s="22">
        <f>IFERROR(INDEX('Month-1'!$F$3:$F$42,MATCH($B28,'Month-1'!$B$3:$B$42,0)),0)</f>
        <v>0</v>
      </c>
      <c r="AU28" s="22">
        <f>IFERROR(INDEX('Month-1'!#REF!,MATCH($B28,'Month-1'!$B$3:$B$42,0)),0)</f>
        <v>0</v>
      </c>
      <c r="AV28" s="346">
        <f>IFERROR(INDEX('Month-1'!$G$3:$G$42,MATCH($B28,'Month-1'!$B$3:$B$42,0)),0)</f>
        <v>0</v>
      </c>
      <c r="AW28" s="42">
        <f t="shared" si="12"/>
        <v>0</v>
      </c>
      <c r="AX28" s="23" cm="1">
        <f t="array" ref="AX28">SUMPRODUCT( (LEFT(I28:AQ28,2)="HO") * (I28:AQ28&lt;&gt;"HO6") * ( (($I$1:$AQ$1="PRE") + ($I$2:$AQ$2=5)) &gt;0 ) )</f>
        <v>0</v>
      </c>
      <c r="AY28" s="23" cm="1">
        <f t="array" ref="AY28">SUMPRODUCT( (LEFT(I28:AQ28,2)="HO") * (I28:AQ28&lt;&gt;"HO6") * ( (($I$1:$AQ$1="Y") + ($I$2:$AQ$2=6)) &gt;0 ) )</f>
        <v>0</v>
      </c>
      <c r="AZ28" s="23">
        <f t="shared" si="13"/>
        <v>0</v>
      </c>
      <c r="BA28" s="23">
        <f t="shared" si="14"/>
        <v>0</v>
      </c>
      <c r="BB28" s="278">
        <f t="shared" si="15"/>
        <v>0</v>
      </c>
      <c r="BC28" s="39">
        <f t="shared" si="16"/>
        <v>0</v>
      </c>
      <c r="BD28" s="25">
        <f t="shared" si="7"/>
        <v>0</v>
      </c>
      <c r="BE28" s="18">
        <f t="shared" si="17"/>
        <v>0</v>
      </c>
      <c r="BF28" s="346" cm="1">
        <f t="array" ref="BF28">SUMPRODUCT((I$2:AO$2=5)*(I28:AO28="")*(J$2:AP$2=6)*(J28:AP28="")*(K$2:AQ$2=7)*(K28:AQ28=""))</f>
        <v>5</v>
      </c>
      <c r="BG28" s="25">
        <f t="shared" si="8"/>
        <v>0</v>
      </c>
      <c r="BH28" s="18">
        <f t="shared" si="9"/>
        <v>0</v>
      </c>
      <c r="BI28" s="18">
        <f t="shared" si="10"/>
        <v>1</v>
      </c>
      <c r="BJ28" s="26">
        <f t="shared" si="11"/>
        <v>0</v>
      </c>
    </row>
    <row r="29" spans="2:62" x14ac:dyDescent="0.2">
      <c r="B29" s="71"/>
      <c r="C29" s="18"/>
      <c r="D29" s="18"/>
      <c r="E29" s="372"/>
      <c r="F29" s="391"/>
      <c r="G29" s="25" t="str">
        <f>IFERROR(IF(VLOOKUP($B29,'Month-1'!$B$3:$D$42,2,0)=0,"",VLOOKUP($B29,'Month-1'!$B$3:$D$42,2,0)),"")</f>
        <v/>
      </c>
      <c r="H29" s="26" t="str">
        <f>IFERROR(IF(VLOOKUP($B29,'Month-1'!$B$3:$D$42,3,0)=0,"",VLOOKUP($B29,'Month-1'!$B$3:$D$42,3,0)),"")</f>
        <v/>
      </c>
      <c r="I29" s="24"/>
      <c r="J29" s="18"/>
      <c r="K29" s="18"/>
      <c r="L29" s="18"/>
      <c r="M29" s="357"/>
      <c r="N29" s="18"/>
      <c r="O29" s="357"/>
      <c r="P29" s="357"/>
      <c r="Q29" s="357"/>
      <c r="R29" s="357"/>
      <c r="S29" s="357"/>
      <c r="T29" s="18"/>
      <c r="U29" s="18"/>
      <c r="V29" s="18"/>
      <c r="W29" s="18"/>
      <c r="X29" s="18"/>
      <c r="Y29" s="357"/>
      <c r="Z29" s="357"/>
      <c r="AA29" s="357"/>
      <c r="AB29" s="357"/>
      <c r="AC29" s="18"/>
      <c r="AD29" s="357"/>
      <c r="AE29" s="18"/>
      <c r="AF29" s="18"/>
      <c r="AG29" s="357"/>
      <c r="AH29" s="357"/>
      <c r="AI29" s="18"/>
      <c r="AJ29" s="18"/>
      <c r="AK29" s="357"/>
      <c r="AL29" s="357"/>
      <c r="AM29" s="357"/>
      <c r="AN29" s="18"/>
      <c r="AO29" s="18"/>
      <c r="AP29" s="357"/>
      <c r="AQ29" s="359"/>
      <c r="AS29" s="345">
        <f>IFERROR(INDEX('Month-1'!$E$3:$E$42,MATCH($B29,'Month-1'!$B$3:$B$42,0)),0)</f>
        <v>0</v>
      </c>
      <c r="AT29" s="22">
        <f>IFERROR(INDEX('Month-1'!$F$3:$F$42,MATCH($B29,'Month-1'!$B$3:$B$42,0)),0)</f>
        <v>0</v>
      </c>
      <c r="AU29" s="22">
        <f>IFERROR(INDEX('Month-1'!#REF!,MATCH($B29,'Month-1'!$B$3:$B$42,0)),0)</f>
        <v>0</v>
      </c>
      <c r="AV29" s="346">
        <f>IFERROR(INDEX('Month-1'!$G$3:$G$42,MATCH($B29,'Month-1'!$B$3:$B$42,0)),0)</f>
        <v>0</v>
      </c>
      <c r="AW29" s="42">
        <f t="shared" si="12"/>
        <v>0</v>
      </c>
      <c r="AX29" s="23" cm="1">
        <f t="array" ref="AX29">SUMPRODUCT( (LEFT(I29:AQ29,2)="HO") * (I29:AQ29&lt;&gt;"HO6") * ( (($I$1:$AQ$1="PRE") + ($I$2:$AQ$2=5)) &gt;0 ) )</f>
        <v>0</v>
      </c>
      <c r="AY29" s="23" cm="1">
        <f t="array" ref="AY29">SUMPRODUCT( (LEFT(I29:AQ29,2)="HO") * (I29:AQ29&lt;&gt;"HO6") * ( (($I$1:$AQ$1="Y") + ($I$2:$AQ$2=6)) &gt;0 ) )</f>
        <v>0</v>
      </c>
      <c r="AZ29" s="23">
        <f t="shared" si="13"/>
        <v>0</v>
      </c>
      <c r="BA29" s="23">
        <f t="shared" si="14"/>
        <v>0</v>
      </c>
      <c r="BB29" s="278">
        <f t="shared" si="15"/>
        <v>0</v>
      </c>
      <c r="BC29" s="39">
        <f t="shared" si="16"/>
        <v>0</v>
      </c>
      <c r="BD29" s="25">
        <f t="shared" si="7"/>
        <v>0</v>
      </c>
      <c r="BE29" s="18">
        <f t="shared" si="17"/>
        <v>0</v>
      </c>
      <c r="BF29" s="346" cm="1">
        <f t="array" ref="BF29">SUMPRODUCT((I$2:AO$2=5)*(I29:AO29="")*(J$2:AP$2=6)*(J29:AP29="")*(K$2:AQ$2=7)*(K29:AQ29=""))</f>
        <v>5</v>
      </c>
      <c r="BG29" s="25">
        <f t="shared" si="8"/>
        <v>0</v>
      </c>
      <c r="BH29" s="18">
        <f t="shared" si="9"/>
        <v>0</v>
      </c>
      <c r="BI29" s="18">
        <f t="shared" si="10"/>
        <v>1</v>
      </c>
      <c r="BJ29" s="26">
        <f t="shared" si="11"/>
        <v>0</v>
      </c>
    </row>
    <row r="30" spans="2:62" x14ac:dyDescent="0.2">
      <c r="B30" s="71"/>
      <c r="C30" s="18"/>
      <c r="D30" s="18"/>
      <c r="E30" s="372"/>
      <c r="F30" s="391"/>
      <c r="G30" s="25" t="str">
        <f>IFERROR(IF(VLOOKUP($B30,'Month-1'!$B$3:$D$42,2,0)=0,"",VLOOKUP($B30,'Month-1'!$B$3:$D$42,2,0)),"")</f>
        <v/>
      </c>
      <c r="H30" s="26" t="str">
        <f>IFERROR(IF(VLOOKUP($B30,'Month-1'!$B$3:$D$42,3,0)=0,"",VLOOKUP($B30,'Month-1'!$B$3:$D$42,3,0)),"")</f>
        <v/>
      </c>
      <c r="I30" s="24"/>
      <c r="J30" s="18"/>
      <c r="K30" s="357"/>
      <c r="L30" s="357"/>
      <c r="M30" s="357"/>
      <c r="N30" s="18"/>
      <c r="O30" s="18"/>
      <c r="P30" s="357"/>
      <c r="Q30" s="18"/>
      <c r="R30" s="18"/>
      <c r="S30" s="357"/>
      <c r="T30" s="18"/>
      <c r="U30" s="18"/>
      <c r="V30" s="18"/>
      <c r="W30" s="18"/>
      <c r="X30" s="18"/>
      <c r="Y30" s="18"/>
      <c r="Z30" s="18"/>
      <c r="AA30" s="357"/>
      <c r="AB30" s="357"/>
      <c r="AC30" s="357"/>
      <c r="AD30" s="357"/>
      <c r="AE30" s="18"/>
      <c r="AF30" s="18"/>
      <c r="AG30" s="357"/>
      <c r="AH30" s="357"/>
      <c r="AI30" s="18"/>
      <c r="AJ30" s="18"/>
      <c r="AK30" s="18"/>
      <c r="AL30" s="18"/>
      <c r="AM30" s="18"/>
      <c r="AN30" s="18"/>
      <c r="AO30" s="18"/>
      <c r="AP30" s="18"/>
      <c r="AQ30" s="26"/>
      <c r="AS30" s="345">
        <f>IFERROR(INDEX('Month-1'!$E$3:$E$42,MATCH($B30,'Month-1'!$B$3:$B$42,0)),0)</f>
        <v>0</v>
      </c>
      <c r="AT30" s="22">
        <f>IFERROR(INDEX('Month-1'!$F$3:$F$42,MATCH($B30,'Month-1'!$B$3:$B$42,0)),0)</f>
        <v>0</v>
      </c>
      <c r="AU30" s="22">
        <f>IFERROR(INDEX('Month-1'!#REF!,MATCH($B30,'Month-1'!$B$3:$B$42,0)),0)</f>
        <v>0</v>
      </c>
      <c r="AV30" s="346">
        <f>IFERROR(INDEX('Month-1'!$G$3:$G$42,MATCH($B30,'Month-1'!$B$3:$B$42,0)),0)</f>
        <v>0</v>
      </c>
      <c r="AW30" s="42">
        <f t="shared" si="12"/>
        <v>0</v>
      </c>
      <c r="AX30" s="23" cm="1">
        <f t="array" ref="AX30">SUMPRODUCT( (LEFT(I30:AQ30,2)="HO") * (I30:AQ30&lt;&gt;"HO6") * ( (($I$1:$AQ$1="PRE") + ($I$2:$AQ$2=5)) &gt;0 ) )</f>
        <v>0</v>
      </c>
      <c r="AY30" s="23" cm="1">
        <f t="array" ref="AY30">SUMPRODUCT( (LEFT(I30:AQ30,2)="HO") * (I30:AQ30&lt;&gt;"HO6") * ( (($I$1:$AQ$1="Y") + ($I$2:$AQ$2=6)) &gt;0 ) )</f>
        <v>0</v>
      </c>
      <c r="AZ30" s="23">
        <f t="shared" si="13"/>
        <v>0</v>
      </c>
      <c r="BA30" s="23">
        <f t="shared" si="14"/>
        <v>0</v>
      </c>
      <c r="BB30" s="278">
        <f t="shared" si="15"/>
        <v>0</v>
      </c>
      <c r="BC30" s="39">
        <f t="shared" si="16"/>
        <v>0</v>
      </c>
      <c r="BD30" s="25">
        <f t="shared" si="7"/>
        <v>0</v>
      </c>
      <c r="BE30" s="18">
        <f t="shared" si="17"/>
        <v>0</v>
      </c>
      <c r="BF30" s="346" cm="1">
        <f t="array" ref="BF30">SUMPRODUCT((I$2:AO$2=5)*(I30:AO30="")*(J$2:AP$2=6)*(J30:AP30="")*(K$2:AQ$2=7)*(K30:AQ30=""))</f>
        <v>5</v>
      </c>
      <c r="BG30" s="25">
        <f t="shared" si="8"/>
        <v>0</v>
      </c>
      <c r="BH30" s="18">
        <f t="shared" si="9"/>
        <v>0</v>
      </c>
      <c r="BI30" s="18">
        <f t="shared" si="10"/>
        <v>1</v>
      </c>
      <c r="BJ30" s="26">
        <f t="shared" si="11"/>
        <v>0</v>
      </c>
    </row>
    <row r="31" spans="2:62" x14ac:dyDescent="0.2">
      <c r="B31" s="71"/>
      <c r="C31" s="18"/>
      <c r="D31" s="18"/>
      <c r="E31" s="372"/>
      <c r="F31" s="391"/>
      <c r="G31" s="25" t="str">
        <f>IFERROR(IF(VLOOKUP($B31,'Month-1'!$B$3:$D$42,2,0)=0,"",VLOOKUP($B31,'Month-1'!$B$3:$D$42,2,0)),"")</f>
        <v/>
      </c>
      <c r="H31" s="26" t="str">
        <f>IFERROR(IF(VLOOKUP($B31,'Month-1'!$B$3:$D$42,3,0)=0,"",VLOOKUP($B31,'Month-1'!$B$3:$D$42,3,0)),"")</f>
        <v/>
      </c>
      <c r="I31" s="24"/>
      <c r="J31" s="18"/>
      <c r="K31" s="357"/>
      <c r="L31" s="357"/>
      <c r="M31" s="18"/>
      <c r="N31" s="18"/>
      <c r="O31" s="18"/>
      <c r="P31" s="18"/>
      <c r="Q31" s="18"/>
      <c r="R31" s="357"/>
      <c r="S31" s="18"/>
      <c r="T31" s="18"/>
      <c r="U31" s="357"/>
      <c r="V31" s="357"/>
      <c r="W31" s="18"/>
      <c r="X31" s="18"/>
      <c r="Y31" s="357"/>
      <c r="Z31" s="18"/>
      <c r="AA31" s="357"/>
      <c r="AB31" s="357"/>
      <c r="AC31" s="18"/>
      <c r="AD31" s="18"/>
      <c r="AE31" s="18"/>
      <c r="AF31" s="18"/>
      <c r="AG31" s="18"/>
      <c r="AH31" s="18"/>
      <c r="AI31" s="357"/>
      <c r="AJ31" s="18"/>
      <c r="AK31" s="18"/>
      <c r="AL31" s="18"/>
      <c r="AM31" s="18"/>
      <c r="AN31" s="18"/>
      <c r="AO31" s="18"/>
      <c r="AP31" s="18"/>
      <c r="AQ31" s="26"/>
      <c r="AS31" s="345">
        <f>IFERROR(INDEX('Month-1'!$E$3:$E$42,MATCH($B31,'Month-1'!$B$3:$B$42,0)),0)</f>
        <v>0</v>
      </c>
      <c r="AT31" s="22">
        <f>IFERROR(INDEX('Month-1'!$F$3:$F$42,MATCH($B31,'Month-1'!$B$3:$B$42,0)),0)</f>
        <v>0</v>
      </c>
      <c r="AU31" s="22">
        <f>IFERROR(INDEX('Month-1'!#REF!,MATCH($B31,'Month-1'!$B$3:$B$42,0)),0)</f>
        <v>0</v>
      </c>
      <c r="AV31" s="346">
        <f>IFERROR(INDEX('Month-1'!$G$3:$G$42,MATCH($B31,'Month-1'!$B$3:$B$42,0)),0)</f>
        <v>0</v>
      </c>
      <c r="AW31" s="42">
        <f t="shared" si="12"/>
        <v>0</v>
      </c>
      <c r="AX31" s="23" cm="1">
        <f t="array" ref="AX31">SUMPRODUCT( (LEFT(I31:AQ31,2)="HO") * (I31:AQ31&lt;&gt;"HO6") * ( (($I$1:$AQ$1="PRE") + ($I$2:$AQ$2=5)) &gt;0 ) )</f>
        <v>0</v>
      </c>
      <c r="AY31" s="23" cm="1">
        <f t="array" ref="AY31">SUMPRODUCT( (LEFT(I31:AQ31,2)="HO") * (I31:AQ31&lt;&gt;"HO6") * ( (($I$1:$AQ$1="Y") + ($I$2:$AQ$2=6)) &gt;0 ) )</f>
        <v>0</v>
      </c>
      <c r="AZ31" s="23">
        <f t="shared" si="13"/>
        <v>0</v>
      </c>
      <c r="BA31" s="23">
        <f t="shared" si="14"/>
        <v>0</v>
      </c>
      <c r="BB31" s="278">
        <f t="shared" si="15"/>
        <v>0</v>
      </c>
      <c r="BC31" s="39">
        <f t="shared" si="16"/>
        <v>0</v>
      </c>
      <c r="BD31" s="25">
        <f t="shared" si="7"/>
        <v>0</v>
      </c>
      <c r="BE31" s="18">
        <f t="shared" si="17"/>
        <v>0</v>
      </c>
      <c r="BF31" s="346" cm="1">
        <f t="array" ref="BF31">SUMPRODUCT((I$2:AO$2=5)*(I31:AO31="")*(J$2:AP$2=6)*(J31:AP31="")*(K$2:AQ$2=7)*(K31:AQ31=""))</f>
        <v>5</v>
      </c>
      <c r="BG31" s="25">
        <f t="shared" si="8"/>
        <v>0</v>
      </c>
      <c r="BH31" s="18">
        <f t="shared" si="9"/>
        <v>0</v>
      </c>
      <c r="BI31" s="18">
        <f t="shared" si="10"/>
        <v>1</v>
      </c>
      <c r="BJ31" s="26">
        <f t="shared" si="11"/>
        <v>0</v>
      </c>
    </row>
    <row r="32" spans="2:62" x14ac:dyDescent="0.2">
      <c r="B32" s="71"/>
      <c r="C32" s="18"/>
      <c r="D32" s="18"/>
      <c r="E32" s="372"/>
      <c r="F32" s="391"/>
      <c r="G32" s="25" t="str">
        <f>IFERROR(IF(VLOOKUP($B32,'Month-1'!$B$3:$D$42,2,0)=0,"",VLOOKUP($B32,'Month-1'!$B$3:$D$42,2,0)),"")</f>
        <v/>
      </c>
      <c r="H32" s="26" t="str">
        <f>IFERROR(IF(VLOOKUP($B32,'Month-1'!$B$3:$D$42,3,0)=0,"",VLOOKUP($B32,'Month-1'!$B$3:$D$42,3,0)),"")</f>
        <v/>
      </c>
      <c r="I32" s="369"/>
      <c r="J32" s="357"/>
      <c r="K32" s="18"/>
      <c r="L32" s="18"/>
      <c r="M32" s="357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357"/>
      <c r="Z32" s="18"/>
      <c r="AA32" s="18"/>
      <c r="AB32" s="357"/>
      <c r="AC32" s="357"/>
      <c r="AD32" s="357"/>
      <c r="AE32" s="357"/>
      <c r="AF32" s="357"/>
      <c r="AG32" s="18"/>
      <c r="AH32" s="357"/>
      <c r="AI32" s="357"/>
      <c r="AJ32" s="18"/>
      <c r="AK32" s="18"/>
      <c r="AL32" s="18"/>
      <c r="AM32" s="18"/>
      <c r="AN32" s="18"/>
      <c r="AO32" s="357"/>
      <c r="AP32" s="357"/>
      <c r="AQ32" s="26"/>
      <c r="AS32" s="345">
        <f>IFERROR(INDEX('Month-1'!$E$3:$E$42,MATCH($B32,'Month-1'!$B$3:$B$42,0)),0)</f>
        <v>0</v>
      </c>
      <c r="AT32" s="22">
        <f>IFERROR(INDEX('Month-1'!$F$3:$F$42,MATCH($B32,'Month-1'!$B$3:$B$42,0)),0)</f>
        <v>0</v>
      </c>
      <c r="AU32" s="22">
        <f>IFERROR(INDEX('Month-1'!#REF!,MATCH($B32,'Month-1'!$B$3:$B$42,0)),0)</f>
        <v>0</v>
      </c>
      <c r="AV32" s="346">
        <f>IFERROR(INDEX('Month-1'!$G$3:$G$42,MATCH($B32,'Month-1'!$B$3:$B$42,0)),0)</f>
        <v>0</v>
      </c>
      <c r="AW32" s="42">
        <f t="shared" si="12"/>
        <v>0</v>
      </c>
      <c r="AX32" s="23" cm="1">
        <f t="array" ref="AX32">SUMPRODUCT( (LEFT(I32:AQ32,2)="HO") * (I32:AQ32&lt;&gt;"HO6") * ( (($I$1:$AQ$1="PRE") + ($I$2:$AQ$2=5)) &gt;0 ) )</f>
        <v>0</v>
      </c>
      <c r="AY32" s="23" cm="1">
        <f t="array" ref="AY32">SUMPRODUCT( (LEFT(I32:AQ32,2)="HO") * (I32:AQ32&lt;&gt;"HO6") * ( (($I$1:$AQ$1="Y") + ($I$2:$AQ$2=6)) &gt;0 ) )</f>
        <v>0</v>
      </c>
      <c r="AZ32" s="23">
        <f t="shared" si="13"/>
        <v>0</v>
      </c>
      <c r="BA32" s="23">
        <f t="shared" si="14"/>
        <v>0</v>
      </c>
      <c r="BB32" s="278">
        <f t="shared" si="15"/>
        <v>0</v>
      </c>
      <c r="BC32" s="39">
        <f t="shared" si="16"/>
        <v>0</v>
      </c>
      <c r="BD32" s="25">
        <f t="shared" si="7"/>
        <v>0</v>
      </c>
      <c r="BE32" s="18">
        <f t="shared" si="17"/>
        <v>0</v>
      </c>
      <c r="BF32" s="346" cm="1">
        <f t="array" ref="BF32">SUMPRODUCT((I$2:AO$2=5)*(I32:AO32="")*(J$2:AP$2=6)*(J32:AP32="")*(K$2:AQ$2=7)*(K32:AQ32=""))</f>
        <v>5</v>
      </c>
      <c r="BG32" s="25">
        <f t="shared" si="8"/>
        <v>0</v>
      </c>
      <c r="BH32" s="18">
        <f t="shared" si="9"/>
        <v>0</v>
      </c>
      <c r="BI32" s="18">
        <f t="shared" si="10"/>
        <v>1</v>
      </c>
      <c r="BJ32" s="26">
        <f t="shared" si="11"/>
        <v>0</v>
      </c>
    </row>
    <row r="33" spans="2:62" x14ac:dyDescent="0.2">
      <c r="B33" s="71"/>
      <c r="C33" s="18"/>
      <c r="D33" s="18"/>
      <c r="E33" s="372"/>
      <c r="F33" s="391"/>
      <c r="G33" s="25" t="str">
        <f>IFERROR(IF(VLOOKUP($B33,'Month-1'!$B$3:$D$42,2,0)=0,"",VLOOKUP($B33,'Month-1'!$B$3:$D$42,2,0)),"")</f>
        <v/>
      </c>
      <c r="H33" s="26" t="str">
        <f>IFERROR(IF(VLOOKUP($B33,'Month-1'!$B$3:$D$42,3,0)=0,"",VLOOKUP($B33,'Month-1'!$B$3:$D$42,3,0)),"")</f>
        <v/>
      </c>
      <c r="I33" s="369"/>
      <c r="J33" s="357"/>
      <c r="K33" s="357"/>
      <c r="L33" s="357"/>
      <c r="M33" s="357"/>
      <c r="N33" s="357"/>
      <c r="O33" s="357"/>
      <c r="P33" s="357"/>
      <c r="Q33" s="18"/>
      <c r="R33" s="18"/>
      <c r="S33" s="18"/>
      <c r="T33" s="357"/>
      <c r="U33" s="357"/>
      <c r="V33" s="357"/>
      <c r="W33" s="18"/>
      <c r="X33" s="18"/>
      <c r="Y33" s="357"/>
      <c r="Z33" s="18"/>
      <c r="AA33" s="357"/>
      <c r="AB33" s="18"/>
      <c r="AC33" s="18"/>
      <c r="AD33" s="18"/>
      <c r="AE33" s="18"/>
      <c r="AF33" s="18"/>
      <c r="AG33" s="18"/>
      <c r="AH33" s="357"/>
      <c r="AI33" s="18"/>
      <c r="AJ33" s="18"/>
      <c r="AK33" s="18"/>
      <c r="AL33" s="357"/>
      <c r="AM33" s="357"/>
      <c r="AN33" s="18"/>
      <c r="AO33" s="18"/>
      <c r="AP33" s="18"/>
      <c r="AQ33" s="26"/>
      <c r="AS33" s="345">
        <f>IFERROR(INDEX('Month-1'!$E$3:$E$42,MATCH($B33,'Month-1'!$B$3:$B$42,0)),0)</f>
        <v>0</v>
      </c>
      <c r="AT33" s="22">
        <f>IFERROR(INDEX('Month-1'!$F$3:$F$42,MATCH($B33,'Month-1'!$B$3:$B$42,0)),0)</f>
        <v>0</v>
      </c>
      <c r="AU33" s="22">
        <f>IFERROR(INDEX('Month-1'!#REF!,MATCH($B33,'Month-1'!$B$3:$B$42,0)),0)</f>
        <v>0</v>
      </c>
      <c r="AV33" s="346">
        <f>IFERROR(INDEX('Month-1'!$G$3:$G$42,MATCH($B33,'Month-1'!$B$3:$B$42,0)),0)</f>
        <v>0</v>
      </c>
      <c r="AW33" s="42">
        <f t="shared" si="12"/>
        <v>0</v>
      </c>
      <c r="AX33" s="23" cm="1">
        <f t="array" ref="AX33">SUMPRODUCT( (LEFT(I33:AQ33,2)="HO") * (I33:AQ33&lt;&gt;"HO6") * ( (($I$1:$AQ$1="PRE") + ($I$2:$AQ$2=5)) &gt;0 ) )</f>
        <v>0</v>
      </c>
      <c r="AY33" s="23" cm="1">
        <f t="array" ref="AY33">SUMPRODUCT( (LEFT(I33:AQ33,2)="HO") * (I33:AQ33&lt;&gt;"HO6") * ( (($I$1:$AQ$1="Y") + ($I$2:$AQ$2=6)) &gt;0 ) )</f>
        <v>0</v>
      </c>
      <c r="AZ33" s="23">
        <f t="shared" si="13"/>
        <v>0</v>
      </c>
      <c r="BA33" s="23">
        <f t="shared" si="14"/>
        <v>0</v>
      </c>
      <c r="BB33" s="278">
        <f t="shared" si="15"/>
        <v>0</v>
      </c>
      <c r="BC33" s="39">
        <f t="shared" si="16"/>
        <v>0</v>
      </c>
      <c r="BD33" s="25">
        <f t="shared" si="7"/>
        <v>0</v>
      </c>
      <c r="BE33" s="18">
        <f t="shared" si="17"/>
        <v>0</v>
      </c>
      <c r="BF33" s="346" cm="1">
        <f t="array" ref="BF33">SUMPRODUCT((I$2:AO$2=5)*(I33:AO33="")*(J$2:AP$2=6)*(J33:AP33="")*(K$2:AQ$2=7)*(K33:AQ33=""))</f>
        <v>5</v>
      </c>
      <c r="BG33" s="25">
        <f t="shared" si="8"/>
        <v>0</v>
      </c>
      <c r="BH33" s="18">
        <f t="shared" si="9"/>
        <v>0</v>
      </c>
      <c r="BI33" s="18">
        <f t="shared" si="10"/>
        <v>1</v>
      </c>
      <c r="BJ33" s="26">
        <f t="shared" si="11"/>
        <v>0</v>
      </c>
    </row>
    <row r="34" spans="2:62" x14ac:dyDescent="0.2">
      <c r="B34" s="71"/>
      <c r="C34" s="18"/>
      <c r="D34" s="18"/>
      <c r="E34" s="372"/>
      <c r="F34" s="391"/>
      <c r="G34" s="25" t="str">
        <f>IFERROR(IF(VLOOKUP($B34,'Month-1'!$B$3:$D$42,2,0)=0,"",VLOOKUP($B34,'Month-1'!$B$3:$D$42,2,0)),"")</f>
        <v/>
      </c>
      <c r="H34" s="26" t="str">
        <f>IFERROR(IF(VLOOKUP($B34,'Month-1'!$B$3:$D$42,3,0)=0,"",VLOOKUP($B34,'Month-1'!$B$3:$D$42,3,0)),"")</f>
        <v/>
      </c>
      <c r="I34" s="369"/>
      <c r="J34" s="18"/>
      <c r="K34" s="18"/>
      <c r="L34" s="18"/>
      <c r="M34" s="18"/>
      <c r="N34" s="18"/>
      <c r="O34" s="357"/>
      <c r="P34" s="357"/>
      <c r="Q34" s="357"/>
      <c r="R34" s="357"/>
      <c r="S34" s="357"/>
      <c r="T34" s="357"/>
      <c r="U34" s="357"/>
      <c r="V34" s="18"/>
      <c r="W34" s="18"/>
      <c r="X34" s="18"/>
      <c r="Y34" s="18"/>
      <c r="Z34" s="357"/>
      <c r="AA34" s="357"/>
      <c r="AB34" s="357"/>
      <c r="AC34" s="18"/>
      <c r="AD34" s="18"/>
      <c r="AE34" s="18"/>
      <c r="AF34" s="18"/>
      <c r="AG34" s="357"/>
      <c r="AH34" s="357"/>
      <c r="AI34" s="357"/>
      <c r="AJ34" s="357"/>
      <c r="AK34" s="18"/>
      <c r="AL34" s="18"/>
      <c r="AM34" s="357"/>
      <c r="AN34" s="357"/>
      <c r="AO34" s="357"/>
      <c r="AP34" s="357"/>
      <c r="AQ34" s="26"/>
      <c r="AS34" s="345">
        <f>IFERROR(INDEX('Month-1'!$E$3:$E$42,MATCH($B34,'Month-1'!$B$3:$B$42,0)),0)</f>
        <v>0</v>
      </c>
      <c r="AT34" s="22">
        <f>IFERROR(INDEX('Month-1'!$F$3:$F$42,MATCH($B34,'Month-1'!$B$3:$B$42,0)),0)</f>
        <v>0</v>
      </c>
      <c r="AU34" s="22">
        <f>IFERROR(INDEX('Month-1'!#REF!,MATCH($B34,'Month-1'!$B$3:$B$42,0)),0)</f>
        <v>0</v>
      </c>
      <c r="AV34" s="346">
        <f>IFERROR(INDEX('Month-1'!$G$3:$G$42,MATCH($B34,'Month-1'!$B$3:$B$42,0)),0)</f>
        <v>0</v>
      </c>
      <c r="AW34" s="42">
        <f t="shared" si="12"/>
        <v>0</v>
      </c>
      <c r="AX34" s="23" cm="1">
        <f t="array" ref="AX34">SUMPRODUCT( (LEFT(I34:AQ34,2)="HO") * (I34:AQ34&lt;&gt;"HO6") * ( (($I$1:$AQ$1="PRE") + ($I$2:$AQ$2=5)) &gt;0 ) )</f>
        <v>0</v>
      </c>
      <c r="AY34" s="23" cm="1">
        <f t="array" ref="AY34">SUMPRODUCT( (LEFT(I34:AQ34,2)="HO") * (I34:AQ34&lt;&gt;"HO6") * ( (($I$1:$AQ$1="Y") + ($I$2:$AQ$2=6)) &gt;0 ) )</f>
        <v>0</v>
      </c>
      <c r="AZ34" s="23">
        <f t="shared" si="13"/>
        <v>0</v>
      </c>
      <c r="BA34" s="23">
        <f t="shared" si="14"/>
        <v>0</v>
      </c>
      <c r="BB34" s="278">
        <f t="shared" si="15"/>
        <v>0</v>
      </c>
      <c r="BC34" s="39">
        <f t="shared" si="16"/>
        <v>0</v>
      </c>
      <c r="BD34" s="25">
        <f t="shared" si="7"/>
        <v>0</v>
      </c>
      <c r="BE34" s="18">
        <f t="shared" si="17"/>
        <v>0</v>
      </c>
      <c r="BF34" s="346" cm="1">
        <f t="array" ref="BF34">SUMPRODUCT((I$2:AO$2=5)*(I34:AO34="")*(J$2:AP$2=6)*(J34:AP34="")*(K$2:AQ$2=7)*(K34:AQ34=""))</f>
        <v>5</v>
      </c>
      <c r="BG34" s="25">
        <f t="shared" si="8"/>
        <v>0</v>
      </c>
      <c r="BH34" s="18">
        <f t="shared" si="9"/>
        <v>0</v>
      </c>
      <c r="BI34" s="18">
        <f t="shared" si="10"/>
        <v>1</v>
      </c>
      <c r="BJ34" s="26">
        <f t="shared" si="11"/>
        <v>0</v>
      </c>
    </row>
    <row r="35" spans="2:62" x14ac:dyDescent="0.2">
      <c r="B35" s="71"/>
      <c r="C35" s="18"/>
      <c r="D35" s="18"/>
      <c r="E35" s="372"/>
      <c r="F35" s="391"/>
      <c r="G35" s="25" t="str">
        <f>IFERROR(IF(VLOOKUP($B35,'Month-1'!$B$3:$D$42,2,0)=0,"",VLOOKUP($B35,'Month-1'!$B$3:$D$42,2,0)),"")</f>
        <v/>
      </c>
      <c r="H35" s="26" t="str">
        <f>IFERROR(IF(VLOOKUP($B35,'Month-1'!$B$3:$D$42,3,0)=0,"",VLOOKUP($B35,'Month-1'!$B$3:$D$42,3,0)),"")</f>
        <v/>
      </c>
      <c r="I35" s="36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357"/>
      <c r="V35" s="18"/>
      <c r="W35" s="357"/>
      <c r="X35" s="18"/>
      <c r="Y35" s="18"/>
      <c r="Z35" s="353"/>
      <c r="AA35" s="18"/>
      <c r="AB35" s="357"/>
      <c r="AC35" s="18"/>
      <c r="AD35" s="357"/>
      <c r="AE35" s="357"/>
      <c r="AF35" s="357"/>
      <c r="AG35" s="357"/>
      <c r="AH35" s="357"/>
      <c r="AI35" s="357"/>
      <c r="AJ35" s="357"/>
      <c r="AK35" s="357"/>
      <c r="AL35" s="357"/>
      <c r="AM35" s="18"/>
      <c r="AN35" s="18"/>
      <c r="AO35" s="18"/>
      <c r="AP35" s="357"/>
      <c r="AQ35" s="26"/>
      <c r="AS35" s="345">
        <f>IFERROR(INDEX('Month-1'!$E$3:$E$42,MATCH($B35,'Month-1'!$B$3:$B$42,0)),0)</f>
        <v>0</v>
      </c>
      <c r="AT35" s="22">
        <f>IFERROR(INDEX('Month-1'!$F$3:$F$42,MATCH($B35,'Month-1'!$B$3:$B$42,0)),0)</f>
        <v>0</v>
      </c>
      <c r="AU35" s="22">
        <f>IFERROR(INDEX('Month-1'!#REF!,MATCH($B35,'Month-1'!$B$3:$B$42,0)),0)</f>
        <v>0</v>
      </c>
      <c r="AV35" s="346">
        <f>IFERROR(INDEX('Month-1'!$G$3:$G$42,MATCH($B35,'Month-1'!$B$3:$B$42,0)),0)</f>
        <v>0</v>
      </c>
      <c r="AW35" s="42">
        <f t="shared" si="12"/>
        <v>0</v>
      </c>
      <c r="AX35" s="23" cm="1">
        <f t="array" ref="AX35">SUMPRODUCT( (LEFT(I35:AQ35,2)="HO") * (I35:AQ35&lt;&gt;"HO6") * ( (($I$1:$AQ$1="PRE") + ($I$2:$AQ$2=5)) &gt;0 ) )</f>
        <v>0</v>
      </c>
      <c r="AY35" s="23" cm="1">
        <f t="array" ref="AY35">SUMPRODUCT( (LEFT(I35:AQ35,2)="HO") * (I35:AQ35&lt;&gt;"HO6") * ( (($I$1:$AQ$1="Y") + ($I$2:$AQ$2=6)) &gt;0 ) )</f>
        <v>0</v>
      </c>
      <c r="AZ35" s="23">
        <f t="shared" si="13"/>
        <v>0</v>
      </c>
      <c r="BA35" s="23">
        <f t="shared" si="14"/>
        <v>0</v>
      </c>
      <c r="BB35" s="278">
        <f t="shared" si="15"/>
        <v>0</v>
      </c>
      <c r="BC35" s="39">
        <f t="shared" si="16"/>
        <v>0</v>
      </c>
      <c r="BD35" s="25">
        <f t="shared" si="7"/>
        <v>0</v>
      </c>
      <c r="BE35" s="18">
        <f t="shared" si="17"/>
        <v>0</v>
      </c>
      <c r="BF35" s="346" cm="1">
        <f t="array" ref="BF35">SUMPRODUCT((I$2:AO$2=5)*(I35:AO35="")*(J$2:AP$2=6)*(J35:AP35="")*(K$2:AQ$2=7)*(K35:AQ35=""))</f>
        <v>5</v>
      </c>
      <c r="BG35" s="25">
        <f t="shared" si="8"/>
        <v>0</v>
      </c>
      <c r="BH35" s="18">
        <f t="shared" si="9"/>
        <v>0</v>
      </c>
      <c r="BI35" s="18">
        <f t="shared" si="10"/>
        <v>1</v>
      </c>
      <c r="BJ35" s="26">
        <f t="shared" si="11"/>
        <v>0</v>
      </c>
    </row>
    <row r="36" spans="2:62" x14ac:dyDescent="0.2">
      <c r="B36" s="71"/>
      <c r="C36" s="18"/>
      <c r="D36" s="18"/>
      <c r="E36" s="372"/>
      <c r="F36" s="391"/>
      <c r="G36" s="25" t="str">
        <f>IFERROR(IF(VLOOKUP($B36,'Month-1'!$B$3:$D$42,2,0)=0,"",VLOOKUP($B36,'Month-1'!$B$3:$D$42,2,0)),"")</f>
        <v/>
      </c>
      <c r="H36" s="26" t="str">
        <f>IFERROR(IF(VLOOKUP($B36,'Month-1'!$B$3:$D$42,3,0)=0,"",VLOOKUP($B36,'Month-1'!$B$3:$D$42,3,0)),"")</f>
        <v/>
      </c>
      <c r="I36" s="24"/>
      <c r="J36" s="18"/>
      <c r="K36" s="18"/>
      <c r="L36" s="18"/>
      <c r="M36" s="18"/>
      <c r="N36" s="18"/>
      <c r="O36" s="18"/>
      <c r="P36" s="357"/>
      <c r="Q36" s="18"/>
      <c r="R36" s="357"/>
      <c r="S36" s="18"/>
      <c r="T36" s="18"/>
      <c r="U36" s="18"/>
      <c r="V36" s="357"/>
      <c r="W36" s="357"/>
      <c r="X36" s="18"/>
      <c r="Y36" s="18"/>
      <c r="Z36" s="18"/>
      <c r="AA36" s="357"/>
      <c r="AB36" s="357"/>
      <c r="AC36" s="18"/>
      <c r="AD36" s="18"/>
      <c r="AE36" s="18"/>
      <c r="AF36" s="18"/>
      <c r="AG36" s="357"/>
      <c r="AH36" s="357"/>
      <c r="AI36" s="18"/>
      <c r="AJ36" s="18"/>
      <c r="AK36" s="18"/>
      <c r="AL36" s="18"/>
      <c r="AM36" s="18"/>
      <c r="AN36" s="18"/>
      <c r="AO36" s="18"/>
      <c r="AP36" s="18"/>
      <c r="AQ36" s="359"/>
      <c r="AS36" s="345">
        <f>IFERROR(INDEX('Month-1'!$E$3:$E$42,MATCH($B36,'Month-1'!$B$3:$B$42,0)),0)</f>
        <v>0</v>
      </c>
      <c r="AT36" s="22">
        <f>IFERROR(INDEX('Month-1'!$F$3:$F$42,MATCH($B36,'Month-1'!$B$3:$B$42,0)),0)</f>
        <v>0</v>
      </c>
      <c r="AU36" s="22">
        <f>IFERROR(INDEX('Month-1'!#REF!,MATCH($B36,'Month-1'!$B$3:$B$42,0)),0)</f>
        <v>0</v>
      </c>
      <c r="AV36" s="346">
        <f>IFERROR(INDEX('Month-1'!$G$3:$G$42,MATCH($B36,'Month-1'!$B$3:$B$42,0)),0)</f>
        <v>0</v>
      </c>
      <c r="AW36" s="42">
        <f t="shared" si="12"/>
        <v>0</v>
      </c>
      <c r="AX36" s="23" cm="1">
        <f t="array" ref="AX36">SUMPRODUCT( (LEFT(I36:AQ36,2)="HO") * (I36:AQ36&lt;&gt;"HO6") * ( (($I$1:$AQ$1="PRE") + ($I$2:$AQ$2=5)) &gt;0 ) )</f>
        <v>0</v>
      </c>
      <c r="AY36" s="23" cm="1">
        <f t="array" ref="AY36">SUMPRODUCT( (LEFT(I36:AQ36,2)="HO") * (I36:AQ36&lt;&gt;"HO6") * ( (($I$1:$AQ$1="Y") + ($I$2:$AQ$2=6)) &gt;0 ) )</f>
        <v>0</v>
      </c>
      <c r="AZ36" s="23">
        <f t="shared" si="13"/>
        <v>0</v>
      </c>
      <c r="BA36" s="23">
        <f t="shared" si="14"/>
        <v>0</v>
      </c>
      <c r="BB36" s="278">
        <f t="shared" si="15"/>
        <v>0</v>
      </c>
      <c r="BC36" s="39">
        <f t="shared" si="16"/>
        <v>0</v>
      </c>
      <c r="BD36" s="25">
        <f t="shared" si="7"/>
        <v>0</v>
      </c>
      <c r="BE36" s="18">
        <f t="shared" si="17"/>
        <v>0</v>
      </c>
      <c r="BF36" s="346" cm="1">
        <f t="array" ref="BF36">SUMPRODUCT((I$2:AO$2=5)*(I36:AO36="")*(J$2:AP$2=6)*(J36:AP36="")*(K$2:AQ$2=7)*(K36:AQ36=""))</f>
        <v>5</v>
      </c>
      <c r="BG36" s="25">
        <f t="shared" si="8"/>
        <v>0</v>
      </c>
      <c r="BH36" s="18">
        <f t="shared" si="9"/>
        <v>0</v>
      </c>
      <c r="BI36" s="18">
        <f t="shared" si="10"/>
        <v>1</v>
      </c>
      <c r="BJ36" s="26">
        <f t="shared" si="11"/>
        <v>0</v>
      </c>
    </row>
    <row r="37" spans="2:62" x14ac:dyDescent="0.2">
      <c r="B37" s="71"/>
      <c r="C37" s="18"/>
      <c r="D37" s="18"/>
      <c r="E37" s="372"/>
      <c r="F37" s="391"/>
      <c r="G37" s="25" t="str">
        <f>IFERROR(IF(VLOOKUP($B37,'Month-1'!$B$3:$D$42,2,0)=0,"",VLOOKUP($B37,'Month-1'!$B$3:$D$42,2,0)),"")</f>
        <v/>
      </c>
      <c r="H37" s="26" t="str">
        <f>IFERROR(IF(VLOOKUP($B37,'Month-1'!$B$3:$D$42,3,0)=0,"",VLOOKUP($B37,'Month-1'!$B$3:$D$42,3,0)),"")</f>
        <v/>
      </c>
      <c r="I37" s="369"/>
      <c r="J37" s="18"/>
      <c r="K37" s="18"/>
      <c r="L37" s="18"/>
      <c r="M37" s="18"/>
      <c r="N37" s="357"/>
      <c r="O37" s="357"/>
      <c r="P37" s="357"/>
      <c r="Q37" s="18"/>
      <c r="R37" s="357"/>
      <c r="S37" s="18"/>
      <c r="T37" s="357"/>
      <c r="U37" s="357"/>
      <c r="V37" s="18"/>
      <c r="W37" s="18"/>
      <c r="X37" s="18"/>
      <c r="Y37" s="18"/>
      <c r="Z37" s="357"/>
      <c r="AA37" s="357"/>
      <c r="AB37" s="357"/>
      <c r="AC37" s="18"/>
      <c r="AD37" s="357"/>
      <c r="AE37" s="357"/>
      <c r="AF37" s="357"/>
      <c r="AG37" s="357"/>
      <c r="AH37" s="18"/>
      <c r="AI37" s="18"/>
      <c r="AJ37" s="18"/>
      <c r="AK37" s="18"/>
      <c r="AL37" s="18"/>
      <c r="AM37" s="18"/>
      <c r="AN37" s="18"/>
      <c r="AO37" s="18"/>
      <c r="AP37" s="357"/>
      <c r="AQ37" s="26"/>
      <c r="AS37" s="345">
        <f>IFERROR(INDEX('Month-1'!$E$3:$E$42,MATCH($B37,'Month-1'!$B$3:$B$42,0)),0)</f>
        <v>0</v>
      </c>
      <c r="AT37" s="22">
        <f>IFERROR(INDEX('Month-1'!$F$3:$F$42,MATCH($B37,'Month-1'!$B$3:$B$42,0)),0)</f>
        <v>0</v>
      </c>
      <c r="AU37" s="22">
        <f>IFERROR(INDEX('Month-1'!#REF!,MATCH($B37,'Month-1'!$B$3:$B$42,0)),0)</f>
        <v>0</v>
      </c>
      <c r="AV37" s="346">
        <f>IFERROR(INDEX('Month-1'!$G$3:$G$42,MATCH($B37,'Month-1'!$B$3:$B$42,0)),0)</f>
        <v>0</v>
      </c>
      <c r="AW37" s="42">
        <f t="shared" si="12"/>
        <v>0</v>
      </c>
      <c r="AX37" s="23" cm="1">
        <f t="array" ref="AX37">SUMPRODUCT( (LEFT(I37:AQ37,2)="HO") * (I37:AQ37&lt;&gt;"HO6") * ( (($I$1:$AQ$1="PRE") + ($I$2:$AQ$2=5)) &gt;0 ) )</f>
        <v>0</v>
      </c>
      <c r="AY37" s="23" cm="1">
        <f t="array" ref="AY37">SUMPRODUCT( (LEFT(I37:AQ37,2)="HO") * (I37:AQ37&lt;&gt;"HO6") * ( (($I$1:$AQ$1="Y") + ($I$2:$AQ$2=6)) &gt;0 ) )</f>
        <v>0</v>
      </c>
      <c r="AZ37" s="23">
        <f t="shared" si="13"/>
        <v>0</v>
      </c>
      <c r="BA37" s="23">
        <f t="shared" si="14"/>
        <v>0</v>
      </c>
      <c r="BB37" s="278">
        <f t="shared" si="15"/>
        <v>0</v>
      </c>
      <c r="BC37" s="39">
        <f t="shared" si="16"/>
        <v>0</v>
      </c>
      <c r="BD37" s="25">
        <f t="shared" si="7"/>
        <v>0</v>
      </c>
      <c r="BE37" s="18">
        <f t="shared" si="17"/>
        <v>0</v>
      </c>
      <c r="BF37" s="346" cm="1">
        <f t="array" ref="BF37">SUMPRODUCT((I$2:AO$2=5)*(I37:AO37="")*(J$2:AP$2=6)*(J37:AP37="")*(K$2:AQ$2=7)*(K37:AQ37=""))</f>
        <v>5</v>
      </c>
      <c r="BG37" s="25">
        <f t="shared" si="8"/>
        <v>0</v>
      </c>
      <c r="BH37" s="18">
        <f t="shared" si="9"/>
        <v>0</v>
      </c>
      <c r="BI37" s="18">
        <f t="shared" si="10"/>
        <v>1</v>
      </c>
      <c r="BJ37" s="26">
        <f t="shared" si="11"/>
        <v>0</v>
      </c>
    </row>
    <row r="38" spans="2:62" x14ac:dyDescent="0.2">
      <c r="B38" s="71"/>
      <c r="C38" s="18"/>
      <c r="D38" s="18"/>
      <c r="E38" s="372"/>
      <c r="F38" s="391"/>
      <c r="G38" s="25" t="str">
        <f>IFERROR(IF(VLOOKUP($B38,'Month-1'!$B$3:$D$42,2,0)=0,"",VLOOKUP($B38,'Month-1'!$B$3:$D$42,2,0)),"")</f>
        <v/>
      </c>
      <c r="H38" s="26" t="str">
        <f>IFERROR(IF(VLOOKUP($B38,'Month-1'!$B$3:$D$42,3,0)=0,"",VLOOKUP($B38,'Month-1'!$B$3:$D$42,3,0)),"")</f>
        <v/>
      </c>
      <c r="I38" s="369"/>
      <c r="J38" s="18"/>
      <c r="K38" s="357"/>
      <c r="L38" s="18"/>
      <c r="M38" s="18"/>
      <c r="N38" s="357"/>
      <c r="O38" s="357"/>
      <c r="P38" s="18"/>
      <c r="Q38" s="18"/>
      <c r="R38" s="357"/>
      <c r="S38" s="18"/>
      <c r="T38" s="357"/>
      <c r="U38" s="357"/>
      <c r="V38" s="18"/>
      <c r="W38" s="18"/>
      <c r="X38" s="18"/>
      <c r="Y38" s="357"/>
      <c r="Z38" s="18"/>
      <c r="AA38" s="357"/>
      <c r="AB38" s="357"/>
      <c r="AC38" s="357"/>
      <c r="AD38" s="357"/>
      <c r="AE38" s="357"/>
      <c r="AF38" s="357"/>
      <c r="AG38" s="357"/>
      <c r="AH38" s="357"/>
      <c r="AI38" s="357"/>
      <c r="AJ38" s="18"/>
      <c r="AK38" s="18"/>
      <c r="AL38" s="18"/>
      <c r="AM38" s="18"/>
      <c r="AN38" s="18"/>
      <c r="AO38" s="357"/>
      <c r="AP38" s="357"/>
      <c r="AQ38" s="359"/>
      <c r="AS38" s="345">
        <f>IFERROR(INDEX('Month-1'!$E$3:$E$42,MATCH($B38,'Month-1'!$B$3:$B$42,0)),0)</f>
        <v>0</v>
      </c>
      <c r="AT38" s="22">
        <f>IFERROR(INDEX('Month-1'!$F$3:$F$42,MATCH($B38,'Month-1'!$B$3:$B$42,0)),0)</f>
        <v>0</v>
      </c>
      <c r="AU38" s="22">
        <f>IFERROR(INDEX('Month-1'!#REF!,MATCH($B38,'Month-1'!$B$3:$B$42,0)),0)</f>
        <v>0</v>
      </c>
      <c r="AV38" s="346">
        <f>IFERROR(INDEX('Month-1'!$G$3:$G$42,MATCH($B38,'Month-1'!$B$3:$B$42,0)),0)</f>
        <v>0</v>
      </c>
      <c r="AW38" s="42">
        <f t="shared" si="12"/>
        <v>0</v>
      </c>
      <c r="AX38" s="23" cm="1">
        <f t="array" ref="AX38">SUMPRODUCT( (LEFT(I38:AQ38,2)="HO") * (I38:AQ38&lt;&gt;"HO6") * ( (($I$1:$AQ$1="PRE") + ($I$2:$AQ$2=5)) &gt;0 ) )</f>
        <v>0</v>
      </c>
      <c r="AY38" s="23" cm="1">
        <f t="array" ref="AY38">SUMPRODUCT( (LEFT(I38:AQ38,2)="HO") * (I38:AQ38&lt;&gt;"HO6") * ( (($I$1:$AQ$1="Y") + ($I$2:$AQ$2=6)) &gt;0 ) )</f>
        <v>0</v>
      </c>
      <c r="AZ38" s="23">
        <f t="shared" si="13"/>
        <v>0</v>
      </c>
      <c r="BA38" s="23">
        <f t="shared" si="14"/>
        <v>0</v>
      </c>
      <c r="BB38" s="278">
        <f t="shared" si="15"/>
        <v>0</v>
      </c>
      <c r="BC38" s="39">
        <f t="shared" si="16"/>
        <v>0</v>
      </c>
      <c r="BD38" s="25">
        <f t="shared" si="7"/>
        <v>0</v>
      </c>
      <c r="BE38" s="18">
        <f t="shared" si="17"/>
        <v>0</v>
      </c>
      <c r="BF38" s="346" cm="1">
        <f t="array" ref="BF38">SUMPRODUCT((I$2:AO$2=5)*(I38:AO38="")*(J$2:AP$2=6)*(J38:AP38="")*(K$2:AQ$2=7)*(K38:AQ38=""))</f>
        <v>5</v>
      </c>
      <c r="BG38" s="25">
        <f t="shared" si="8"/>
        <v>0</v>
      </c>
      <c r="BH38" s="18">
        <f t="shared" si="9"/>
        <v>0</v>
      </c>
      <c r="BI38" s="18">
        <f t="shared" si="10"/>
        <v>1</v>
      </c>
      <c r="BJ38" s="26">
        <f t="shared" si="11"/>
        <v>0</v>
      </c>
    </row>
    <row r="39" spans="2:62" x14ac:dyDescent="0.2">
      <c r="B39" s="71"/>
      <c r="C39" s="18"/>
      <c r="D39" s="18"/>
      <c r="E39" s="372"/>
      <c r="F39" s="391"/>
      <c r="G39" s="25" t="str">
        <f>IFERROR(IF(VLOOKUP($B39,'Month-1'!$B$3:$D$42,2,0)=0,"",VLOOKUP($B39,'Month-1'!$B$3:$D$42,2,0)),"")</f>
        <v/>
      </c>
      <c r="H39" s="26" t="str">
        <f>IFERROR(IF(VLOOKUP($B39,'Month-1'!$B$3:$D$42,3,0)=0,"",VLOOKUP($B39,'Month-1'!$B$3:$D$42,3,0)),"")</f>
        <v/>
      </c>
      <c r="I39" s="24"/>
      <c r="J39" s="357"/>
      <c r="K39" s="357"/>
      <c r="L39" s="357"/>
      <c r="M39" s="357"/>
      <c r="N39" s="357"/>
      <c r="O39" s="357"/>
      <c r="P39" s="357"/>
      <c r="Q39" s="357"/>
      <c r="R39" s="357"/>
      <c r="S39" s="18"/>
      <c r="T39" s="357"/>
      <c r="U39" s="18"/>
      <c r="V39" s="18"/>
      <c r="W39" s="18"/>
      <c r="X39" s="357"/>
      <c r="Y39" s="357"/>
      <c r="Z39" s="357"/>
      <c r="AA39" s="357"/>
      <c r="AB39" s="18"/>
      <c r="AC39" s="18"/>
      <c r="AD39" s="18"/>
      <c r="AE39" s="357"/>
      <c r="AF39" s="18"/>
      <c r="AG39" s="357"/>
      <c r="AH39" s="18"/>
      <c r="AI39" s="357"/>
      <c r="AJ39" s="18"/>
      <c r="AK39" s="18"/>
      <c r="AL39" s="18"/>
      <c r="AM39" s="18"/>
      <c r="AN39" s="18"/>
      <c r="AO39" s="18"/>
      <c r="AP39" s="357"/>
      <c r="AQ39" s="359"/>
      <c r="AS39" s="345">
        <f>IFERROR(INDEX('Month-1'!$E$3:$E$42,MATCH($B39,'Month-1'!$B$3:$B$42,0)),0)</f>
        <v>0</v>
      </c>
      <c r="AT39" s="22">
        <f>IFERROR(INDEX('Month-1'!$F$3:$F$42,MATCH($B39,'Month-1'!$B$3:$B$42,0)),0)</f>
        <v>0</v>
      </c>
      <c r="AU39" s="22">
        <f>IFERROR(INDEX('Month-1'!#REF!,MATCH($B39,'Month-1'!$B$3:$B$42,0)),0)</f>
        <v>0</v>
      </c>
      <c r="AV39" s="346">
        <f>IFERROR(INDEX('Month-1'!$G$3:$G$42,MATCH($B39,'Month-1'!$B$3:$B$42,0)),0)</f>
        <v>0</v>
      </c>
      <c r="AW39" s="42">
        <f t="shared" si="12"/>
        <v>0</v>
      </c>
      <c r="AX39" s="23" cm="1">
        <f t="array" ref="AX39">SUMPRODUCT( (LEFT(I39:AQ39,2)="HO") * (I39:AQ39&lt;&gt;"HO6") * ( (($I$1:$AQ$1="PRE") + ($I$2:$AQ$2=5)) &gt;0 ) )</f>
        <v>0</v>
      </c>
      <c r="AY39" s="23" cm="1">
        <f t="array" ref="AY39">SUMPRODUCT( (LEFT(I39:AQ39,2)="HO") * (I39:AQ39&lt;&gt;"HO6") * ( (($I$1:$AQ$1="Y") + ($I$2:$AQ$2=6)) &gt;0 ) )</f>
        <v>0</v>
      </c>
      <c r="AZ39" s="23">
        <f t="shared" si="13"/>
        <v>0</v>
      </c>
      <c r="BA39" s="23">
        <f t="shared" si="14"/>
        <v>0</v>
      </c>
      <c r="BB39" s="278">
        <f t="shared" si="15"/>
        <v>0</v>
      </c>
      <c r="BC39" s="39">
        <f t="shared" si="16"/>
        <v>0</v>
      </c>
      <c r="BD39" s="25">
        <f t="shared" si="7"/>
        <v>0</v>
      </c>
      <c r="BE39" s="18">
        <f t="shared" si="17"/>
        <v>0</v>
      </c>
      <c r="BF39" s="346" cm="1">
        <f t="array" ref="BF39">SUMPRODUCT((I$2:AO$2=5)*(I39:AO39="")*(J$2:AP$2=6)*(J39:AP39="")*(K$2:AQ$2=7)*(K39:AQ39=""))</f>
        <v>5</v>
      </c>
      <c r="BG39" s="25">
        <f t="shared" si="8"/>
        <v>0</v>
      </c>
      <c r="BH39" s="18">
        <f t="shared" si="9"/>
        <v>0</v>
      </c>
      <c r="BI39" s="18">
        <f t="shared" si="10"/>
        <v>1</v>
      </c>
      <c r="BJ39" s="26">
        <f t="shared" si="11"/>
        <v>0</v>
      </c>
    </row>
    <row r="40" spans="2:62" x14ac:dyDescent="0.2">
      <c r="B40" s="71"/>
      <c r="C40" s="18"/>
      <c r="D40" s="18"/>
      <c r="E40" s="372"/>
      <c r="F40" s="391"/>
      <c r="G40" s="25" t="str">
        <f>IFERROR(IF(VLOOKUP($B40,'Month-1'!$B$3:$D$42,2,0)=0,"",VLOOKUP($B40,'Month-1'!$B$3:$D$42,2,0)),"")</f>
        <v/>
      </c>
      <c r="H40" s="26" t="str">
        <f>IFERROR(IF(VLOOKUP($B40,'Month-1'!$B$3:$D$42,3,0)=0,"",VLOOKUP($B40,'Month-1'!$B$3:$D$42,3,0)),"")</f>
        <v/>
      </c>
      <c r="I40" s="24"/>
      <c r="J40" s="18"/>
      <c r="K40" s="18"/>
      <c r="L40" s="357"/>
      <c r="M40" s="18"/>
      <c r="N40" s="18"/>
      <c r="O40" s="18"/>
      <c r="P40" s="18"/>
      <c r="Q40" s="18"/>
      <c r="R40" s="357"/>
      <c r="S40" s="18"/>
      <c r="T40" s="18"/>
      <c r="U40" s="357"/>
      <c r="V40" s="357"/>
      <c r="W40" s="18"/>
      <c r="X40" s="18"/>
      <c r="Y40" s="18"/>
      <c r="Z40" s="357"/>
      <c r="AA40" s="357"/>
      <c r="AB40" s="357"/>
      <c r="AC40" s="18"/>
      <c r="AD40" s="357"/>
      <c r="AE40" s="357"/>
      <c r="AF40" s="357"/>
      <c r="AG40" s="357"/>
      <c r="AH40" s="18"/>
      <c r="AI40" s="18"/>
      <c r="AJ40" s="18"/>
      <c r="AK40" s="18"/>
      <c r="AL40" s="18"/>
      <c r="AM40" s="18"/>
      <c r="AN40" s="357"/>
      <c r="AO40" s="357"/>
      <c r="AP40" s="357"/>
      <c r="AQ40" s="359"/>
      <c r="AS40" s="345">
        <f>IFERROR(INDEX('Month-1'!$E$3:$E$42,MATCH($B40,'Month-1'!$B$3:$B$42,0)),0)</f>
        <v>0</v>
      </c>
      <c r="AT40" s="22">
        <f>IFERROR(INDEX('Month-1'!$F$3:$F$42,MATCH($B40,'Month-1'!$B$3:$B$42,0)),0)</f>
        <v>0</v>
      </c>
      <c r="AU40" s="22">
        <f>IFERROR(INDEX('Month-1'!#REF!,MATCH($B40,'Month-1'!$B$3:$B$42,0)),0)</f>
        <v>0</v>
      </c>
      <c r="AV40" s="346">
        <f>IFERROR(INDEX('Month-1'!$G$3:$G$42,MATCH($B40,'Month-1'!$B$3:$B$42,0)),0)</f>
        <v>0</v>
      </c>
      <c r="AW40" s="42">
        <f t="shared" si="12"/>
        <v>0</v>
      </c>
      <c r="AX40" s="23" cm="1">
        <f t="array" ref="AX40">SUMPRODUCT( (LEFT(I40:AQ40,2)="HO") * (I40:AQ40&lt;&gt;"HO6") * ( (($I$1:$AQ$1="PRE") + ($I$2:$AQ$2=5)) &gt;0 ) )</f>
        <v>0</v>
      </c>
      <c r="AY40" s="23" cm="1">
        <f t="array" ref="AY40">SUMPRODUCT( (LEFT(I40:AQ40,2)="HO") * (I40:AQ40&lt;&gt;"HO6") * ( (($I$1:$AQ$1="Y") + ($I$2:$AQ$2=6)) &gt;0 ) )</f>
        <v>0</v>
      </c>
      <c r="AZ40" s="23">
        <f t="shared" si="13"/>
        <v>0</v>
      </c>
      <c r="BA40" s="23">
        <f t="shared" si="14"/>
        <v>0</v>
      </c>
      <c r="BB40" s="278">
        <f t="shared" si="15"/>
        <v>0</v>
      </c>
      <c r="BC40" s="39">
        <f t="shared" si="16"/>
        <v>0</v>
      </c>
      <c r="BD40" s="25">
        <f t="shared" si="7"/>
        <v>0</v>
      </c>
      <c r="BE40" s="18">
        <f t="shared" si="17"/>
        <v>0</v>
      </c>
      <c r="BF40" s="346" cm="1">
        <f t="array" ref="BF40">SUMPRODUCT((I$2:AO$2=5)*(I40:AO40="")*(J$2:AP$2=6)*(J40:AP40="")*(K$2:AQ$2=7)*(K40:AQ40=""))</f>
        <v>5</v>
      </c>
      <c r="BG40" s="25">
        <f t="shared" si="8"/>
        <v>0</v>
      </c>
      <c r="BH40" s="18">
        <f t="shared" si="9"/>
        <v>0</v>
      </c>
      <c r="BI40" s="18">
        <f t="shared" si="10"/>
        <v>1</v>
      </c>
      <c r="BJ40" s="26">
        <f t="shared" si="11"/>
        <v>0</v>
      </c>
    </row>
    <row r="41" spans="2:62" x14ac:dyDescent="0.2">
      <c r="B41" s="71"/>
      <c r="C41" s="18"/>
      <c r="D41" s="18"/>
      <c r="E41" s="372"/>
      <c r="F41" s="391"/>
      <c r="G41" s="25" t="str">
        <f>IFERROR(IF(VLOOKUP($B41,'Month-1'!$B$3:$D$42,2,0)=0,"",VLOOKUP($B41,'Month-1'!$B$3:$D$42,2,0)),"")</f>
        <v/>
      </c>
      <c r="H41" s="26" t="str">
        <f>IFERROR(IF(VLOOKUP($B41,'Month-1'!$B$3:$D$42,3,0)=0,"",VLOOKUP($B41,'Month-1'!$B$3:$D$42,3,0)),"")</f>
        <v/>
      </c>
      <c r="I41" s="24"/>
      <c r="J41" s="18"/>
      <c r="K41" s="357"/>
      <c r="L41" s="357"/>
      <c r="M41" s="357"/>
      <c r="N41" s="357"/>
      <c r="O41" s="357"/>
      <c r="P41" s="18"/>
      <c r="Q41" s="18"/>
      <c r="R41" s="18"/>
      <c r="S41" s="18"/>
      <c r="T41" s="18"/>
      <c r="U41" s="357"/>
      <c r="V41" s="357"/>
      <c r="W41" s="18"/>
      <c r="X41" s="357"/>
      <c r="Y41" s="18"/>
      <c r="Z41" s="18"/>
      <c r="AA41" s="18"/>
      <c r="AB41" s="18"/>
      <c r="AC41" s="18"/>
      <c r="AD41" s="18"/>
      <c r="AE41" s="18"/>
      <c r="AF41" s="18"/>
      <c r="AG41" s="357"/>
      <c r="AH41" s="18"/>
      <c r="AI41" s="357"/>
      <c r="AJ41" s="18"/>
      <c r="AK41" s="18"/>
      <c r="AL41" s="18"/>
      <c r="AM41" s="18"/>
      <c r="AN41" s="357"/>
      <c r="AO41" s="357"/>
      <c r="AP41" s="357"/>
      <c r="AQ41" s="359"/>
      <c r="AS41" s="345">
        <f>IFERROR(INDEX('Month-1'!$E$3:$E$42,MATCH($B41,'Month-1'!$B$3:$B$42,0)),0)</f>
        <v>0</v>
      </c>
      <c r="AT41" s="22">
        <f>IFERROR(INDEX('Month-1'!$F$3:$F$42,MATCH($B41,'Month-1'!$B$3:$B$42,0)),0)</f>
        <v>0</v>
      </c>
      <c r="AU41" s="22">
        <f>IFERROR(INDEX('Month-1'!#REF!,MATCH($B41,'Month-1'!$B$3:$B$42,0)),0)</f>
        <v>0</v>
      </c>
      <c r="AV41" s="346">
        <f>IFERROR(INDEX('Month-1'!$G$3:$G$42,MATCH($B41,'Month-1'!$B$3:$B$42,0)),0)</f>
        <v>0</v>
      </c>
      <c r="AW41" s="42">
        <f t="shared" si="12"/>
        <v>0</v>
      </c>
      <c r="AX41" s="23" cm="1">
        <f t="array" ref="AX41">SUMPRODUCT( (LEFT(I41:AQ41,2)="HO") * (I41:AQ41&lt;&gt;"HO6") * ( (($I$1:$AQ$1="PRE") + ($I$2:$AQ$2=5)) &gt;0 ) )</f>
        <v>0</v>
      </c>
      <c r="AY41" s="23" cm="1">
        <f t="array" ref="AY41">SUMPRODUCT( (LEFT(I41:AQ41,2)="HO") * (I41:AQ41&lt;&gt;"HO6") * ( (($I$1:$AQ$1="Y") + ($I$2:$AQ$2=6)) &gt;0 ) )</f>
        <v>0</v>
      </c>
      <c r="AZ41" s="23">
        <f t="shared" si="13"/>
        <v>0</v>
      </c>
      <c r="BA41" s="23">
        <f t="shared" si="14"/>
        <v>0</v>
      </c>
      <c r="BB41" s="278">
        <f t="shared" si="15"/>
        <v>0</v>
      </c>
      <c r="BC41" s="39">
        <f t="shared" si="16"/>
        <v>0</v>
      </c>
      <c r="BD41" s="25">
        <f t="shared" si="7"/>
        <v>0</v>
      </c>
      <c r="BE41" s="18">
        <f t="shared" si="17"/>
        <v>0</v>
      </c>
      <c r="BF41" s="346" cm="1">
        <f t="array" ref="BF41">SUMPRODUCT((I$2:AO$2=5)*(I41:AO41="")*(J$2:AP$2=6)*(J41:AP41="")*(K$2:AQ$2=7)*(K41:AQ41=""))</f>
        <v>5</v>
      </c>
      <c r="BG41" s="25">
        <f t="shared" si="8"/>
        <v>0</v>
      </c>
      <c r="BH41" s="18">
        <f t="shared" si="9"/>
        <v>0</v>
      </c>
      <c r="BI41" s="18">
        <f t="shared" si="10"/>
        <v>1</v>
      </c>
      <c r="BJ41" s="26">
        <f t="shared" si="11"/>
        <v>0</v>
      </c>
    </row>
    <row r="42" spans="2:62" x14ac:dyDescent="0.2">
      <c r="B42" s="71"/>
      <c r="C42" s="18"/>
      <c r="D42" s="18"/>
      <c r="E42" s="372"/>
      <c r="F42" s="391"/>
      <c r="G42" s="25" t="str">
        <f>IFERROR(IF(VLOOKUP($B42,'Month-1'!$B$3:$D$42,2,0)=0,"",VLOOKUP($B42,'Month-1'!$B$3:$D$42,2,0)),"")</f>
        <v/>
      </c>
      <c r="H42" s="26" t="str">
        <f>IFERROR(IF(VLOOKUP($B42,'Month-1'!$B$3:$D$42,3,0)=0,"",VLOOKUP($B42,'Month-1'!$B$3:$D$42,3,0)),"")</f>
        <v/>
      </c>
      <c r="I42" s="24"/>
      <c r="J42" s="18"/>
      <c r="K42" s="357"/>
      <c r="L42" s="357"/>
      <c r="M42" s="357"/>
      <c r="N42" s="357"/>
      <c r="O42" s="357"/>
      <c r="P42" s="18"/>
      <c r="Q42" s="18"/>
      <c r="R42" s="18"/>
      <c r="S42" s="18"/>
      <c r="T42" s="18"/>
      <c r="U42" s="357"/>
      <c r="V42" s="357"/>
      <c r="W42" s="18"/>
      <c r="X42" s="357"/>
      <c r="Y42" s="18"/>
      <c r="Z42" s="18"/>
      <c r="AA42" s="18"/>
      <c r="AB42" s="18"/>
      <c r="AC42" s="18"/>
      <c r="AD42" s="18"/>
      <c r="AE42" s="18"/>
      <c r="AF42" s="18"/>
      <c r="AG42" s="357"/>
      <c r="AH42" s="18"/>
      <c r="AI42" s="357"/>
      <c r="AJ42" s="18"/>
      <c r="AK42" s="18"/>
      <c r="AL42" s="18"/>
      <c r="AM42" s="18"/>
      <c r="AN42" s="357"/>
      <c r="AO42" s="357"/>
      <c r="AP42" s="357"/>
      <c r="AQ42" s="359"/>
      <c r="AS42" s="345">
        <f>IFERROR(INDEX('Month-1'!$E$3:$E$42,MATCH($B42,'Month-1'!$B$3:$B$42,0)),0)</f>
        <v>0</v>
      </c>
      <c r="AT42" s="22">
        <f>IFERROR(INDEX('Month-1'!$F$3:$F$42,MATCH($B42,'Month-1'!$B$3:$B$42,0)),0)</f>
        <v>0</v>
      </c>
      <c r="AU42" s="22">
        <f>IFERROR(INDEX('Month-1'!#REF!,MATCH($B42,'Month-1'!$B$3:$B$42,0)),0)</f>
        <v>0</v>
      </c>
      <c r="AV42" s="346">
        <f>IFERROR(INDEX('Month-1'!$G$3:$G$42,MATCH($B42,'Month-1'!$B$3:$B$42,0)),0)</f>
        <v>0</v>
      </c>
      <c r="AW42" s="42">
        <f t="shared" si="12"/>
        <v>0</v>
      </c>
      <c r="AX42" s="23" cm="1">
        <f t="array" ref="AX42">SUMPRODUCT( (LEFT(I42:AQ42,2)="HO") * (I42:AQ42&lt;&gt;"HO6") * ( (($I$1:$AQ$1="PRE") + ($I$2:$AQ$2=5)) &gt;0 ) )</f>
        <v>0</v>
      </c>
      <c r="AY42" s="23" cm="1">
        <f t="array" ref="AY42">SUMPRODUCT( (LEFT(I42:AQ42,2)="HO") * (I42:AQ42&lt;&gt;"HO6") * ( (($I$1:$AQ$1="Y") + ($I$2:$AQ$2=6)) &gt;0 ) )</f>
        <v>0</v>
      </c>
      <c r="AZ42" s="23">
        <f t="shared" si="13"/>
        <v>0</v>
      </c>
      <c r="BA42" s="23">
        <f t="shared" si="14"/>
        <v>0</v>
      </c>
      <c r="BB42" s="278">
        <f t="shared" si="15"/>
        <v>0</v>
      </c>
      <c r="BC42" s="39">
        <f t="shared" si="16"/>
        <v>0</v>
      </c>
      <c r="BD42" s="25">
        <f t="shared" si="7"/>
        <v>0</v>
      </c>
      <c r="BE42" s="18">
        <f t="shared" si="17"/>
        <v>0</v>
      </c>
      <c r="BF42" s="346" cm="1">
        <f t="array" ref="BF42">SUMPRODUCT((I$2:AO$2=5)*(I42:AO42="")*(J$2:AP$2=6)*(J42:AP42="")*(K$2:AQ$2=7)*(K42:AQ42=""))</f>
        <v>5</v>
      </c>
      <c r="BG42" s="25">
        <f t="shared" si="8"/>
        <v>0</v>
      </c>
      <c r="BH42" s="18">
        <f t="shared" si="9"/>
        <v>0</v>
      </c>
      <c r="BI42" s="18">
        <f t="shared" si="10"/>
        <v>1</v>
      </c>
      <c r="BJ42" s="26">
        <f t="shared" si="11"/>
        <v>0</v>
      </c>
    </row>
    <row r="43" spans="2:62" x14ac:dyDescent="0.2">
      <c r="B43" s="71"/>
      <c r="C43" s="18"/>
      <c r="D43" s="18"/>
      <c r="E43" s="372"/>
      <c r="F43" s="391"/>
      <c r="G43" s="25" t="str">
        <f>IFERROR(IF(VLOOKUP($B43,'Month-1'!$B$3:$D$42,2,0)=0,"",VLOOKUP($B43,'Month-1'!$B$3:$D$42,2,0)),"")</f>
        <v/>
      </c>
      <c r="H43" s="26" t="str">
        <f>IFERROR(IF(VLOOKUP($B43,'Month-1'!$B$3:$D$42,3,0)=0,"",VLOOKUP($B43,'Month-1'!$B$3:$D$42,3,0)),"")</f>
        <v/>
      </c>
      <c r="I43" s="24"/>
      <c r="J43" s="18"/>
      <c r="K43" s="357"/>
      <c r="L43" s="357"/>
      <c r="M43" s="357"/>
      <c r="N43" s="357"/>
      <c r="O43" s="357"/>
      <c r="P43" s="18"/>
      <c r="Q43" s="18"/>
      <c r="R43" s="18"/>
      <c r="S43" s="18"/>
      <c r="T43" s="18"/>
      <c r="U43" s="357"/>
      <c r="V43" s="357"/>
      <c r="W43" s="18"/>
      <c r="X43" s="357"/>
      <c r="Y43" s="18"/>
      <c r="Z43" s="18"/>
      <c r="AA43" s="18"/>
      <c r="AB43" s="18"/>
      <c r="AC43" s="18"/>
      <c r="AD43" s="18"/>
      <c r="AE43" s="18"/>
      <c r="AF43" s="18"/>
      <c r="AG43" s="357"/>
      <c r="AH43" s="18"/>
      <c r="AI43" s="357"/>
      <c r="AJ43" s="18"/>
      <c r="AK43" s="18"/>
      <c r="AL43" s="18"/>
      <c r="AM43" s="18"/>
      <c r="AN43" s="357"/>
      <c r="AO43" s="357"/>
      <c r="AP43" s="357"/>
      <c r="AQ43" s="359"/>
      <c r="AS43" s="345">
        <f>IFERROR(INDEX('Month-1'!$E$3:$E$42,MATCH($B43,'Month-1'!$B$3:$B$42,0)),0)</f>
        <v>0</v>
      </c>
      <c r="AT43" s="22">
        <f>IFERROR(INDEX('Month-1'!$F$3:$F$42,MATCH($B43,'Month-1'!$B$3:$B$42,0)),0)</f>
        <v>0</v>
      </c>
      <c r="AU43" s="22">
        <f>IFERROR(INDEX('Month-1'!#REF!,MATCH($B43,'Month-1'!$B$3:$B$42,0)),0)</f>
        <v>0</v>
      </c>
      <c r="AV43" s="346">
        <f>IFERROR(INDEX('Month-1'!$G$3:$G$42,MATCH($B43,'Month-1'!$B$3:$B$42,0)),0)</f>
        <v>0</v>
      </c>
      <c r="AW43" s="42">
        <f t="shared" si="12"/>
        <v>0</v>
      </c>
      <c r="AX43" s="23" cm="1">
        <f t="array" ref="AX43">SUMPRODUCT( (LEFT(I43:AQ43,2)="HO") * (I43:AQ43&lt;&gt;"HO6") * ( (($I$1:$AQ$1="PRE") + ($I$2:$AQ$2=5)) &gt;0 ) )</f>
        <v>0</v>
      </c>
      <c r="AY43" s="23" cm="1">
        <f t="array" ref="AY43">SUMPRODUCT( (LEFT(I43:AQ43,2)="HO") * (I43:AQ43&lt;&gt;"HO6") * ( (($I$1:$AQ$1="Y") + ($I$2:$AQ$2=6)) &gt;0 ) )</f>
        <v>0</v>
      </c>
      <c r="AZ43" s="23">
        <f t="shared" si="13"/>
        <v>0</v>
      </c>
      <c r="BA43" s="23">
        <f t="shared" si="14"/>
        <v>0</v>
      </c>
      <c r="BB43" s="278">
        <f t="shared" si="15"/>
        <v>0</v>
      </c>
      <c r="BC43" s="39">
        <f t="shared" si="16"/>
        <v>0</v>
      </c>
      <c r="BD43" s="25">
        <f t="shared" si="7"/>
        <v>0</v>
      </c>
      <c r="BE43" s="18">
        <f t="shared" si="17"/>
        <v>0</v>
      </c>
      <c r="BF43" s="346" cm="1">
        <f t="array" ref="BF43">SUMPRODUCT((I$2:AO$2=5)*(I43:AO43="")*(J$2:AP$2=6)*(J43:AP43="")*(K$2:AQ$2=7)*(K43:AQ43=""))</f>
        <v>5</v>
      </c>
      <c r="BG43" s="25">
        <f t="shared" si="8"/>
        <v>0</v>
      </c>
      <c r="BH43" s="18">
        <f t="shared" si="9"/>
        <v>0</v>
      </c>
      <c r="BI43" s="18">
        <f t="shared" si="10"/>
        <v>1</v>
      </c>
      <c r="BJ43" s="26">
        <f t="shared" si="11"/>
        <v>0</v>
      </c>
    </row>
    <row r="44" spans="2:62" x14ac:dyDescent="0.2">
      <c r="B44" s="71"/>
      <c r="C44" s="18"/>
      <c r="D44" s="18"/>
      <c r="E44" s="372"/>
      <c r="F44" s="391"/>
      <c r="G44" s="25" t="str">
        <f>IFERROR(IF(VLOOKUP($B44,'Month-1'!$B$3:$D$42,2,0)=0,"",VLOOKUP($B44,'Month-1'!$B$3:$D$42,2,0)),"")</f>
        <v/>
      </c>
      <c r="H44" s="26" t="str">
        <f>IFERROR(IF(VLOOKUP($B44,'Month-1'!$B$3:$D$42,3,0)=0,"",VLOOKUP($B44,'Month-1'!$B$3:$D$42,3,0)),"")</f>
        <v/>
      </c>
      <c r="I44" s="24"/>
      <c r="J44" s="18"/>
      <c r="K44" s="357"/>
      <c r="L44" s="357"/>
      <c r="M44" s="357"/>
      <c r="N44" s="357"/>
      <c r="O44" s="357"/>
      <c r="P44" s="18"/>
      <c r="Q44" s="18"/>
      <c r="R44" s="18"/>
      <c r="S44" s="18"/>
      <c r="T44" s="18"/>
      <c r="U44" s="357"/>
      <c r="V44" s="357"/>
      <c r="W44" s="18"/>
      <c r="X44" s="357"/>
      <c r="Y44" s="18"/>
      <c r="Z44" s="18"/>
      <c r="AA44" s="18"/>
      <c r="AB44" s="18"/>
      <c r="AC44" s="18"/>
      <c r="AD44" s="18"/>
      <c r="AE44" s="18"/>
      <c r="AF44" s="18"/>
      <c r="AG44" s="357"/>
      <c r="AH44" s="18"/>
      <c r="AI44" s="357"/>
      <c r="AJ44" s="18"/>
      <c r="AK44" s="18"/>
      <c r="AL44" s="18"/>
      <c r="AM44" s="18"/>
      <c r="AN44" s="357"/>
      <c r="AO44" s="357"/>
      <c r="AP44" s="357"/>
      <c r="AQ44" s="359"/>
      <c r="AS44" s="345">
        <f>IFERROR(INDEX('Month-1'!$E$3:$E$42,MATCH($B44,'Month-1'!$B$3:$B$42,0)),0)</f>
        <v>0</v>
      </c>
      <c r="AT44" s="22">
        <f>IFERROR(INDEX('Month-1'!$F$3:$F$42,MATCH($B44,'Month-1'!$B$3:$B$42,0)),0)</f>
        <v>0</v>
      </c>
      <c r="AU44" s="22">
        <f>IFERROR(INDEX('Month-1'!#REF!,MATCH($B44,'Month-1'!$B$3:$B$42,0)),0)</f>
        <v>0</v>
      </c>
      <c r="AV44" s="346">
        <f>IFERROR(INDEX('Month-1'!$G$3:$G$42,MATCH($B44,'Month-1'!$B$3:$B$42,0)),0)</f>
        <v>0</v>
      </c>
      <c r="AW44" s="42">
        <f t="shared" si="12"/>
        <v>0</v>
      </c>
      <c r="AX44" s="23" cm="1">
        <f t="array" ref="AX44">SUMPRODUCT( (LEFT(I44:AQ44,2)="HO") * (I44:AQ44&lt;&gt;"HO6") * ( (($I$1:$AQ$1="PRE") + ($I$2:$AQ$2=5)) &gt;0 ) )</f>
        <v>0</v>
      </c>
      <c r="AY44" s="23" cm="1">
        <f t="array" ref="AY44">SUMPRODUCT( (LEFT(I44:AQ44,2)="HO") * (I44:AQ44&lt;&gt;"HO6") * ( (($I$1:$AQ$1="Y") + ($I$2:$AQ$2=6)) &gt;0 ) )</f>
        <v>0</v>
      </c>
      <c r="AZ44" s="23">
        <f t="shared" si="13"/>
        <v>0</v>
      </c>
      <c r="BA44" s="23">
        <f t="shared" si="14"/>
        <v>0</v>
      </c>
      <c r="BB44" s="278">
        <f t="shared" si="15"/>
        <v>0</v>
      </c>
      <c r="BC44" s="39">
        <f t="shared" si="16"/>
        <v>0</v>
      </c>
      <c r="BD44" s="25">
        <f t="shared" si="7"/>
        <v>0</v>
      </c>
      <c r="BE44" s="18">
        <f t="shared" si="17"/>
        <v>0</v>
      </c>
      <c r="BF44" s="346" cm="1">
        <f t="array" ref="BF44">SUMPRODUCT((I$2:AO$2=5)*(I44:AO44="")*(J$2:AP$2=6)*(J44:AP44="")*(K$2:AQ$2=7)*(K44:AQ44=""))</f>
        <v>5</v>
      </c>
      <c r="BG44" s="25">
        <f t="shared" si="8"/>
        <v>0</v>
      </c>
      <c r="BH44" s="18">
        <f t="shared" si="9"/>
        <v>0</v>
      </c>
      <c r="BI44" s="18">
        <f t="shared" si="10"/>
        <v>1</v>
      </c>
      <c r="BJ44" s="26">
        <f t="shared" si="11"/>
        <v>0</v>
      </c>
    </row>
    <row r="45" spans="2:62" ht="16" thickBot="1" x14ac:dyDescent="0.25">
      <c r="B45" s="75"/>
      <c r="C45" s="34"/>
      <c r="D45" s="34"/>
      <c r="E45" s="373"/>
      <c r="F45" s="392"/>
      <c r="G45" s="33" t="str">
        <f>IFERROR(IF(VLOOKUP($B45,'Month-1'!$B$3:$D$42,2,0)=0,"",VLOOKUP($B45,'Month-1'!$B$3:$D$42,2,0)),"")</f>
        <v/>
      </c>
      <c r="H45" s="41" t="str">
        <f>IFERROR(IF(VLOOKUP($B45,'Month-1'!$B$3:$D$42,3,0)=0,"",VLOOKUP($B45,'Month-1'!$B$3:$D$42,3,0)),"")</f>
        <v/>
      </c>
      <c r="I45" s="38"/>
      <c r="J45" s="34"/>
      <c r="K45" s="360"/>
      <c r="L45" s="34"/>
      <c r="M45" s="360"/>
      <c r="N45" s="34"/>
      <c r="O45" s="34"/>
      <c r="P45" s="34"/>
      <c r="Q45" s="34"/>
      <c r="R45" s="360"/>
      <c r="S45" s="34"/>
      <c r="T45" s="34"/>
      <c r="U45" s="34"/>
      <c r="V45" s="34"/>
      <c r="W45" s="360"/>
      <c r="X45" s="360"/>
      <c r="Y45" s="360"/>
      <c r="Z45" s="34"/>
      <c r="AA45" s="34"/>
      <c r="AB45" s="360"/>
      <c r="AC45" s="34"/>
      <c r="AD45" s="34"/>
      <c r="AE45" s="360"/>
      <c r="AF45" s="360"/>
      <c r="AG45" s="360"/>
      <c r="AH45" s="34"/>
      <c r="AI45" s="34"/>
      <c r="AJ45" s="34"/>
      <c r="AK45" s="34"/>
      <c r="AL45" s="360"/>
      <c r="AM45" s="34"/>
      <c r="AN45" s="360"/>
      <c r="AO45" s="360"/>
      <c r="AP45" s="360"/>
      <c r="AQ45" s="361"/>
      <c r="AS45" s="365">
        <f>IFERROR(INDEX('Month-1'!$E$3:$E$42,MATCH($B45,'Month-1'!$B$3:$B$42,0)),0)</f>
        <v>0</v>
      </c>
      <c r="AT45" s="35">
        <f>IFERROR(INDEX('Month-1'!$F$3:$F$42,MATCH($B45,'Month-1'!$B$3:$B$42,0)),0)</f>
        <v>0</v>
      </c>
      <c r="AU45" s="35">
        <f>IFERROR(INDEX('Month-1'!#REF!,MATCH($B45,'Month-1'!$B$3:$B$42,0)),0)</f>
        <v>0</v>
      </c>
      <c r="AV45" s="366">
        <f>IFERROR(INDEX('Month-1'!$G$3:$G$42,MATCH($B45,'Month-1'!$B$3:$B$42,0)),0)</f>
        <v>0</v>
      </c>
      <c r="AW45" s="49">
        <f t="shared" si="12"/>
        <v>0</v>
      </c>
      <c r="AX45" s="48" cm="1">
        <f t="array" ref="AX45">SUMPRODUCT( (LEFT(I45:AQ45,2)="HO") * (I45:AQ45&lt;&gt;"HO6") * ( (($I$1:$AQ$1="PRE") + ($I$2:$AQ$2=5)) &gt;0 ) )</f>
        <v>0</v>
      </c>
      <c r="AY45" s="48" cm="1">
        <f t="array" ref="AY45">SUMPRODUCT( (LEFT(I45:AQ45,2)="HO") * (I45:AQ45&lt;&gt;"HO6") * ( (($I$1:$AQ$1="Y") + ($I$2:$AQ$2=6)) &gt;0 ) )</f>
        <v>0</v>
      </c>
      <c r="AZ45" s="48">
        <f t="shared" si="13"/>
        <v>0</v>
      </c>
      <c r="BA45" s="48">
        <f t="shared" si="14"/>
        <v>0</v>
      </c>
      <c r="BB45" s="279">
        <f t="shared" si="15"/>
        <v>0</v>
      </c>
      <c r="BC45" s="50">
        <f t="shared" si="16"/>
        <v>0</v>
      </c>
      <c r="BD45" s="33">
        <f t="shared" si="7"/>
        <v>0</v>
      </c>
      <c r="BE45" s="34">
        <f t="shared" si="17"/>
        <v>0</v>
      </c>
      <c r="BF45" s="366" cm="1">
        <f t="array" ref="BF45">SUMPRODUCT((I$2:AO$2=5)*(I45:AO45="")*(J$2:AP$2=6)*(J45:AP45="")*(K$2:AQ$2=7)*(K45:AQ45=""))</f>
        <v>5</v>
      </c>
      <c r="BG45" s="33">
        <f t="shared" si="8"/>
        <v>0</v>
      </c>
      <c r="BH45" s="34">
        <f t="shared" si="9"/>
        <v>0</v>
      </c>
      <c r="BI45" s="34">
        <f t="shared" si="10"/>
        <v>1</v>
      </c>
      <c r="BJ45" s="41">
        <f t="shared" si="11"/>
        <v>0</v>
      </c>
    </row>
    <row r="47" spans="2:62" x14ac:dyDescent="0.2">
      <c r="D47" s="3" t="s">
        <v>30</v>
      </c>
      <c r="I47" s="1">
        <f t="shared" ref="I47:I52" si="18">COUNTIFS(I$6:I$45,$D47)</f>
        <v>0</v>
      </c>
      <c r="J47" s="1">
        <f t="shared" ref="J47:AQ52" si="19">COUNTIFS(J$6:J$45,$D47)</f>
        <v>0</v>
      </c>
      <c r="K47" s="1">
        <f t="shared" si="19"/>
        <v>0</v>
      </c>
      <c r="L47" s="1">
        <f t="shared" si="19"/>
        <v>0</v>
      </c>
      <c r="M47" s="1">
        <f t="shared" si="19"/>
        <v>0</v>
      </c>
      <c r="N47" s="1">
        <f t="shared" si="19"/>
        <v>0</v>
      </c>
      <c r="O47" s="1">
        <f t="shared" si="19"/>
        <v>0</v>
      </c>
      <c r="P47" s="1">
        <f t="shared" si="19"/>
        <v>0</v>
      </c>
      <c r="Q47" s="1">
        <f t="shared" si="19"/>
        <v>0</v>
      </c>
      <c r="R47" s="1">
        <f t="shared" si="19"/>
        <v>0</v>
      </c>
      <c r="S47" s="1">
        <f t="shared" si="19"/>
        <v>0</v>
      </c>
      <c r="T47" s="1">
        <f t="shared" si="19"/>
        <v>0</v>
      </c>
      <c r="U47" s="1">
        <f t="shared" si="19"/>
        <v>0</v>
      </c>
      <c r="V47" s="1">
        <f t="shared" si="19"/>
        <v>0</v>
      </c>
      <c r="W47" s="1">
        <f t="shared" si="19"/>
        <v>0</v>
      </c>
      <c r="X47" s="1">
        <f t="shared" si="19"/>
        <v>0</v>
      </c>
      <c r="Y47" s="1">
        <f t="shared" si="19"/>
        <v>0</v>
      </c>
      <c r="Z47" s="1">
        <f t="shared" si="19"/>
        <v>0</v>
      </c>
      <c r="AA47" s="1">
        <f t="shared" si="19"/>
        <v>0</v>
      </c>
      <c r="AB47" s="1">
        <f t="shared" si="19"/>
        <v>0</v>
      </c>
      <c r="AC47" s="1">
        <f t="shared" si="19"/>
        <v>0</v>
      </c>
      <c r="AD47" s="1">
        <f t="shared" si="19"/>
        <v>0</v>
      </c>
      <c r="AE47" s="1">
        <f t="shared" si="19"/>
        <v>0</v>
      </c>
      <c r="AF47" s="1">
        <f t="shared" si="19"/>
        <v>0</v>
      </c>
      <c r="AG47" s="1">
        <f t="shared" si="19"/>
        <v>0</v>
      </c>
      <c r="AH47" s="1">
        <f t="shared" si="19"/>
        <v>0</v>
      </c>
      <c r="AI47" s="1">
        <f t="shared" si="19"/>
        <v>0</v>
      </c>
      <c r="AJ47" s="1">
        <f t="shared" si="19"/>
        <v>0</v>
      </c>
      <c r="AK47" s="1">
        <f t="shared" si="19"/>
        <v>0</v>
      </c>
      <c r="AL47" s="1">
        <f t="shared" si="19"/>
        <v>0</v>
      </c>
      <c r="AM47" s="1">
        <f t="shared" si="19"/>
        <v>0</v>
      </c>
      <c r="AN47" s="1">
        <f t="shared" si="19"/>
        <v>0</v>
      </c>
      <c r="AO47" s="1">
        <f t="shared" si="19"/>
        <v>0</v>
      </c>
      <c r="AP47" s="1">
        <f t="shared" si="19"/>
        <v>0</v>
      </c>
      <c r="AQ47" s="1">
        <f t="shared" si="19"/>
        <v>0</v>
      </c>
    </row>
    <row r="48" spans="2:62" x14ac:dyDescent="0.2">
      <c r="D48" s="3" t="s">
        <v>34</v>
      </c>
      <c r="I48" s="1">
        <f t="shared" si="18"/>
        <v>0</v>
      </c>
      <c r="J48" s="1">
        <f t="shared" si="19"/>
        <v>0</v>
      </c>
      <c r="K48" s="1">
        <f t="shared" si="19"/>
        <v>0</v>
      </c>
      <c r="L48" s="1">
        <f t="shared" si="19"/>
        <v>0</v>
      </c>
      <c r="M48" s="1">
        <f t="shared" si="19"/>
        <v>0</v>
      </c>
      <c r="N48" s="1">
        <f t="shared" si="19"/>
        <v>0</v>
      </c>
      <c r="O48" s="1">
        <f t="shared" si="19"/>
        <v>0</v>
      </c>
      <c r="P48" s="1">
        <f t="shared" si="19"/>
        <v>0</v>
      </c>
      <c r="Q48" s="1">
        <f t="shared" si="19"/>
        <v>0</v>
      </c>
      <c r="R48" s="1">
        <f t="shared" si="19"/>
        <v>0</v>
      </c>
      <c r="S48" s="1">
        <f t="shared" si="19"/>
        <v>0</v>
      </c>
      <c r="T48" s="1">
        <f t="shared" si="19"/>
        <v>0</v>
      </c>
      <c r="U48" s="1">
        <f t="shared" si="19"/>
        <v>0</v>
      </c>
      <c r="V48" s="1">
        <f t="shared" si="19"/>
        <v>0</v>
      </c>
      <c r="W48" s="1">
        <f t="shared" si="19"/>
        <v>0</v>
      </c>
      <c r="X48" s="1">
        <f t="shared" si="19"/>
        <v>0</v>
      </c>
      <c r="Y48" s="1">
        <f t="shared" si="19"/>
        <v>0</v>
      </c>
      <c r="Z48" s="1">
        <f t="shared" si="19"/>
        <v>0</v>
      </c>
      <c r="AA48" s="1">
        <f t="shared" si="19"/>
        <v>0</v>
      </c>
      <c r="AB48" s="1">
        <f t="shared" si="19"/>
        <v>0</v>
      </c>
      <c r="AC48" s="1">
        <f t="shared" si="19"/>
        <v>0</v>
      </c>
      <c r="AD48" s="1">
        <f t="shared" si="19"/>
        <v>0</v>
      </c>
      <c r="AE48" s="1">
        <f t="shared" si="19"/>
        <v>0</v>
      </c>
      <c r="AF48" s="1">
        <f t="shared" si="19"/>
        <v>0</v>
      </c>
      <c r="AG48" s="1">
        <f t="shared" si="19"/>
        <v>0</v>
      </c>
      <c r="AH48" s="1">
        <f t="shared" si="19"/>
        <v>0</v>
      </c>
      <c r="AI48" s="1">
        <f t="shared" si="19"/>
        <v>0</v>
      </c>
      <c r="AJ48" s="1">
        <f t="shared" si="19"/>
        <v>0</v>
      </c>
      <c r="AK48" s="1">
        <f t="shared" si="19"/>
        <v>0</v>
      </c>
      <c r="AL48" s="1">
        <f t="shared" si="19"/>
        <v>0</v>
      </c>
      <c r="AM48" s="1">
        <f t="shared" si="19"/>
        <v>0</v>
      </c>
      <c r="AN48" s="1">
        <f t="shared" si="19"/>
        <v>0</v>
      </c>
      <c r="AO48" s="1">
        <f t="shared" si="19"/>
        <v>0</v>
      </c>
      <c r="AP48" s="1">
        <f t="shared" si="19"/>
        <v>0</v>
      </c>
      <c r="AQ48" s="1">
        <f t="shared" si="19"/>
        <v>0</v>
      </c>
    </row>
    <row r="49" spans="2:43" x14ac:dyDescent="0.2">
      <c r="D49" s="3" t="s">
        <v>32</v>
      </c>
      <c r="I49" s="1">
        <f t="shared" si="18"/>
        <v>0</v>
      </c>
      <c r="J49" s="1">
        <f t="shared" si="19"/>
        <v>0</v>
      </c>
      <c r="K49" s="1">
        <f t="shared" si="19"/>
        <v>0</v>
      </c>
      <c r="L49" s="1">
        <f t="shared" si="19"/>
        <v>0</v>
      </c>
      <c r="M49" s="1">
        <f t="shared" si="19"/>
        <v>0</v>
      </c>
      <c r="N49" s="1">
        <f t="shared" si="19"/>
        <v>0</v>
      </c>
      <c r="O49" s="1">
        <f t="shared" si="19"/>
        <v>0</v>
      </c>
      <c r="P49" s="1">
        <f t="shared" si="19"/>
        <v>0</v>
      </c>
      <c r="Q49" s="1">
        <f t="shared" si="19"/>
        <v>0</v>
      </c>
      <c r="R49" s="1">
        <f t="shared" si="19"/>
        <v>0</v>
      </c>
      <c r="S49" s="1">
        <f t="shared" si="19"/>
        <v>0</v>
      </c>
      <c r="T49" s="1">
        <f t="shared" si="19"/>
        <v>0</v>
      </c>
      <c r="U49" s="1">
        <f t="shared" si="19"/>
        <v>0</v>
      </c>
      <c r="V49" s="1">
        <f t="shared" si="19"/>
        <v>0</v>
      </c>
      <c r="W49" s="1">
        <f t="shared" si="19"/>
        <v>0</v>
      </c>
      <c r="X49" s="1">
        <f t="shared" si="19"/>
        <v>0</v>
      </c>
      <c r="Y49" s="1">
        <f t="shared" si="19"/>
        <v>0</v>
      </c>
      <c r="Z49" s="1">
        <f t="shared" si="19"/>
        <v>0</v>
      </c>
      <c r="AA49" s="1">
        <f t="shared" si="19"/>
        <v>0</v>
      </c>
      <c r="AB49" s="1">
        <f t="shared" si="19"/>
        <v>0</v>
      </c>
      <c r="AC49" s="1">
        <f t="shared" si="19"/>
        <v>0</v>
      </c>
      <c r="AD49" s="1">
        <f t="shared" si="19"/>
        <v>0</v>
      </c>
      <c r="AE49" s="1">
        <f t="shared" si="19"/>
        <v>0</v>
      </c>
      <c r="AF49" s="1">
        <f t="shared" si="19"/>
        <v>0</v>
      </c>
      <c r="AG49" s="1">
        <f t="shared" si="19"/>
        <v>0</v>
      </c>
      <c r="AH49" s="1">
        <f t="shared" si="19"/>
        <v>0</v>
      </c>
      <c r="AI49" s="1">
        <f t="shared" si="19"/>
        <v>0</v>
      </c>
      <c r="AJ49" s="1">
        <f t="shared" si="19"/>
        <v>0</v>
      </c>
      <c r="AK49" s="1">
        <f t="shared" si="19"/>
        <v>0</v>
      </c>
      <c r="AL49" s="1">
        <f t="shared" si="19"/>
        <v>0</v>
      </c>
      <c r="AM49" s="1">
        <f t="shared" si="19"/>
        <v>0</v>
      </c>
      <c r="AN49" s="1">
        <f t="shared" si="19"/>
        <v>0</v>
      </c>
      <c r="AO49" s="1">
        <f t="shared" si="19"/>
        <v>0</v>
      </c>
      <c r="AP49" s="1">
        <f t="shared" si="19"/>
        <v>0</v>
      </c>
      <c r="AQ49" s="1">
        <f t="shared" si="19"/>
        <v>0</v>
      </c>
    </row>
    <row r="50" spans="2:43" x14ac:dyDescent="0.2">
      <c r="D50" s="3" t="s">
        <v>29</v>
      </c>
      <c r="I50" s="1">
        <f t="shared" si="18"/>
        <v>0</v>
      </c>
      <c r="J50" s="1">
        <f t="shared" si="19"/>
        <v>0</v>
      </c>
      <c r="K50" s="1">
        <f t="shared" si="19"/>
        <v>0</v>
      </c>
      <c r="L50" s="1">
        <f t="shared" si="19"/>
        <v>0</v>
      </c>
      <c r="M50" s="1">
        <f t="shared" si="19"/>
        <v>0</v>
      </c>
      <c r="N50" s="1">
        <f t="shared" si="19"/>
        <v>0</v>
      </c>
      <c r="O50" s="1">
        <f t="shared" si="19"/>
        <v>0</v>
      </c>
      <c r="P50" s="1">
        <f t="shared" si="19"/>
        <v>0</v>
      </c>
      <c r="Q50" s="1">
        <f t="shared" si="19"/>
        <v>0</v>
      </c>
      <c r="R50" s="1">
        <f t="shared" si="19"/>
        <v>0</v>
      </c>
      <c r="S50" s="1">
        <f t="shared" si="19"/>
        <v>0</v>
      </c>
      <c r="T50" s="1">
        <f t="shared" si="19"/>
        <v>0</v>
      </c>
      <c r="U50" s="1">
        <f t="shared" si="19"/>
        <v>0</v>
      </c>
      <c r="V50" s="1">
        <f t="shared" si="19"/>
        <v>0</v>
      </c>
      <c r="W50" s="1">
        <f t="shared" si="19"/>
        <v>0</v>
      </c>
      <c r="X50" s="1">
        <f t="shared" si="19"/>
        <v>0</v>
      </c>
      <c r="Y50" s="1">
        <f t="shared" si="19"/>
        <v>0</v>
      </c>
      <c r="Z50" s="1">
        <f t="shared" si="19"/>
        <v>0</v>
      </c>
      <c r="AA50" s="1">
        <f t="shared" si="19"/>
        <v>0</v>
      </c>
      <c r="AB50" s="1">
        <f t="shared" si="19"/>
        <v>0</v>
      </c>
      <c r="AC50" s="1">
        <f t="shared" si="19"/>
        <v>0</v>
      </c>
      <c r="AD50" s="1">
        <f t="shared" si="19"/>
        <v>0</v>
      </c>
      <c r="AE50" s="1">
        <f t="shared" si="19"/>
        <v>0</v>
      </c>
      <c r="AF50" s="1">
        <f t="shared" si="19"/>
        <v>0</v>
      </c>
      <c r="AG50" s="1">
        <f t="shared" si="19"/>
        <v>0</v>
      </c>
      <c r="AH50" s="1">
        <f t="shared" si="19"/>
        <v>0</v>
      </c>
      <c r="AI50" s="1">
        <f t="shared" si="19"/>
        <v>0</v>
      </c>
      <c r="AJ50" s="1">
        <f t="shared" si="19"/>
        <v>0</v>
      </c>
      <c r="AK50" s="1">
        <f t="shared" si="19"/>
        <v>0</v>
      </c>
      <c r="AL50" s="1">
        <f t="shared" si="19"/>
        <v>0</v>
      </c>
      <c r="AM50" s="1">
        <f t="shared" si="19"/>
        <v>0</v>
      </c>
      <c r="AN50" s="1">
        <f t="shared" si="19"/>
        <v>0</v>
      </c>
      <c r="AO50" s="1">
        <f t="shared" si="19"/>
        <v>0</v>
      </c>
      <c r="AP50" s="1">
        <f t="shared" si="19"/>
        <v>0</v>
      </c>
      <c r="AQ50" s="1">
        <f t="shared" si="19"/>
        <v>0</v>
      </c>
    </row>
    <row r="51" spans="2:43" x14ac:dyDescent="0.2">
      <c r="D51" s="3" t="s">
        <v>31</v>
      </c>
      <c r="I51" s="1">
        <f t="shared" si="18"/>
        <v>0</v>
      </c>
      <c r="J51" s="1">
        <f t="shared" si="19"/>
        <v>0</v>
      </c>
      <c r="K51" s="1">
        <f t="shared" si="19"/>
        <v>0</v>
      </c>
      <c r="L51" s="1">
        <f t="shared" si="19"/>
        <v>0</v>
      </c>
      <c r="M51" s="1">
        <f t="shared" si="19"/>
        <v>0</v>
      </c>
      <c r="N51" s="1">
        <f t="shared" si="19"/>
        <v>0</v>
      </c>
      <c r="O51" s="1">
        <f t="shared" si="19"/>
        <v>0</v>
      </c>
      <c r="P51" s="1">
        <f t="shared" si="19"/>
        <v>0</v>
      </c>
      <c r="Q51" s="1">
        <f t="shared" si="19"/>
        <v>0</v>
      </c>
      <c r="R51" s="1">
        <f t="shared" si="19"/>
        <v>0</v>
      </c>
      <c r="S51" s="1">
        <f t="shared" si="19"/>
        <v>0</v>
      </c>
      <c r="T51" s="1">
        <f t="shared" si="19"/>
        <v>0</v>
      </c>
      <c r="U51" s="1">
        <f t="shared" si="19"/>
        <v>0</v>
      </c>
      <c r="V51" s="1">
        <f t="shared" si="19"/>
        <v>0</v>
      </c>
      <c r="W51" s="1">
        <f t="shared" si="19"/>
        <v>0</v>
      </c>
      <c r="X51" s="1">
        <f t="shared" si="19"/>
        <v>0</v>
      </c>
      <c r="Y51" s="1">
        <f t="shared" si="19"/>
        <v>0</v>
      </c>
      <c r="Z51" s="1">
        <f t="shared" si="19"/>
        <v>0</v>
      </c>
      <c r="AA51" s="1">
        <f t="shared" si="19"/>
        <v>0</v>
      </c>
      <c r="AB51" s="1">
        <f t="shared" si="19"/>
        <v>0</v>
      </c>
      <c r="AC51" s="1">
        <f t="shared" si="19"/>
        <v>0</v>
      </c>
      <c r="AD51" s="1">
        <f t="shared" si="19"/>
        <v>0</v>
      </c>
      <c r="AE51" s="1">
        <f t="shared" si="19"/>
        <v>0</v>
      </c>
      <c r="AF51" s="1">
        <f t="shared" si="19"/>
        <v>0</v>
      </c>
      <c r="AG51" s="1">
        <f t="shared" si="19"/>
        <v>0</v>
      </c>
      <c r="AH51" s="1">
        <f t="shared" si="19"/>
        <v>0</v>
      </c>
      <c r="AI51" s="1">
        <f t="shared" si="19"/>
        <v>0</v>
      </c>
      <c r="AJ51" s="1">
        <f t="shared" si="19"/>
        <v>0</v>
      </c>
      <c r="AK51" s="1">
        <f t="shared" si="19"/>
        <v>0</v>
      </c>
      <c r="AL51" s="1">
        <f t="shared" si="19"/>
        <v>0</v>
      </c>
      <c r="AM51" s="1">
        <f t="shared" si="19"/>
        <v>0</v>
      </c>
      <c r="AN51" s="1">
        <f t="shared" si="19"/>
        <v>0</v>
      </c>
      <c r="AO51" s="1">
        <f t="shared" si="19"/>
        <v>0</v>
      </c>
      <c r="AP51" s="1">
        <f t="shared" si="19"/>
        <v>0</v>
      </c>
      <c r="AQ51" s="1">
        <f t="shared" si="19"/>
        <v>0</v>
      </c>
    </row>
    <row r="52" spans="2:43" x14ac:dyDescent="0.2">
      <c r="D52" s="3" t="s">
        <v>19</v>
      </c>
      <c r="I52" s="1">
        <f t="shared" si="18"/>
        <v>0</v>
      </c>
      <c r="J52" s="1">
        <f t="shared" si="19"/>
        <v>0</v>
      </c>
      <c r="K52" s="1">
        <f t="shared" si="19"/>
        <v>0</v>
      </c>
      <c r="L52" s="1">
        <f t="shared" si="19"/>
        <v>0</v>
      </c>
      <c r="M52" s="1">
        <f t="shared" si="19"/>
        <v>0</v>
      </c>
      <c r="N52" s="1">
        <f t="shared" si="19"/>
        <v>0</v>
      </c>
      <c r="O52" s="1">
        <f t="shared" si="19"/>
        <v>0</v>
      </c>
      <c r="P52" s="1">
        <f t="shared" si="19"/>
        <v>0</v>
      </c>
      <c r="Q52" s="1">
        <f t="shared" si="19"/>
        <v>0</v>
      </c>
      <c r="R52" s="1">
        <f t="shared" si="19"/>
        <v>0</v>
      </c>
      <c r="S52" s="1">
        <f t="shared" si="19"/>
        <v>0</v>
      </c>
      <c r="T52" s="1">
        <f t="shared" si="19"/>
        <v>0</v>
      </c>
      <c r="U52" s="1">
        <f t="shared" si="19"/>
        <v>0</v>
      </c>
      <c r="V52" s="1">
        <f t="shared" si="19"/>
        <v>0</v>
      </c>
      <c r="W52" s="1">
        <f t="shared" si="19"/>
        <v>0</v>
      </c>
      <c r="X52" s="1">
        <f t="shared" si="19"/>
        <v>0</v>
      </c>
      <c r="Y52" s="1">
        <f t="shared" si="19"/>
        <v>0</v>
      </c>
      <c r="Z52" s="1">
        <f t="shared" si="19"/>
        <v>0</v>
      </c>
      <c r="AA52" s="1">
        <f t="shared" si="19"/>
        <v>0</v>
      </c>
      <c r="AB52" s="1">
        <f t="shared" si="19"/>
        <v>0</v>
      </c>
      <c r="AC52" s="1">
        <f t="shared" si="19"/>
        <v>0</v>
      </c>
      <c r="AD52" s="1">
        <f t="shared" si="19"/>
        <v>0</v>
      </c>
      <c r="AE52" s="1">
        <f t="shared" si="19"/>
        <v>0</v>
      </c>
      <c r="AF52" s="1">
        <f t="shared" si="19"/>
        <v>0</v>
      </c>
      <c r="AG52" s="1">
        <f t="shared" si="19"/>
        <v>0</v>
      </c>
      <c r="AH52" s="1">
        <f t="shared" si="19"/>
        <v>0</v>
      </c>
      <c r="AI52" s="1">
        <f t="shared" si="19"/>
        <v>0</v>
      </c>
      <c r="AJ52" s="1">
        <f t="shared" si="19"/>
        <v>0</v>
      </c>
      <c r="AK52" s="1">
        <f t="shared" si="19"/>
        <v>0</v>
      </c>
      <c r="AL52" s="1">
        <f t="shared" si="19"/>
        <v>0</v>
      </c>
      <c r="AM52" s="1">
        <f t="shared" si="19"/>
        <v>0</v>
      </c>
      <c r="AN52" s="1">
        <f t="shared" si="19"/>
        <v>0</v>
      </c>
      <c r="AO52" s="1">
        <f t="shared" si="19"/>
        <v>0</v>
      </c>
      <c r="AP52" s="1">
        <f t="shared" si="19"/>
        <v>0</v>
      </c>
      <c r="AQ52" s="1">
        <f t="shared" si="19"/>
        <v>0</v>
      </c>
    </row>
    <row r="53" spans="2:43" x14ac:dyDescent="0.2">
      <c r="D53" s="3" t="s">
        <v>57</v>
      </c>
      <c r="I53" s="1">
        <f>COUNTIFS(I$6:I$45,"WR*")</f>
        <v>0</v>
      </c>
      <c r="J53" s="1">
        <f t="shared" ref="J53:AQ53" si="20">COUNTIFS(J$6:J$45,"WR*")</f>
        <v>0</v>
      </c>
      <c r="K53" s="1">
        <f t="shared" si="20"/>
        <v>0</v>
      </c>
      <c r="L53" s="1">
        <f t="shared" si="20"/>
        <v>0</v>
      </c>
      <c r="M53" s="1">
        <f t="shared" si="20"/>
        <v>0</v>
      </c>
      <c r="N53" s="1">
        <f t="shared" si="20"/>
        <v>0</v>
      </c>
      <c r="O53" s="1">
        <f t="shared" si="20"/>
        <v>0</v>
      </c>
      <c r="P53" s="1">
        <f t="shared" si="20"/>
        <v>0</v>
      </c>
      <c r="Q53" s="1">
        <f t="shared" si="20"/>
        <v>0</v>
      </c>
      <c r="R53" s="1">
        <f t="shared" si="20"/>
        <v>0</v>
      </c>
      <c r="S53" s="1">
        <f t="shared" si="20"/>
        <v>0</v>
      </c>
      <c r="T53" s="1">
        <f t="shared" si="20"/>
        <v>0</v>
      </c>
      <c r="U53" s="1">
        <f t="shared" si="20"/>
        <v>0</v>
      </c>
      <c r="V53" s="1">
        <f t="shared" si="20"/>
        <v>0</v>
      </c>
      <c r="W53" s="1">
        <f t="shared" si="20"/>
        <v>0</v>
      </c>
      <c r="X53" s="1">
        <f t="shared" si="20"/>
        <v>0</v>
      </c>
      <c r="Y53" s="1">
        <f t="shared" si="20"/>
        <v>0</v>
      </c>
      <c r="Z53" s="1">
        <f t="shared" si="20"/>
        <v>0</v>
      </c>
      <c r="AA53" s="1">
        <f t="shared" si="20"/>
        <v>0</v>
      </c>
      <c r="AB53" s="1">
        <f t="shared" si="20"/>
        <v>0</v>
      </c>
      <c r="AC53" s="1">
        <f t="shared" si="20"/>
        <v>0</v>
      </c>
      <c r="AD53" s="1">
        <f t="shared" si="20"/>
        <v>0</v>
      </c>
      <c r="AE53" s="1">
        <f t="shared" si="20"/>
        <v>0</v>
      </c>
      <c r="AF53" s="1">
        <f t="shared" si="20"/>
        <v>0</v>
      </c>
      <c r="AG53" s="1">
        <f t="shared" si="20"/>
        <v>0</v>
      </c>
      <c r="AH53" s="1">
        <f t="shared" si="20"/>
        <v>0</v>
      </c>
      <c r="AI53" s="1">
        <f t="shared" si="20"/>
        <v>0</v>
      </c>
      <c r="AJ53" s="1">
        <f t="shared" si="20"/>
        <v>0</v>
      </c>
      <c r="AK53" s="1">
        <f t="shared" si="20"/>
        <v>0</v>
      </c>
      <c r="AL53" s="1">
        <f t="shared" si="20"/>
        <v>0</v>
      </c>
      <c r="AM53" s="1">
        <f t="shared" si="20"/>
        <v>0</v>
      </c>
      <c r="AN53" s="1">
        <f t="shared" si="20"/>
        <v>0</v>
      </c>
      <c r="AO53" s="1">
        <f t="shared" si="20"/>
        <v>0</v>
      </c>
      <c r="AP53" s="1">
        <f t="shared" si="20"/>
        <v>0</v>
      </c>
      <c r="AQ53" s="1">
        <f t="shared" si="20"/>
        <v>0</v>
      </c>
    </row>
    <row r="54" spans="2:43" x14ac:dyDescent="0.2">
      <c r="D54" s="3" t="s">
        <v>70</v>
      </c>
      <c r="I54" s="1">
        <f>COUNTIFS(I$6:I$45,"SB")</f>
        <v>0</v>
      </c>
      <c r="J54" s="1">
        <f t="shared" ref="J54:AQ54" si="21">COUNTIFS(J$6:J$45,"SB")</f>
        <v>0</v>
      </c>
      <c r="K54" s="1">
        <f t="shared" si="21"/>
        <v>0</v>
      </c>
      <c r="L54" s="1">
        <f t="shared" si="21"/>
        <v>0</v>
      </c>
      <c r="M54" s="1">
        <f t="shared" si="21"/>
        <v>0</v>
      </c>
      <c r="N54" s="1">
        <f t="shared" si="21"/>
        <v>0</v>
      </c>
      <c r="O54" s="1">
        <f t="shared" si="21"/>
        <v>0</v>
      </c>
      <c r="P54" s="1">
        <f t="shared" si="21"/>
        <v>0</v>
      </c>
      <c r="Q54" s="1">
        <f t="shared" si="21"/>
        <v>0</v>
      </c>
      <c r="R54" s="1">
        <f t="shared" si="21"/>
        <v>0</v>
      </c>
      <c r="S54" s="1">
        <f t="shared" si="21"/>
        <v>0</v>
      </c>
      <c r="T54" s="1">
        <f t="shared" si="21"/>
        <v>0</v>
      </c>
      <c r="U54" s="1">
        <f t="shared" si="21"/>
        <v>0</v>
      </c>
      <c r="V54" s="1">
        <f t="shared" si="21"/>
        <v>0</v>
      </c>
      <c r="W54" s="1">
        <f t="shared" si="21"/>
        <v>0</v>
      </c>
      <c r="X54" s="1">
        <f t="shared" si="21"/>
        <v>0</v>
      </c>
      <c r="Y54" s="1">
        <f t="shared" si="21"/>
        <v>0</v>
      </c>
      <c r="Z54" s="1">
        <f t="shared" si="21"/>
        <v>0</v>
      </c>
      <c r="AA54" s="1">
        <f t="shared" si="21"/>
        <v>0</v>
      </c>
      <c r="AB54" s="1">
        <f t="shared" si="21"/>
        <v>0</v>
      </c>
      <c r="AC54" s="1">
        <f t="shared" si="21"/>
        <v>0</v>
      </c>
      <c r="AD54" s="1">
        <f t="shared" si="21"/>
        <v>0</v>
      </c>
      <c r="AE54" s="1">
        <f t="shared" si="21"/>
        <v>0</v>
      </c>
      <c r="AF54" s="1">
        <f t="shared" si="21"/>
        <v>0</v>
      </c>
      <c r="AG54" s="1">
        <f t="shared" si="21"/>
        <v>0</v>
      </c>
      <c r="AH54" s="1">
        <f t="shared" si="21"/>
        <v>0</v>
      </c>
      <c r="AI54" s="1">
        <f t="shared" si="21"/>
        <v>0</v>
      </c>
      <c r="AJ54" s="1">
        <f t="shared" si="21"/>
        <v>0</v>
      </c>
      <c r="AK54" s="1">
        <f t="shared" si="21"/>
        <v>0</v>
      </c>
      <c r="AL54" s="1">
        <f t="shared" si="21"/>
        <v>0</v>
      </c>
      <c r="AM54" s="1">
        <f t="shared" si="21"/>
        <v>0</v>
      </c>
      <c r="AN54" s="1">
        <f t="shared" si="21"/>
        <v>0</v>
      </c>
      <c r="AO54" s="1">
        <f t="shared" si="21"/>
        <v>0</v>
      </c>
      <c r="AP54" s="1">
        <f t="shared" si="21"/>
        <v>0</v>
      </c>
      <c r="AQ54" s="1">
        <f t="shared" si="21"/>
        <v>0</v>
      </c>
    </row>
    <row r="57" spans="2:43" x14ac:dyDescent="0.2">
      <c r="B57" s="3" t="s">
        <v>49</v>
      </c>
    </row>
    <row r="58" spans="2:43" x14ac:dyDescent="0.2">
      <c r="B58" s="333" t="s">
        <v>244</v>
      </c>
      <c r="D58" s="327" t="s">
        <v>213</v>
      </c>
      <c r="E58" s="327"/>
      <c r="F58" s="327"/>
    </row>
    <row r="59" spans="2:43" x14ac:dyDescent="0.2">
      <c r="B59" s="334" t="s">
        <v>245</v>
      </c>
      <c r="D59" s="327" t="s">
        <v>214</v>
      </c>
      <c r="E59" s="327"/>
      <c r="F59" s="327"/>
    </row>
    <row r="60" spans="2:43" x14ac:dyDescent="0.2">
      <c r="B60" s="335" t="s">
        <v>243</v>
      </c>
      <c r="D60" s="327" t="s">
        <v>265</v>
      </c>
      <c r="E60" s="327"/>
      <c r="F60" s="327"/>
    </row>
    <row r="61" spans="2:43" x14ac:dyDescent="0.2">
      <c r="B61" s="335" t="s">
        <v>263</v>
      </c>
      <c r="D61" s="327" t="s">
        <v>184</v>
      </c>
      <c r="E61" s="327"/>
      <c r="F61" s="327"/>
    </row>
    <row r="62" spans="2:43" x14ac:dyDescent="0.2">
      <c r="B62" s="337" t="s">
        <v>264</v>
      </c>
      <c r="D62" s="3" t="s">
        <v>248</v>
      </c>
    </row>
    <row r="63" spans="2:43" x14ac:dyDescent="0.2">
      <c r="B63" s="17" t="s">
        <v>266</v>
      </c>
      <c r="D63" s="3" t="s">
        <v>267</v>
      </c>
    </row>
    <row r="64" spans="2:43" x14ac:dyDescent="0.2">
      <c r="B64" s="336" t="s">
        <v>212</v>
      </c>
      <c r="D64" s="327" t="s">
        <v>215</v>
      </c>
      <c r="E64" s="327"/>
      <c r="F64" s="327"/>
    </row>
    <row r="65" spans="2:6" x14ac:dyDescent="0.2">
      <c r="B65" s="336" t="s">
        <v>216</v>
      </c>
      <c r="D65" s="327" t="s">
        <v>70</v>
      </c>
      <c r="E65" s="327"/>
      <c r="F65" s="327"/>
    </row>
    <row r="67" spans="2:6" x14ac:dyDescent="0.2">
      <c r="B67" s="1"/>
    </row>
    <row r="68" spans="2:6" x14ac:dyDescent="0.2">
      <c r="C68" s="3"/>
    </row>
    <row r="69" spans="2:6" x14ac:dyDescent="0.2">
      <c r="B69" s="3" t="s">
        <v>252</v>
      </c>
    </row>
    <row r="70" spans="2:6" x14ac:dyDescent="0.2">
      <c r="B70" s="3" t="s">
        <v>30</v>
      </c>
      <c r="C70" s="3" t="s">
        <v>253</v>
      </c>
    </row>
    <row r="71" spans="2:6" x14ac:dyDescent="0.2">
      <c r="B71" s="3" t="s">
        <v>34</v>
      </c>
      <c r="C71" s="3" t="s">
        <v>254</v>
      </c>
    </row>
    <row r="72" spans="2:6" x14ac:dyDescent="0.2">
      <c r="B72" s="3" t="s">
        <v>32</v>
      </c>
      <c r="C72" s="3" t="s">
        <v>255</v>
      </c>
    </row>
    <row r="73" spans="2:6" x14ac:dyDescent="0.2">
      <c r="B73" s="3" t="s">
        <v>29</v>
      </c>
      <c r="C73" s="3" t="s">
        <v>256</v>
      </c>
    </row>
    <row r="74" spans="2:6" x14ac:dyDescent="0.2">
      <c r="B74" s="3" t="s">
        <v>31</v>
      </c>
      <c r="C74" s="3" t="s">
        <v>257</v>
      </c>
    </row>
    <row r="75" spans="2:6" x14ac:dyDescent="0.2">
      <c r="B75" s="3" t="s">
        <v>19</v>
      </c>
      <c r="C75" s="3" t="s">
        <v>258</v>
      </c>
    </row>
    <row r="76" spans="2:6" x14ac:dyDescent="0.2">
      <c r="C76" s="3"/>
    </row>
    <row r="77" spans="2:6" x14ac:dyDescent="0.2">
      <c r="B77" s="3" t="s">
        <v>172</v>
      </c>
      <c r="C77" s="3"/>
    </row>
    <row r="78" spans="2:6" x14ac:dyDescent="0.2">
      <c r="B78" s="3" t="s">
        <v>169</v>
      </c>
      <c r="C78" s="3"/>
      <c r="D78" s="3">
        <v>1</v>
      </c>
    </row>
    <row r="79" spans="2:6" x14ac:dyDescent="0.2">
      <c r="B79" s="3" t="s">
        <v>177</v>
      </c>
      <c r="C79" s="3"/>
      <c r="D79" s="3">
        <v>1.5</v>
      </c>
    </row>
    <row r="80" spans="2:6" x14ac:dyDescent="0.2">
      <c r="B80" s="3" t="s">
        <v>259</v>
      </c>
      <c r="C80" s="3"/>
      <c r="D80" s="3">
        <v>2.5</v>
      </c>
    </row>
    <row r="81" spans="2:4" x14ac:dyDescent="0.2">
      <c r="B81" s="3" t="s">
        <v>168</v>
      </c>
      <c r="C81" s="3"/>
      <c r="D81" s="3">
        <v>2</v>
      </c>
    </row>
    <row r="82" spans="2:4" x14ac:dyDescent="0.2">
      <c r="B82" s="3" t="s">
        <v>19</v>
      </c>
      <c r="C82" s="3"/>
      <c r="D82" s="3">
        <v>0.5</v>
      </c>
    </row>
    <row r="83" spans="2:4" x14ac:dyDescent="0.2">
      <c r="C83" s="3"/>
    </row>
    <row r="84" spans="2:4" x14ac:dyDescent="0.2">
      <c r="C84" s="3"/>
    </row>
  </sheetData>
  <mergeCells count="7">
    <mergeCell ref="AS1:AU1"/>
    <mergeCell ref="AW4:BC4"/>
    <mergeCell ref="BD4:BF4"/>
    <mergeCell ref="AS3:AV3"/>
    <mergeCell ref="AS4:AV4"/>
    <mergeCell ref="AW3:BJ3"/>
    <mergeCell ref="BG4:BJ4"/>
  </mergeCells>
  <conditionalFormatting sqref="C1:C4 D5:F5 C6:C1048576">
    <cfRule type="beginsWith" dxfId="4" priority="1" operator="beginsWith" text="HA">
      <formula>LEFT(C1,LEN("HA"))="HA"</formula>
    </cfRule>
    <cfRule type="beginsWith" dxfId="3" priority="2" operator="beginsWith" text="D">
      <formula>LEFT(C1,LEN("D"))="D"</formula>
    </cfRule>
    <cfRule type="beginsWith" dxfId="2" priority="3" operator="beginsWith" text="C">
      <formula>LEFT(C1,LEN("C"))="C"</formula>
    </cfRule>
    <cfRule type="beginsWith" dxfId="1" priority="4" operator="beginsWith" text="B">
      <formula>LEFT(C1,LEN("B"))="B"</formula>
    </cfRule>
    <cfRule type="beginsWith" dxfId="0" priority="5" stopIfTrue="1" operator="beginsWith" text="A">
      <formula>LEFT(C1,LEN("A"))="A"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21CAF-B53F-874D-B2B1-42AC08211810}">
  <dimension ref="B1:Q42"/>
  <sheetViews>
    <sheetView showGridLines="0" zoomScale="70" zoomScaleNormal="82" workbookViewId="0">
      <selection activeCell="G2" sqref="G2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7" width="10.83203125" style="1" customWidth="1"/>
    <col min="8" max="16384" width="10.83203125" style="1"/>
  </cols>
  <sheetData>
    <row r="1" spans="2:17" ht="21" customHeight="1" thickBot="1" x14ac:dyDescent="0.25">
      <c r="B1" s="332">
        <v>46082</v>
      </c>
      <c r="C1" s="356"/>
      <c r="D1" s="356"/>
    </row>
    <row r="2" spans="2:17" x14ac:dyDescent="0.2">
      <c r="B2" s="230" t="s">
        <v>250</v>
      </c>
      <c r="C2" s="58">
        <v>46117</v>
      </c>
      <c r="D2" s="290">
        <v>46118</v>
      </c>
      <c r="E2" s="66" t="s">
        <v>285</v>
      </c>
      <c r="F2" s="66" t="s">
        <v>283</v>
      </c>
      <c r="G2" s="59" t="s">
        <v>284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2:17" x14ac:dyDescent="0.2">
      <c r="B3" s="374"/>
      <c r="C3" s="2"/>
      <c r="D3" s="388"/>
      <c r="E3" s="2"/>
      <c r="F3" s="2"/>
      <c r="G3" s="26"/>
    </row>
    <row r="4" spans="2:17" x14ac:dyDescent="0.2">
      <c r="B4" s="374"/>
      <c r="C4" s="2"/>
      <c r="D4" s="388"/>
      <c r="E4" s="2"/>
      <c r="F4" s="2"/>
      <c r="G4" s="26"/>
    </row>
    <row r="5" spans="2:17" x14ac:dyDescent="0.2">
      <c r="B5" s="374"/>
      <c r="C5" s="2"/>
      <c r="D5" s="388"/>
      <c r="E5" s="2"/>
      <c r="F5" s="2"/>
      <c r="G5" s="26"/>
    </row>
    <row r="6" spans="2:17" x14ac:dyDescent="0.2">
      <c r="B6" s="374"/>
      <c r="C6" s="2"/>
      <c r="D6" s="388"/>
      <c r="E6" s="2"/>
      <c r="F6" s="2"/>
      <c r="G6" s="26"/>
    </row>
    <row r="7" spans="2:17" x14ac:dyDescent="0.2">
      <c r="B7" s="374"/>
      <c r="C7" s="2"/>
      <c r="D7" s="388"/>
      <c r="E7" s="2"/>
      <c r="F7" s="2"/>
      <c r="G7" s="26"/>
    </row>
    <row r="8" spans="2:17" x14ac:dyDescent="0.2">
      <c r="B8" s="374"/>
      <c r="C8" s="2"/>
      <c r="D8" s="388"/>
      <c r="E8" s="2"/>
      <c r="F8" s="2"/>
      <c r="G8" s="26"/>
    </row>
    <row r="9" spans="2:17" x14ac:dyDescent="0.2">
      <c r="B9" s="374"/>
      <c r="C9" s="2"/>
      <c r="D9" s="388"/>
      <c r="E9" s="2"/>
      <c r="F9" s="2"/>
      <c r="G9" s="26"/>
    </row>
    <row r="10" spans="2:17" x14ac:dyDescent="0.2">
      <c r="B10" s="374"/>
      <c r="C10" s="2"/>
      <c r="D10" s="388"/>
      <c r="E10" s="2"/>
      <c r="F10" s="2"/>
      <c r="G10" s="26"/>
    </row>
    <row r="11" spans="2:17" x14ac:dyDescent="0.2">
      <c r="B11" s="374"/>
      <c r="C11" s="2"/>
      <c r="D11" s="388"/>
      <c r="E11" s="2"/>
      <c r="F11" s="2"/>
      <c r="G11" s="26"/>
    </row>
    <row r="12" spans="2:17" x14ac:dyDescent="0.2">
      <c r="B12" s="374"/>
      <c r="C12" s="2"/>
      <c r="D12" s="388"/>
      <c r="E12" s="2"/>
      <c r="F12" s="2"/>
      <c r="G12" s="26"/>
    </row>
    <row r="13" spans="2:17" x14ac:dyDescent="0.2">
      <c r="B13" s="374"/>
      <c r="C13" s="2"/>
      <c r="D13" s="388"/>
      <c r="E13" s="2"/>
      <c r="F13" s="2"/>
      <c r="G13" s="26"/>
    </row>
    <row r="14" spans="2:17" x14ac:dyDescent="0.2">
      <c r="B14" s="374"/>
      <c r="C14" s="2"/>
      <c r="D14" s="388"/>
      <c r="E14" s="2"/>
      <c r="F14" s="2"/>
      <c r="G14" s="26"/>
    </row>
    <row r="15" spans="2:17" x14ac:dyDescent="0.2">
      <c r="B15" s="374"/>
      <c r="C15" s="2"/>
      <c r="D15" s="388"/>
      <c r="E15" s="2"/>
      <c r="F15" s="2"/>
      <c r="G15" s="26"/>
    </row>
    <row r="16" spans="2:17" x14ac:dyDescent="0.2">
      <c r="B16" s="374"/>
      <c r="C16" s="2"/>
      <c r="D16" s="388"/>
      <c r="E16" s="2"/>
      <c r="F16" s="2"/>
      <c r="G16" s="26"/>
    </row>
    <row r="17" spans="2:7" x14ac:dyDescent="0.2">
      <c r="B17" s="374"/>
      <c r="C17" s="2"/>
      <c r="D17" s="388"/>
      <c r="E17" s="2"/>
      <c r="F17" s="2"/>
      <c r="G17" s="26"/>
    </row>
    <row r="18" spans="2:7" x14ac:dyDescent="0.2">
      <c r="B18" s="374"/>
      <c r="C18" s="2"/>
      <c r="D18" s="388"/>
      <c r="E18" s="2"/>
      <c r="F18" s="2"/>
      <c r="G18" s="26"/>
    </row>
    <row r="19" spans="2:7" x14ac:dyDescent="0.2">
      <c r="B19" s="374"/>
      <c r="C19" s="2"/>
      <c r="D19" s="388"/>
      <c r="E19" s="2"/>
      <c r="F19" s="2"/>
      <c r="G19" s="26"/>
    </row>
    <row r="20" spans="2:7" x14ac:dyDescent="0.2">
      <c r="B20" s="374"/>
      <c r="C20" s="2"/>
      <c r="D20" s="388"/>
      <c r="E20" s="2"/>
      <c r="F20" s="2"/>
      <c r="G20" s="26"/>
    </row>
    <row r="21" spans="2:7" x14ac:dyDescent="0.2">
      <c r="B21" s="374"/>
      <c r="C21" s="2"/>
      <c r="D21" s="388"/>
      <c r="E21" s="2"/>
      <c r="F21" s="2"/>
      <c r="G21" s="26"/>
    </row>
    <row r="22" spans="2:7" x14ac:dyDescent="0.2">
      <c r="B22" s="374"/>
      <c r="C22" s="2"/>
      <c r="D22" s="388"/>
      <c r="E22" s="2"/>
      <c r="F22" s="2"/>
      <c r="G22" s="26"/>
    </row>
    <row r="23" spans="2:7" x14ac:dyDescent="0.2">
      <c r="B23" s="374"/>
      <c r="C23" s="2"/>
      <c r="D23" s="388"/>
      <c r="E23" s="2"/>
      <c r="F23" s="2"/>
      <c r="G23" s="26"/>
    </row>
    <row r="24" spans="2:7" x14ac:dyDescent="0.2">
      <c r="B24" s="374"/>
      <c r="C24" s="2"/>
      <c r="D24" s="388"/>
      <c r="E24" s="2"/>
      <c r="F24" s="2"/>
      <c r="G24" s="26"/>
    </row>
    <row r="25" spans="2:7" x14ac:dyDescent="0.2">
      <c r="B25" s="374"/>
      <c r="C25" s="2"/>
      <c r="D25" s="388"/>
      <c r="E25" s="2"/>
      <c r="F25" s="2"/>
      <c r="G25" s="26"/>
    </row>
    <row r="26" spans="2:7" x14ac:dyDescent="0.2">
      <c r="B26" s="374"/>
      <c r="C26" s="2"/>
      <c r="D26" s="388"/>
      <c r="E26" s="2"/>
      <c r="F26" s="2"/>
      <c r="G26" s="26"/>
    </row>
    <row r="27" spans="2:7" x14ac:dyDescent="0.2">
      <c r="B27" s="374"/>
      <c r="C27" s="2"/>
      <c r="D27" s="388"/>
      <c r="E27" s="2"/>
      <c r="F27" s="2"/>
      <c r="G27" s="26"/>
    </row>
    <row r="28" spans="2:7" x14ac:dyDescent="0.2">
      <c r="B28" s="374"/>
      <c r="C28" s="2"/>
      <c r="D28" s="388"/>
      <c r="E28" s="2"/>
      <c r="F28" s="2"/>
      <c r="G28" s="26"/>
    </row>
    <row r="29" spans="2:7" x14ac:dyDescent="0.2">
      <c r="B29" s="374"/>
      <c r="C29" s="2"/>
      <c r="D29" s="388"/>
      <c r="E29" s="2"/>
      <c r="F29" s="2"/>
      <c r="G29" s="26"/>
    </row>
    <row r="30" spans="2:7" x14ac:dyDescent="0.2">
      <c r="B30" s="374"/>
      <c r="C30" s="2"/>
      <c r="D30" s="388"/>
      <c r="E30" s="2"/>
      <c r="F30" s="2"/>
      <c r="G30" s="26"/>
    </row>
    <row r="31" spans="2:7" x14ac:dyDescent="0.2">
      <c r="B31" s="374"/>
      <c r="C31" s="2"/>
      <c r="D31" s="388"/>
      <c r="E31" s="2"/>
      <c r="F31" s="2"/>
      <c r="G31" s="26"/>
    </row>
    <row r="32" spans="2:7" x14ac:dyDescent="0.2">
      <c r="B32" s="374"/>
      <c r="C32" s="2"/>
      <c r="D32" s="388"/>
      <c r="E32" s="2"/>
      <c r="F32" s="2"/>
      <c r="G32" s="26"/>
    </row>
    <row r="33" spans="2:7" x14ac:dyDescent="0.2">
      <c r="B33" s="374"/>
      <c r="C33" s="2"/>
      <c r="D33" s="388"/>
      <c r="E33" s="2"/>
      <c r="F33" s="2"/>
      <c r="G33" s="26"/>
    </row>
    <row r="34" spans="2:7" x14ac:dyDescent="0.2">
      <c r="B34" s="374"/>
      <c r="C34" s="2"/>
      <c r="D34" s="388"/>
      <c r="E34" s="2"/>
      <c r="F34" s="2"/>
      <c r="G34" s="26"/>
    </row>
    <row r="35" spans="2:7" x14ac:dyDescent="0.2">
      <c r="B35" s="374"/>
      <c r="C35" s="2"/>
      <c r="D35" s="388"/>
      <c r="E35" s="2"/>
      <c r="F35" s="2"/>
      <c r="G35" s="26"/>
    </row>
    <row r="36" spans="2:7" x14ac:dyDescent="0.2">
      <c r="B36" s="374"/>
      <c r="C36" s="2"/>
      <c r="D36" s="388"/>
      <c r="E36" s="2"/>
      <c r="F36" s="2"/>
      <c r="G36" s="26"/>
    </row>
    <row r="37" spans="2:7" x14ac:dyDescent="0.2">
      <c r="B37" s="374"/>
      <c r="C37" s="2"/>
      <c r="D37" s="388"/>
      <c r="E37" s="2"/>
      <c r="F37" s="2"/>
      <c r="G37" s="26"/>
    </row>
    <row r="38" spans="2:7" x14ac:dyDescent="0.2">
      <c r="B38" s="374"/>
      <c r="C38" s="2"/>
      <c r="D38" s="388"/>
      <c r="E38" s="2"/>
      <c r="F38" s="2"/>
      <c r="G38" s="26"/>
    </row>
    <row r="39" spans="2:7" x14ac:dyDescent="0.2">
      <c r="B39" s="374"/>
      <c r="C39" s="2"/>
      <c r="D39" s="388"/>
      <c r="E39" s="2"/>
      <c r="F39" s="2"/>
      <c r="G39" s="26"/>
    </row>
    <row r="40" spans="2:7" x14ac:dyDescent="0.2">
      <c r="B40" s="374"/>
      <c r="C40" s="2"/>
      <c r="D40" s="388"/>
      <c r="E40" s="2"/>
      <c r="F40" s="2"/>
      <c r="G40" s="26"/>
    </row>
    <row r="41" spans="2:7" x14ac:dyDescent="0.2">
      <c r="B41" s="374"/>
      <c r="C41" s="2"/>
      <c r="D41" s="388"/>
      <c r="E41" s="2"/>
      <c r="F41" s="2"/>
      <c r="G41" s="26"/>
    </row>
    <row r="42" spans="2:7" ht="16" customHeight="1" thickBot="1" x14ac:dyDescent="0.25">
      <c r="B42" s="375"/>
      <c r="C42" s="376"/>
      <c r="D42" s="389"/>
      <c r="E42" s="376"/>
      <c r="F42" s="376"/>
      <c r="G42" s="41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N38"/>
  <sheetViews>
    <sheetView showGridLines="0" zoomScale="57" zoomScaleNormal="76" workbookViewId="0">
      <selection activeCell="L41" sqref="L41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12" width="18.6640625" customWidth="1"/>
    <col min="13" max="13" width="27.1640625" bestFit="1" customWidth="1"/>
    <col min="14" max="14" width="49.1640625" bestFit="1" customWidth="1"/>
  </cols>
  <sheetData>
    <row r="1" spans="1:14" ht="20" customHeight="1" thickBot="1" x14ac:dyDescent="0.25">
      <c r="A1" s="403" t="s">
        <v>273</v>
      </c>
      <c r="B1" s="404"/>
      <c r="C1" s="409" t="s">
        <v>274</v>
      </c>
      <c r="D1" s="410"/>
      <c r="E1" s="410"/>
      <c r="F1" s="410"/>
      <c r="G1" s="410"/>
      <c r="H1" s="410"/>
      <c r="I1" s="410"/>
      <c r="J1" s="410"/>
      <c r="K1" s="410"/>
      <c r="L1" s="411"/>
      <c r="M1" s="380"/>
      <c r="N1" s="380"/>
    </row>
    <row r="2" spans="1:14" ht="15" customHeight="1" x14ac:dyDescent="0.2">
      <c r="A2" s="405"/>
      <c r="B2" s="406"/>
      <c r="C2" s="377" t="s">
        <v>30</v>
      </c>
      <c r="D2" s="378" t="s">
        <v>34</v>
      </c>
      <c r="E2" s="378" t="s">
        <v>32</v>
      </c>
      <c r="F2" s="378" t="s">
        <v>29</v>
      </c>
      <c r="G2" s="378" t="s">
        <v>31</v>
      </c>
      <c r="H2" s="378" t="s">
        <v>19</v>
      </c>
      <c r="I2" s="378" t="s">
        <v>20</v>
      </c>
      <c r="J2" s="378" t="s">
        <v>21</v>
      </c>
      <c r="K2" s="378" t="s">
        <v>81</v>
      </c>
      <c r="L2" s="379" t="s">
        <v>216</v>
      </c>
      <c r="M2" s="380"/>
      <c r="N2" s="380"/>
    </row>
    <row r="3" spans="1:14" s="1" customFormat="1" ht="15" customHeight="1" thickBot="1" x14ac:dyDescent="0.25">
      <c r="A3" s="407"/>
      <c r="B3" s="408"/>
      <c r="C3" s="381" t="s">
        <v>275</v>
      </c>
      <c r="D3" s="382" t="s">
        <v>276</v>
      </c>
      <c r="E3" s="382" t="s">
        <v>277</v>
      </c>
      <c r="F3" s="382" t="s">
        <v>278</v>
      </c>
      <c r="G3" s="382" t="s">
        <v>279</v>
      </c>
      <c r="H3" s="382" t="s">
        <v>280</v>
      </c>
      <c r="I3" s="382"/>
      <c r="J3" s="382"/>
      <c r="K3" s="382"/>
      <c r="L3" s="383"/>
    </row>
    <row r="4" spans="1:14" s="1" customFormat="1" ht="20" customHeight="1" thickBot="1" x14ac:dyDescent="0.25">
      <c r="A4" s="384">
        <f>Month!I5</f>
        <v>46119</v>
      </c>
      <c r="B4" s="385" t="str">
        <f>TEXT(WEEKDAY(A4), "dddd")</f>
        <v>Tuesday</v>
      </c>
      <c r="C4" s="386" t="str">
        <f>IFERROR(INDEX(Month!$B$6:$B$45,MATCH(C$2,INDEX(Month!$I$6:$AQ$45,0,MATCH($A4,Month!$I$5:$AQ$5,0)),0)),"")</f>
        <v/>
      </c>
      <c r="D4" s="386" t="str">
        <f>IFERROR(INDEX(Month!$B$6:$B$45,MATCH(D$2,INDEX(Month!$I$6:$AQ$45,0,MATCH($A4,Month!$I$5:$AQ$5,0)),0)),"")</f>
        <v/>
      </c>
      <c r="E4" s="386" t="str">
        <f>IFERROR(INDEX(Month!$B$6:$B$45,MATCH(E$2,INDEX(Month!$I$6:$AQ$45,0,MATCH($A4,Month!$I$5:$AQ$5,0)),0)),"")</f>
        <v/>
      </c>
      <c r="F4" s="386" t="str">
        <f>IFERROR(INDEX(Month!$B$6:$B$45,MATCH(F$2,INDEX(Month!$I$6:$AQ$45,0,MATCH($A4,Month!$I$5:$AQ$5,0)),0)),"")</f>
        <v/>
      </c>
      <c r="G4" s="386" t="str">
        <f>IFERROR(INDEX(Month!$B$6:$B$45,MATCH(G$2,INDEX(Month!$I$6:$AQ$45,0,MATCH($A4,Month!$I$5:$AQ$5,0)),0)),"")</f>
        <v/>
      </c>
      <c r="H4" s="386" t="str">
        <f>IFERROR(INDEX(Month!$B$6:$B$45,MATCH(H$2,INDEX(Month!$I$6:$AQ$45,0,MATCH($A4,Month!$I$5:$AQ$5,0)),0)),"")</f>
        <v/>
      </c>
      <c r="I4" s="386" t="str">
        <f>IFERROR(INDEX(Month!$B$6:$B$45,MATCH(I$2,INDEX(Month!$I$6:$AQ$45,0,MATCH($A4,Month!$I$5:$AQ$5,0)),0)),"")</f>
        <v/>
      </c>
      <c r="J4" s="386" t="str">
        <f>IFERROR(INDEX(Month!$B$6:$B$45,MATCH(J$2,INDEX(Month!$I$6:$AQ$45,0,MATCH($A4,Month!$I$5:$AQ$5,0)),0)),"")</f>
        <v/>
      </c>
      <c r="K4" s="386" t="str">
        <f>IFERROR(INDEX(Month!$B$6:$B$45,MATCH(K$2,INDEX(Month!$I$6:$AQ$45,0,MATCH($A4,Month!$I$5:$AQ$5,0)),0)),"")</f>
        <v/>
      </c>
      <c r="L4" s="386" t="str">
        <f>IFERROR(INDEX(Month!$B$6:$B$45,MATCH(L$2,INDEX(Month!$I$6:$AQ$45,0,MATCH($A4,Month!$I$5:$AQ$5,0)),0)),"")</f>
        <v/>
      </c>
    </row>
    <row r="5" spans="1:14" ht="20" customHeight="1" thickBot="1" x14ac:dyDescent="0.25">
      <c r="A5" s="387">
        <f>A4+1</f>
        <v>46120</v>
      </c>
      <c r="B5" s="385" t="str">
        <f t="shared" ref="B5:B38" si="0">TEXT(WEEKDAY(A5), "dddd")</f>
        <v>Wednesday</v>
      </c>
      <c r="C5" s="386" t="str">
        <f>IFERROR(INDEX(Month!$B$6:$B$45,MATCH(C$2,INDEX(Month!$I$6:$AQ$45,0,MATCH($A5,Month!$I$5:$AQ$5,0)),0)),"")</f>
        <v/>
      </c>
      <c r="D5" s="386" t="str">
        <f>IFERROR(INDEX(Month!$B$6:$B$45,MATCH(D$2,INDEX(Month!$I$6:$AQ$45,0,MATCH($A5,Month!$I$5:$AQ$5,0)),0)),"")</f>
        <v/>
      </c>
      <c r="E5" s="386" t="str">
        <f>IFERROR(INDEX(Month!$B$6:$B$45,MATCH(E$2,INDEX(Month!$I$6:$AQ$45,0,MATCH($A5,Month!$I$5:$AQ$5,0)),0)),"")</f>
        <v/>
      </c>
      <c r="F5" s="386" t="str">
        <f>IFERROR(INDEX(Month!$B$6:$B$45,MATCH(F$2,INDEX(Month!$I$6:$AQ$45,0,MATCH($A5,Month!$I$5:$AQ$5,0)),0)),"")</f>
        <v/>
      </c>
      <c r="G5" s="386" t="str">
        <f>IFERROR(INDEX(Month!$B$6:$B$45,MATCH(G$2,INDEX(Month!$I$6:$AQ$45,0,MATCH($A5,Month!$I$5:$AQ$5,0)),0)),"")</f>
        <v/>
      </c>
      <c r="H5" s="386" t="str">
        <f>IFERROR(INDEX(Month!$B$6:$B$45,MATCH(H$2,INDEX(Month!$I$6:$AQ$45,0,MATCH($A5,Month!$I$5:$AQ$5,0)),0)),"")</f>
        <v/>
      </c>
      <c r="I5" s="386" t="str">
        <f>IFERROR(INDEX(Month!$B$6:$B$45,MATCH(I$2,INDEX(Month!$I$6:$AQ$45,0,MATCH($A5,Month!$I$5:$AQ$5,0)),0)),"")</f>
        <v/>
      </c>
      <c r="J5" s="386" t="str">
        <f>IFERROR(INDEX(Month!$B$6:$B$45,MATCH(J$2,INDEX(Month!$I$6:$AQ$45,0,MATCH($A5,Month!$I$5:$AQ$5,0)),0)),"")</f>
        <v/>
      </c>
      <c r="K5" s="386" t="str">
        <f>IFERROR(INDEX(Month!$B$6:$B$45,MATCH(K$2,INDEX(Month!$I$6:$AQ$45,0,MATCH($A5,Month!$I$5:$AQ$5,0)),0)),"")</f>
        <v/>
      </c>
      <c r="L5" s="386" t="str">
        <f>IFERROR(INDEX(Month!$B$6:$B$45,MATCH(L$2,INDEX(Month!$I$6:$AQ$45,0,MATCH($A5,Month!$I$5:$AQ$5,0)),0)),"")</f>
        <v/>
      </c>
    </row>
    <row r="6" spans="1:14" ht="20" customHeight="1" thickBot="1" x14ac:dyDescent="0.25">
      <c r="A6" s="387">
        <f t="shared" ref="A6:A38" si="1">A5+1</f>
        <v>46121</v>
      </c>
      <c r="B6" s="385" t="str">
        <f t="shared" si="0"/>
        <v>Thursday</v>
      </c>
      <c r="C6" s="386" t="str">
        <f>IFERROR(INDEX(Month!$B$6:$B$45,MATCH(C$2,INDEX(Month!$I$6:$AQ$45,0,MATCH($A6,Month!$I$5:$AQ$5,0)),0)),"")</f>
        <v/>
      </c>
      <c r="D6" s="386" t="str">
        <f>IFERROR(INDEX(Month!$B$6:$B$45,MATCH(D$2,INDEX(Month!$I$6:$AQ$45,0,MATCH($A6,Month!$I$5:$AQ$5,0)),0)),"")</f>
        <v/>
      </c>
      <c r="E6" s="386" t="str">
        <f>IFERROR(INDEX(Month!$B$6:$B$45,MATCH(E$2,INDEX(Month!$I$6:$AQ$45,0,MATCH($A6,Month!$I$5:$AQ$5,0)),0)),"")</f>
        <v/>
      </c>
      <c r="F6" s="386" t="str">
        <f>IFERROR(INDEX(Month!$B$6:$B$45,MATCH(F$2,INDEX(Month!$I$6:$AQ$45,0,MATCH($A6,Month!$I$5:$AQ$5,0)),0)),"")</f>
        <v/>
      </c>
      <c r="G6" s="386" t="str">
        <f>IFERROR(INDEX(Month!$B$6:$B$45,MATCH(G$2,INDEX(Month!$I$6:$AQ$45,0,MATCH($A6,Month!$I$5:$AQ$5,0)),0)),"")</f>
        <v/>
      </c>
      <c r="H6" s="386" t="str">
        <f>IFERROR(INDEX(Month!$B$6:$B$45,MATCH(H$2,INDEX(Month!$I$6:$AQ$45,0,MATCH($A6,Month!$I$5:$AQ$5,0)),0)),"")</f>
        <v/>
      </c>
      <c r="I6" s="386" t="str">
        <f>IFERROR(INDEX(Month!$B$6:$B$45,MATCH(I$2,INDEX(Month!$I$6:$AQ$45,0,MATCH($A6,Month!$I$5:$AQ$5,0)),0)),"")</f>
        <v/>
      </c>
      <c r="J6" s="386" t="str">
        <f>IFERROR(INDEX(Month!$B$6:$B$45,MATCH(J$2,INDEX(Month!$I$6:$AQ$45,0,MATCH($A6,Month!$I$5:$AQ$5,0)),0)),"")</f>
        <v/>
      </c>
      <c r="K6" s="386" t="str">
        <f>IFERROR(INDEX(Month!$B$6:$B$45,MATCH(K$2,INDEX(Month!$I$6:$AQ$45,0,MATCH($A6,Month!$I$5:$AQ$5,0)),0)),"")</f>
        <v/>
      </c>
      <c r="L6" s="386" t="str">
        <f>IFERROR(INDEX(Month!$B$6:$B$45,MATCH(L$2,INDEX(Month!$I$6:$AQ$45,0,MATCH($A6,Month!$I$5:$AQ$5,0)),0)),"")</f>
        <v/>
      </c>
    </row>
    <row r="7" spans="1:14" ht="20" customHeight="1" thickBot="1" x14ac:dyDescent="0.25">
      <c r="A7" s="387">
        <f t="shared" si="1"/>
        <v>46122</v>
      </c>
      <c r="B7" s="385" t="str">
        <f t="shared" si="0"/>
        <v>Friday</v>
      </c>
      <c r="C7" s="386" t="str">
        <f>IFERROR(INDEX(Month!$B$6:$B$45,MATCH(C$2,INDEX(Month!$I$6:$AQ$45,0,MATCH($A7,Month!$I$5:$AQ$5,0)),0)),"")</f>
        <v/>
      </c>
      <c r="D7" s="386" t="str">
        <f>IFERROR(INDEX(Month!$B$6:$B$45,MATCH(D$2,INDEX(Month!$I$6:$AQ$45,0,MATCH($A7,Month!$I$5:$AQ$5,0)),0)),"")</f>
        <v/>
      </c>
      <c r="E7" s="386" t="str">
        <f>IFERROR(INDEX(Month!$B$6:$B$45,MATCH(E$2,INDEX(Month!$I$6:$AQ$45,0,MATCH($A7,Month!$I$5:$AQ$5,0)),0)),"")</f>
        <v/>
      </c>
      <c r="F7" s="386" t="str">
        <f>IFERROR(INDEX(Month!$B$6:$B$45,MATCH(F$2,INDEX(Month!$I$6:$AQ$45,0,MATCH($A7,Month!$I$5:$AQ$5,0)),0)),"")</f>
        <v/>
      </c>
      <c r="G7" s="386" t="str">
        <f>IFERROR(INDEX(Month!$B$6:$B$45,MATCH(G$2,INDEX(Month!$I$6:$AQ$45,0,MATCH($A7,Month!$I$5:$AQ$5,0)),0)),"")</f>
        <v/>
      </c>
      <c r="H7" s="386" t="str">
        <f>IFERROR(INDEX(Month!$B$6:$B$45,MATCH(H$2,INDEX(Month!$I$6:$AQ$45,0,MATCH($A7,Month!$I$5:$AQ$5,0)),0)),"")</f>
        <v/>
      </c>
      <c r="I7" s="386" t="str">
        <f>IFERROR(INDEX(Month!$B$6:$B$45,MATCH(I$2,INDEX(Month!$I$6:$AQ$45,0,MATCH($A7,Month!$I$5:$AQ$5,0)),0)),"")</f>
        <v/>
      </c>
      <c r="J7" s="386" t="str">
        <f>IFERROR(INDEX(Month!$B$6:$B$45,MATCH(J$2,INDEX(Month!$I$6:$AQ$45,0,MATCH($A7,Month!$I$5:$AQ$5,0)),0)),"")</f>
        <v/>
      </c>
      <c r="K7" s="386" t="str">
        <f>IFERROR(INDEX(Month!$B$6:$B$45,MATCH(K$2,INDEX(Month!$I$6:$AQ$45,0,MATCH($A7,Month!$I$5:$AQ$5,0)),0)),"")</f>
        <v/>
      </c>
      <c r="L7" s="386" t="str">
        <f>IFERROR(INDEX(Month!$B$6:$B$45,MATCH(L$2,INDEX(Month!$I$6:$AQ$45,0,MATCH($A7,Month!$I$5:$AQ$5,0)),0)),"")</f>
        <v/>
      </c>
    </row>
    <row r="8" spans="1:14" ht="20" customHeight="1" thickBot="1" x14ac:dyDescent="0.25">
      <c r="A8" s="387">
        <f t="shared" si="1"/>
        <v>46123</v>
      </c>
      <c r="B8" s="385" t="str">
        <f t="shared" si="0"/>
        <v>Saturday</v>
      </c>
      <c r="C8" s="386" t="str">
        <f>IFERROR(INDEX(Month!$B$6:$B$45,MATCH(C$2,INDEX(Month!$I$6:$AQ$45,0,MATCH($A8,Month!$I$5:$AQ$5,0)),0)),"")</f>
        <v/>
      </c>
      <c r="D8" s="386" t="str">
        <f>IFERROR(INDEX(Month!$B$6:$B$45,MATCH(D$2,INDEX(Month!$I$6:$AQ$45,0,MATCH($A8,Month!$I$5:$AQ$5,0)),0)),"")</f>
        <v/>
      </c>
      <c r="E8" s="386" t="str">
        <f>IFERROR(INDEX(Month!$B$6:$B$45,MATCH(E$2,INDEX(Month!$I$6:$AQ$45,0,MATCH($A8,Month!$I$5:$AQ$5,0)),0)),"")</f>
        <v/>
      </c>
      <c r="F8" s="386" t="str">
        <f>IFERROR(INDEX(Month!$B$6:$B$45,MATCH(F$2,INDEX(Month!$I$6:$AQ$45,0,MATCH($A8,Month!$I$5:$AQ$5,0)),0)),"")</f>
        <v/>
      </c>
      <c r="G8" s="386" t="str">
        <f>IFERROR(INDEX(Month!$B$6:$B$45,MATCH(G$2,INDEX(Month!$I$6:$AQ$45,0,MATCH($A8,Month!$I$5:$AQ$5,0)),0)),"")</f>
        <v/>
      </c>
      <c r="H8" s="386" t="str">
        <f>IFERROR(INDEX(Month!$B$6:$B$45,MATCH(H$2,INDEX(Month!$I$6:$AQ$45,0,MATCH($A8,Month!$I$5:$AQ$5,0)),0)),"")</f>
        <v/>
      </c>
      <c r="I8" s="386" t="str">
        <f>IFERROR(INDEX(Month!$B$6:$B$45,MATCH(I$2,INDEX(Month!$I$6:$AQ$45,0,MATCH($A8,Month!$I$5:$AQ$5,0)),0)),"")</f>
        <v/>
      </c>
      <c r="J8" s="386" t="str">
        <f>IFERROR(INDEX(Month!$B$6:$B$45,MATCH(J$2,INDEX(Month!$I$6:$AQ$45,0,MATCH($A8,Month!$I$5:$AQ$5,0)),0)),"")</f>
        <v/>
      </c>
      <c r="K8" s="386" t="str">
        <f>IFERROR(INDEX(Month!$B$6:$B$45,MATCH(K$2,INDEX(Month!$I$6:$AQ$45,0,MATCH($A8,Month!$I$5:$AQ$5,0)),0)),"")</f>
        <v/>
      </c>
      <c r="L8" s="386" t="str">
        <f>IFERROR(INDEX(Month!$B$6:$B$45,MATCH(L$2,INDEX(Month!$I$6:$AQ$45,0,MATCH($A8,Month!$I$5:$AQ$5,0)),0)),"")</f>
        <v/>
      </c>
    </row>
    <row r="9" spans="1:14" ht="20" customHeight="1" thickBot="1" x14ac:dyDescent="0.25">
      <c r="A9" s="387">
        <f t="shared" si="1"/>
        <v>46124</v>
      </c>
      <c r="B9" s="385" t="str">
        <f t="shared" si="0"/>
        <v>Sunday</v>
      </c>
      <c r="C9" s="386" t="str">
        <f>IFERROR(INDEX(Month!$B$6:$B$45,MATCH(C$2,INDEX(Month!$I$6:$AQ$45,0,MATCH($A9,Month!$I$5:$AQ$5,0)),0)),"")</f>
        <v/>
      </c>
      <c r="D9" s="386" t="str">
        <f>IFERROR(INDEX(Month!$B$6:$B$45,MATCH(D$2,INDEX(Month!$I$6:$AQ$45,0,MATCH($A9,Month!$I$5:$AQ$5,0)),0)),"")</f>
        <v/>
      </c>
      <c r="E9" s="386" t="str">
        <f>IFERROR(INDEX(Month!$B$6:$B$45,MATCH(E$2,INDEX(Month!$I$6:$AQ$45,0,MATCH($A9,Month!$I$5:$AQ$5,0)),0)),"")</f>
        <v/>
      </c>
      <c r="F9" s="386" t="str">
        <f>IFERROR(INDEX(Month!$B$6:$B$45,MATCH(F$2,INDEX(Month!$I$6:$AQ$45,0,MATCH($A9,Month!$I$5:$AQ$5,0)),0)),"")</f>
        <v/>
      </c>
      <c r="G9" s="386" t="str">
        <f>IFERROR(INDEX(Month!$B$6:$B$45,MATCH(G$2,INDEX(Month!$I$6:$AQ$45,0,MATCH($A9,Month!$I$5:$AQ$5,0)),0)),"")</f>
        <v/>
      </c>
      <c r="H9" s="386" t="str">
        <f>IFERROR(INDEX(Month!$B$6:$B$45,MATCH(H$2,INDEX(Month!$I$6:$AQ$45,0,MATCH($A9,Month!$I$5:$AQ$5,0)),0)),"")</f>
        <v/>
      </c>
      <c r="I9" s="386" t="str">
        <f>IFERROR(INDEX(Month!$B$6:$B$45,MATCH(I$2,INDEX(Month!$I$6:$AQ$45,0,MATCH($A9,Month!$I$5:$AQ$5,0)),0)),"")</f>
        <v/>
      </c>
      <c r="J9" s="386" t="str">
        <f>IFERROR(INDEX(Month!$B$6:$B$45,MATCH(J$2,INDEX(Month!$I$6:$AQ$45,0,MATCH($A9,Month!$I$5:$AQ$5,0)),0)),"")</f>
        <v/>
      </c>
      <c r="K9" s="386" t="str">
        <f>IFERROR(INDEX(Month!$B$6:$B$45,MATCH(K$2,INDEX(Month!$I$6:$AQ$45,0,MATCH($A9,Month!$I$5:$AQ$5,0)),0)),"")</f>
        <v/>
      </c>
      <c r="L9" s="386" t="str">
        <f>IFERROR(INDEX(Month!$B$6:$B$45,MATCH(L$2,INDEX(Month!$I$6:$AQ$45,0,MATCH($A9,Month!$I$5:$AQ$5,0)),0)),"")</f>
        <v/>
      </c>
    </row>
    <row r="10" spans="1:14" ht="20" customHeight="1" thickBot="1" x14ac:dyDescent="0.25">
      <c r="A10" s="387">
        <f t="shared" si="1"/>
        <v>46125</v>
      </c>
      <c r="B10" s="385" t="str">
        <f t="shared" si="0"/>
        <v>Monday</v>
      </c>
      <c r="C10" s="386" t="str">
        <f>IFERROR(INDEX(Month!$B$6:$B$45,MATCH(C$2,INDEX(Month!$I$6:$AQ$45,0,MATCH($A10,Month!$I$5:$AQ$5,0)),0)),"")</f>
        <v/>
      </c>
      <c r="D10" s="386" t="str">
        <f>IFERROR(INDEX(Month!$B$6:$B$45,MATCH(D$2,INDEX(Month!$I$6:$AQ$45,0,MATCH($A10,Month!$I$5:$AQ$5,0)),0)),"")</f>
        <v/>
      </c>
      <c r="E10" s="386" t="str">
        <f>IFERROR(INDEX(Month!$B$6:$B$45,MATCH(E$2,INDEX(Month!$I$6:$AQ$45,0,MATCH($A10,Month!$I$5:$AQ$5,0)),0)),"")</f>
        <v/>
      </c>
      <c r="F10" s="386" t="str">
        <f>IFERROR(INDEX(Month!$B$6:$B$45,MATCH(F$2,INDEX(Month!$I$6:$AQ$45,0,MATCH($A10,Month!$I$5:$AQ$5,0)),0)),"")</f>
        <v/>
      </c>
      <c r="G10" s="386" t="str">
        <f>IFERROR(INDEX(Month!$B$6:$B$45,MATCH(G$2,INDEX(Month!$I$6:$AQ$45,0,MATCH($A10,Month!$I$5:$AQ$5,0)),0)),"")</f>
        <v/>
      </c>
      <c r="H10" s="386" t="str">
        <f>IFERROR(INDEX(Month!$B$6:$B$45,MATCH(H$2,INDEX(Month!$I$6:$AQ$45,0,MATCH($A10,Month!$I$5:$AQ$5,0)),0)),"")</f>
        <v/>
      </c>
      <c r="I10" s="386" t="str">
        <f>IFERROR(INDEX(Month!$B$6:$B$45,MATCH(I$2,INDEX(Month!$I$6:$AQ$45,0,MATCH($A10,Month!$I$5:$AQ$5,0)),0)),"")</f>
        <v/>
      </c>
      <c r="J10" s="386" t="str">
        <f>IFERROR(INDEX(Month!$B$6:$B$45,MATCH(J$2,INDEX(Month!$I$6:$AQ$45,0,MATCH($A10,Month!$I$5:$AQ$5,0)),0)),"")</f>
        <v/>
      </c>
      <c r="K10" s="386" t="str">
        <f>IFERROR(INDEX(Month!$B$6:$B$45,MATCH(K$2,INDEX(Month!$I$6:$AQ$45,0,MATCH($A10,Month!$I$5:$AQ$5,0)),0)),"")</f>
        <v/>
      </c>
      <c r="L10" s="386" t="str">
        <f>IFERROR(INDEX(Month!$B$6:$B$45,MATCH(L$2,INDEX(Month!$I$6:$AQ$45,0,MATCH($A10,Month!$I$5:$AQ$5,0)),0)),"")</f>
        <v/>
      </c>
    </row>
    <row r="11" spans="1:14" ht="20" customHeight="1" thickBot="1" x14ac:dyDescent="0.25">
      <c r="A11" s="387">
        <f t="shared" si="1"/>
        <v>46126</v>
      </c>
      <c r="B11" s="385" t="str">
        <f t="shared" si="0"/>
        <v>Tuesday</v>
      </c>
      <c r="C11" s="386" t="str">
        <f>IFERROR(INDEX(Month!$B$6:$B$45,MATCH(C$2,INDEX(Month!$I$6:$AQ$45,0,MATCH($A11,Month!$I$5:$AQ$5,0)),0)),"")</f>
        <v/>
      </c>
      <c r="D11" s="386" t="str">
        <f>IFERROR(INDEX(Month!$B$6:$B$45,MATCH(D$2,INDEX(Month!$I$6:$AQ$45,0,MATCH($A11,Month!$I$5:$AQ$5,0)),0)),"")</f>
        <v/>
      </c>
      <c r="E11" s="386" t="str">
        <f>IFERROR(INDEX(Month!$B$6:$B$45,MATCH(E$2,INDEX(Month!$I$6:$AQ$45,0,MATCH($A11,Month!$I$5:$AQ$5,0)),0)),"")</f>
        <v/>
      </c>
      <c r="F11" s="386" t="str">
        <f>IFERROR(INDEX(Month!$B$6:$B$45,MATCH(F$2,INDEX(Month!$I$6:$AQ$45,0,MATCH($A11,Month!$I$5:$AQ$5,0)),0)),"")</f>
        <v/>
      </c>
      <c r="G11" s="386" t="str">
        <f>IFERROR(INDEX(Month!$B$6:$B$45,MATCH(G$2,INDEX(Month!$I$6:$AQ$45,0,MATCH($A11,Month!$I$5:$AQ$5,0)),0)),"")</f>
        <v/>
      </c>
      <c r="H11" s="386" t="str">
        <f>IFERROR(INDEX(Month!$B$6:$B$45,MATCH(H$2,INDEX(Month!$I$6:$AQ$45,0,MATCH($A11,Month!$I$5:$AQ$5,0)),0)),"")</f>
        <v/>
      </c>
      <c r="I11" s="386" t="str">
        <f>IFERROR(INDEX(Month!$B$6:$B$45,MATCH(I$2,INDEX(Month!$I$6:$AQ$45,0,MATCH($A11,Month!$I$5:$AQ$5,0)),0)),"")</f>
        <v/>
      </c>
      <c r="J11" s="386" t="str">
        <f>IFERROR(INDEX(Month!$B$6:$B$45,MATCH(J$2,INDEX(Month!$I$6:$AQ$45,0,MATCH($A11,Month!$I$5:$AQ$5,0)),0)),"")</f>
        <v/>
      </c>
      <c r="K11" s="386" t="str">
        <f>IFERROR(INDEX(Month!$B$6:$B$45,MATCH(K$2,INDEX(Month!$I$6:$AQ$45,0,MATCH($A11,Month!$I$5:$AQ$5,0)),0)),"")</f>
        <v/>
      </c>
      <c r="L11" s="386" t="str">
        <f>IFERROR(INDEX(Month!$B$6:$B$45,MATCH(L$2,INDEX(Month!$I$6:$AQ$45,0,MATCH($A11,Month!$I$5:$AQ$5,0)),0)),"")</f>
        <v/>
      </c>
    </row>
    <row r="12" spans="1:14" ht="20" customHeight="1" thickBot="1" x14ac:dyDescent="0.25">
      <c r="A12" s="387">
        <f t="shared" si="1"/>
        <v>46127</v>
      </c>
      <c r="B12" s="385" t="str">
        <f t="shared" si="0"/>
        <v>Wednesday</v>
      </c>
      <c r="C12" s="386" t="str">
        <f>IFERROR(INDEX(Month!$B$6:$B$45,MATCH(C$2,INDEX(Month!$I$6:$AQ$45,0,MATCH($A12,Month!$I$5:$AQ$5,0)),0)),"")</f>
        <v/>
      </c>
      <c r="D12" s="386" t="str">
        <f>IFERROR(INDEX(Month!$B$6:$B$45,MATCH(D$2,INDEX(Month!$I$6:$AQ$45,0,MATCH($A12,Month!$I$5:$AQ$5,0)),0)),"")</f>
        <v/>
      </c>
      <c r="E12" s="386" t="str">
        <f>IFERROR(INDEX(Month!$B$6:$B$45,MATCH(E$2,INDEX(Month!$I$6:$AQ$45,0,MATCH($A12,Month!$I$5:$AQ$5,0)),0)),"")</f>
        <v/>
      </c>
      <c r="F12" s="386" t="str">
        <f>IFERROR(INDEX(Month!$B$6:$B$45,MATCH(F$2,INDEX(Month!$I$6:$AQ$45,0,MATCH($A12,Month!$I$5:$AQ$5,0)),0)),"")</f>
        <v/>
      </c>
      <c r="G12" s="386" t="str">
        <f>IFERROR(INDEX(Month!$B$6:$B$45,MATCH(G$2,INDEX(Month!$I$6:$AQ$45,0,MATCH($A12,Month!$I$5:$AQ$5,0)),0)),"")</f>
        <v/>
      </c>
      <c r="H12" s="386" t="str">
        <f>IFERROR(INDEX(Month!$B$6:$B$45,MATCH(H$2,INDEX(Month!$I$6:$AQ$45,0,MATCH($A12,Month!$I$5:$AQ$5,0)),0)),"")</f>
        <v/>
      </c>
      <c r="I12" s="386" t="str">
        <f>IFERROR(INDEX(Month!$B$6:$B$45,MATCH(I$2,INDEX(Month!$I$6:$AQ$45,0,MATCH($A12,Month!$I$5:$AQ$5,0)),0)),"")</f>
        <v/>
      </c>
      <c r="J12" s="386" t="str">
        <f>IFERROR(INDEX(Month!$B$6:$B$45,MATCH(J$2,INDEX(Month!$I$6:$AQ$45,0,MATCH($A12,Month!$I$5:$AQ$5,0)),0)),"")</f>
        <v/>
      </c>
      <c r="K12" s="386" t="str">
        <f>IFERROR(INDEX(Month!$B$6:$B$45,MATCH(K$2,INDEX(Month!$I$6:$AQ$45,0,MATCH($A12,Month!$I$5:$AQ$5,0)),0)),"")</f>
        <v/>
      </c>
      <c r="L12" s="386" t="str">
        <f>IFERROR(INDEX(Month!$B$6:$B$45,MATCH(L$2,INDEX(Month!$I$6:$AQ$45,0,MATCH($A12,Month!$I$5:$AQ$5,0)),0)),"")</f>
        <v/>
      </c>
    </row>
    <row r="13" spans="1:14" ht="20" customHeight="1" thickBot="1" x14ac:dyDescent="0.25">
      <c r="A13" s="387">
        <f t="shared" si="1"/>
        <v>46128</v>
      </c>
      <c r="B13" s="385" t="str">
        <f t="shared" si="0"/>
        <v>Thursday</v>
      </c>
      <c r="C13" s="386" t="str">
        <f>IFERROR(INDEX(Month!$B$6:$B$45,MATCH(C$2,INDEX(Month!$I$6:$AQ$45,0,MATCH($A13,Month!$I$5:$AQ$5,0)),0)),"")</f>
        <v/>
      </c>
      <c r="D13" s="386" t="str">
        <f>IFERROR(INDEX(Month!$B$6:$B$45,MATCH(D$2,INDEX(Month!$I$6:$AQ$45,0,MATCH($A13,Month!$I$5:$AQ$5,0)),0)),"")</f>
        <v/>
      </c>
      <c r="E13" s="386" t="str">
        <f>IFERROR(INDEX(Month!$B$6:$B$45,MATCH(E$2,INDEX(Month!$I$6:$AQ$45,0,MATCH($A13,Month!$I$5:$AQ$5,0)),0)),"")</f>
        <v/>
      </c>
      <c r="F13" s="386" t="str">
        <f>IFERROR(INDEX(Month!$B$6:$B$45,MATCH(F$2,INDEX(Month!$I$6:$AQ$45,0,MATCH($A13,Month!$I$5:$AQ$5,0)),0)),"")</f>
        <v/>
      </c>
      <c r="G13" s="386" t="str">
        <f>IFERROR(INDEX(Month!$B$6:$B$45,MATCH(G$2,INDEX(Month!$I$6:$AQ$45,0,MATCH($A13,Month!$I$5:$AQ$5,0)),0)),"")</f>
        <v/>
      </c>
      <c r="H13" s="386" t="str">
        <f>IFERROR(INDEX(Month!$B$6:$B$45,MATCH(H$2,INDEX(Month!$I$6:$AQ$45,0,MATCH($A13,Month!$I$5:$AQ$5,0)),0)),"")</f>
        <v/>
      </c>
      <c r="I13" s="386" t="str">
        <f>IFERROR(INDEX(Month!$B$6:$B$45,MATCH(I$2,INDEX(Month!$I$6:$AQ$45,0,MATCH($A13,Month!$I$5:$AQ$5,0)),0)),"")</f>
        <v/>
      </c>
      <c r="J13" s="386" t="str">
        <f>IFERROR(INDEX(Month!$B$6:$B$45,MATCH(J$2,INDEX(Month!$I$6:$AQ$45,0,MATCH($A13,Month!$I$5:$AQ$5,0)),0)),"")</f>
        <v/>
      </c>
      <c r="K13" s="386" t="str">
        <f>IFERROR(INDEX(Month!$B$6:$B$45,MATCH(K$2,INDEX(Month!$I$6:$AQ$45,0,MATCH($A13,Month!$I$5:$AQ$5,0)),0)),"")</f>
        <v/>
      </c>
      <c r="L13" s="386" t="str">
        <f>IFERROR(INDEX(Month!$B$6:$B$45,MATCH(L$2,INDEX(Month!$I$6:$AQ$45,0,MATCH($A13,Month!$I$5:$AQ$5,0)),0)),"")</f>
        <v/>
      </c>
    </row>
    <row r="14" spans="1:14" ht="20" customHeight="1" thickBot="1" x14ac:dyDescent="0.25">
      <c r="A14" s="387">
        <f t="shared" si="1"/>
        <v>46129</v>
      </c>
      <c r="B14" s="385" t="str">
        <f t="shared" si="0"/>
        <v>Friday</v>
      </c>
      <c r="C14" s="386" t="str">
        <f>IFERROR(INDEX(Month!$B$6:$B$45,MATCH(C$2,INDEX(Month!$I$6:$AQ$45,0,MATCH($A14,Month!$I$5:$AQ$5,0)),0)),"")</f>
        <v/>
      </c>
      <c r="D14" s="386" t="str">
        <f>IFERROR(INDEX(Month!$B$6:$B$45,MATCH(D$2,INDEX(Month!$I$6:$AQ$45,0,MATCH($A14,Month!$I$5:$AQ$5,0)),0)),"")</f>
        <v/>
      </c>
      <c r="E14" s="386" t="str">
        <f>IFERROR(INDEX(Month!$B$6:$B$45,MATCH(E$2,INDEX(Month!$I$6:$AQ$45,0,MATCH($A14,Month!$I$5:$AQ$5,0)),0)),"")</f>
        <v/>
      </c>
      <c r="F14" s="386" t="str">
        <f>IFERROR(INDEX(Month!$B$6:$B$45,MATCH(F$2,INDEX(Month!$I$6:$AQ$45,0,MATCH($A14,Month!$I$5:$AQ$5,0)),0)),"")</f>
        <v/>
      </c>
      <c r="G14" s="386" t="str">
        <f>IFERROR(INDEX(Month!$B$6:$B$45,MATCH(G$2,INDEX(Month!$I$6:$AQ$45,0,MATCH($A14,Month!$I$5:$AQ$5,0)),0)),"")</f>
        <v/>
      </c>
      <c r="H14" s="386" t="str">
        <f>IFERROR(INDEX(Month!$B$6:$B$45,MATCH(H$2,INDEX(Month!$I$6:$AQ$45,0,MATCH($A14,Month!$I$5:$AQ$5,0)),0)),"")</f>
        <v/>
      </c>
      <c r="I14" s="386" t="str">
        <f>IFERROR(INDEX(Month!$B$6:$B$45,MATCH(I$2,INDEX(Month!$I$6:$AQ$45,0,MATCH($A14,Month!$I$5:$AQ$5,0)),0)),"")</f>
        <v/>
      </c>
      <c r="J14" s="386" t="str">
        <f>IFERROR(INDEX(Month!$B$6:$B$45,MATCH(J$2,INDEX(Month!$I$6:$AQ$45,0,MATCH($A14,Month!$I$5:$AQ$5,0)),0)),"")</f>
        <v/>
      </c>
      <c r="K14" s="386" t="str">
        <f>IFERROR(INDEX(Month!$B$6:$B$45,MATCH(K$2,INDEX(Month!$I$6:$AQ$45,0,MATCH($A14,Month!$I$5:$AQ$5,0)),0)),"")</f>
        <v/>
      </c>
      <c r="L14" s="386" t="str">
        <f>IFERROR(INDEX(Month!$B$6:$B$45,MATCH(L$2,INDEX(Month!$I$6:$AQ$45,0,MATCH($A14,Month!$I$5:$AQ$5,0)),0)),"")</f>
        <v/>
      </c>
    </row>
    <row r="15" spans="1:14" ht="20" customHeight="1" thickBot="1" x14ac:dyDescent="0.25">
      <c r="A15" s="387">
        <f t="shared" si="1"/>
        <v>46130</v>
      </c>
      <c r="B15" s="385" t="str">
        <f t="shared" si="0"/>
        <v>Saturday</v>
      </c>
      <c r="C15" s="386" t="str">
        <f>IFERROR(INDEX(Month!$B$6:$B$45,MATCH(C$2,INDEX(Month!$I$6:$AQ$45,0,MATCH($A15,Month!$I$5:$AQ$5,0)),0)),"")</f>
        <v/>
      </c>
      <c r="D15" s="386" t="str">
        <f>IFERROR(INDEX(Month!$B$6:$B$45,MATCH(D$2,INDEX(Month!$I$6:$AQ$45,0,MATCH($A15,Month!$I$5:$AQ$5,0)),0)),"")</f>
        <v/>
      </c>
      <c r="E15" s="386" t="str">
        <f>IFERROR(INDEX(Month!$B$6:$B$45,MATCH(E$2,INDEX(Month!$I$6:$AQ$45,0,MATCH($A15,Month!$I$5:$AQ$5,0)),0)),"")</f>
        <v/>
      </c>
      <c r="F15" s="386" t="str">
        <f>IFERROR(INDEX(Month!$B$6:$B$45,MATCH(F$2,INDEX(Month!$I$6:$AQ$45,0,MATCH($A15,Month!$I$5:$AQ$5,0)),0)),"")</f>
        <v/>
      </c>
      <c r="G15" s="386" t="str">
        <f>IFERROR(INDEX(Month!$B$6:$B$45,MATCH(G$2,INDEX(Month!$I$6:$AQ$45,0,MATCH($A15,Month!$I$5:$AQ$5,0)),0)),"")</f>
        <v/>
      </c>
      <c r="H15" s="386" t="str">
        <f>IFERROR(INDEX(Month!$B$6:$B$45,MATCH(H$2,INDEX(Month!$I$6:$AQ$45,0,MATCH($A15,Month!$I$5:$AQ$5,0)),0)),"")</f>
        <v/>
      </c>
      <c r="I15" s="386" t="str">
        <f>IFERROR(INDEX(Month!$B$6:$B$45,MATCH(I$2,INDEX(Month!$I$6:$AQ$45,0,MATCH($A15,Month!$I$5:$AQ$5,0)),0)),"")</f>
        <v/>
      </c>
      <c r="J15" s="386" t="str">
        <f>IFERROR(INDEX(Month!$B$6:$B$45,MATCH(J$2,INDEX(Month!$I$6:$AQ$45,0,MATCH($A15,Month!$I$5:$AQ$5,0)),0)),"")</f>
        <v/>
      </c>
      <c r="K15" s="386" t="str">
        <f>IFERROR(INDEX(Month!$B$6:$B$45,MATCH(K$2,INDEX(Month!$I$6:$AQ$45,0,MATCH($A15,Month!$I$5:$AQ$5,0)),0)),"")</f>
        <v/>
      </c>
      <c r="L15" s="386" t="str">
        <f>IFERROR(INDEX(Month!$B$6:$B$45,MATCH(L$2,INDEX(Month!$I$6:$AQ$45,0,MATCH($A15,Month!$I$5:$AQ$5,0)),0)),"")</f>
        <v/>
      </c>
    </row>
    <row r="16" spans="1:14" ht="20" customHeight="1" thickBot="1" x14ac:dyDescent="0.25">
      <c r="A16" s="387">
        <f t="shared" si="1"/>
        <v>46131</v>
      </c>
      <c r="B16" s="385" t="str">
        <f t="shared" si="0"/>
        <v>Sunday</v>
      </c>
      <c r="C16" s="386" t="str">
        <f>IFERROR(INDEX(Month!$B$6:$B$45,MATCH(C$2,INDEX(Month!$I$6:$AQ$45,0,MATCH($A16,Month!$I$5:$AQ$5,0)),0)),"")</f>
        <v/>
      </c>
      <c r="D16" s="386" t="str">
        <f>IFERROR(INDEX(Month!$B$6:$B$45,MATCH(D$2,INDEX(Month!$I$6:$AQ$45,0,MATCH($A16,Month!$I$5:$AQ$5,0)),0)),"")</f>
        <v/>
      </c>
      <c r="E16" s="386" t="str">
        <f>IFERROR(INDEX(Month!$B$6:$B$45,MATCH(E$2,INDEX(Month!$I$6:$AQ$45,0,MATCH($A16,Month!$I$5:$AQ$5,0)),0)),"")</f>
        <v/>
      </c>
      <c r="F16" s="386" t="str">
        <f>IFERROR(INDEX(Month!$B$6:$B$45,MATCH(F$2,INDEX(Month!$I$6:$AQ$45,0,MATCH($A16,Month!$I$5:$AQ$5,0)),0)),"")</f>
        <v/>
      </c>
      <c r="G16" s="386" t="str">
        <f>IFERROR(INDEX(Month!$B$6:$B$45,MATCH(G$2,INDEX(Month!$I$6:$AQ$45,0,MATCH($A16,Month!$I$5:$AQ$5,0)),0)),"")</f>
        <v/>
      </c>
      <c r="H16" s="386" t="str">
        <f>IFERROR(INDEX(Month!$B$6:$B$45,MATCH(H$2,INDEX(Month!$I$6:$AQ$45,0,MATCH($A16,Month!$I$5:$AQ$5,0)),0)),"")</f>
        <v/>
      </c>
      <c r="I16" s="386" t="str">
        <f>IFERROR(INDEX(Month!$B$6:$B$45,MATCH(I$2,INDEX(Month!$I$6:$AQ$45,0,MATCH($A16,Month!$I$5:$AQ$5,0)),0)),"")</f>
        <v/>
      </c>
      <c r="J16" s="386" t="str">
        <f>IFERROR(INDEX(Month!$B$6:$B$45,MATCH(J$2,INDEX(Month!$I$6:$AQ$45,0,MATCH($A16,Month!$I$5:$AQ$5,0)),0)),"")</f>
        <v/>
      </c>
      <c r="K16" s="386" t="str">
        <f>IFERROR(INDEX(Month!$B$6:$B$45,MATCH(K$2,INDEX(Month!$I$6:$AQ$45,0,MATCH($A16,Month!$I$5:$AQ$5,0)),0)),"")</f>
        <v/>
      </c>
      <c r="L16" s="386" t="str">
        <f>IFERROR(INDEX(Month!$B$6:$B$45,MATCH(L$2,INDEX(Month!$I$6:$AQ$45,0,MATCH($A16,Month!$I$5:$AQ$5,0)),0)),"")</f>
        <v/>
      </c>
    </row>
    <row r="17" spans="1:12" ht="20" customHeight="1" thickBot="1" x14ac:dyDescent="0.25">
      <c r="A17" s="387">
        <f t="shared" si="1"/>
        <v>46132</v>
      </c>
      <c r="B17" s="385" t="str">
        <f t="shared" si="0"/>
        <v>Monday</v>
      </c>
      <c r="C17" s="386" t="str">
        <f>IFERROR(INDEX(Month!$B$6:$B$45,MATCH(C$2,INDEX(Month!$I$6:$AQ$45,0,MATCH($A17,Month!$I$5:$AQ$5,0)),0)),"")</f>
        <v/>
      </c>
      <c r="D17" s="386" t="str">
        <f>IFERROR(INDEX(Month!$B$6:$B$45,MATCH(D$2,INDEX(Month!$I$6:$AQ$45,0,MATCH($A17,Month!$I$5:$AQ$5,0)),0)),"")</f>
        <v/>
      </c>
      <c r="E17" s="386" t="str">
        <f>IFERROR(INDEX(Month!$B$6:$B$45,MATCH(E$2,INDEX(Month!$I$6:$AQ$45,0,MATCH($A17,Month!$I$5:$AQ$5,0)),0)),"")</f>
        <v/>
      </c>
      <c r="F17" s="386" t="str">
        <f>IFERROR(INDEX(Month!$B$6:$B$45,MATCH(F$2,INDEX(Month!$I$6:$AQ$45,0,MATCH($A17,Month!$I$5:$AQ$5,0)),0)),"")</f>
        <v/>
      </c>
      <c r="G17" s="386" t="str">
        <f>IFERROR(INDEX(Month!$B$6:$B$45,MATCH(G$2,INDEX(Month!$I$6:$AQ$45,0,MATCH($A17,Month!$I$5:$AQ$5,0)),0)),"")</f>
        <v/>
      </c>
      <c r="H17" s="386" t="str">
        <f>IFERROR(INDEX(Month!$B$6:$B$45,MATCH(H$2,INDEX(Month!$I$6:$AQ$45,0,MATCH($A17,Month!$I$5:$AQ$5,0)),0)),"")</f>
        <v/>
      </c>
      <c r="I17" s="386" t="str">
        <f>IFERROR(INDEX(Month!$B$6:$B$45,MATCH(I$2,INDEX(Month!$I$6:$AQ$45,0,MATCH($A17,Month!$I$5:$AQ$5,0)),0)),"")</f>
        <v/>
      </c>
      <c r="J17" s="386" t="str">
        <f>IFERROR(INDEX(Month!$B$6:$B$45,MATCH(J$2,INDEX(Month!$I$6:$AQ$45,0,MATCH($A17,Month!$I$5:$AQ$5,0)),0)),"")</f>
        <v/>
      </c>
      <c r="K17" s="386" t="str">
        <f>IFERROR(INDEX(Month!$B$6:$B$45,MATCH(K$2,INDEX(Month!$I$6:$AQ$45,0,MATCH($A17,Month!$I$5:$AQ$5,0)),0)),"")</f>
        <v/>
      </c>
      <c r="L17" s="386" t="str">
        <f>IFERROR(INDEX(Month!$B$6:$B$45,MATCH(L$2,INDEX(Month!$I$6:$AQ$45,0,MATCH($A17,Month!$I$5:$AQ$5,0)),0)),"")</f>
        <v/>
      </c>
    </row>
    <row r="18" spans="1:12" ht="20" customHeight="1" thickBot="1" x14ac:dyDescent="0.25">
      <c r="A18" s="387">
        <f t="shared" si="1"/>
        <v>46133</v>
      </c>
      <c r="B18" s="385" t="str">
        <f t="shared" si="0"/>
        <v>Tuesday</v>
      </c>
      <c r="C18" s="386" t="str">
        <f>IFERROR(INDEX(Month!$B$6:$B$45,MATCH(C$2,INDEX(Month!$I$6:$AQ$45,0,MATCH($A18,Month!$I$5:$AQ$5,0)),0)),"")</f>
        <v/>
      </c>
      <c r="D18" s="386" t="str">
        <f>IFERROR(INDEX(Month!$B$6:$B$45,MATCH(D$2,INDEX(Month!$I$6:$AQ$45,0,MATCH($A18,Month!$I$5:$AQ$5,0)),0)),"")</f>
        <v/>
      </c>
      <c r="E18" s="386" t="str">
        <f>IFERROR(INDEX(Month!$B$6:$B$45,MATCH(E$2,INDEX(Month!$I$6:$AQ$45,0,MATCH($A18,Month!$I$5:$AQ$5,0)),0)),"")</f>
        <v/>
      </c>
      <c r="F18" s="386" t="str">
        <f>IFERROR(INDEX(Month!$B$6:$B$45,MATCH(F$2,INDEX(Month!$I$6:$AQ$45,0,MATCH($A18,Month!$I$5:$AQ$5,0)),0)),"")</f>
        <v/>
      </c>
      <c r="G18" s="386" t="str">
        <f>IFERROR(INDEX(Month!$B$6:$B$45,MATCH(G$2,INDEX(Month!$I$6:$AQ$45,0,MATCH($A18,Month!$I$5:$AQ$5,0)),0)),"")</f>
        <v/>
      </c>
      <c r="H18" s="386" t="str">
        <f>IFERROR(INDEX(Month!$B$6:$B$45,MATCH(H$2,INDEX(Month!$I$6:$AQ$45,0,MATCH($A18,Month!$I$5:$AQ$5,0)),0)),"")</f>
        <v/>
      </c>
      <c r="I18" s="386" t="str">
        <f>IFERROR(INDEX(Month!$B$6:$B$45,MATCH(I$2,INDEX(Month!$I$6:$AQ$45,0,MATCH($A18,Month!$I$5:$AQ$5,0)),0)),"")</f>
        <v/>
      </c>
      <c r="J18" s="386" t="str">
        <f>IFERROR(INDEX(Month!$B$6:$B$45,MATCH(J$2,INDEX(Month!$I$6:$AQ$45,0,MATCH($A18,Month!$I$5:$AQ$5,0)),0)),"")</f>
        <v/>
      </c>
      <c r="K18" s="386" t="str">
        <f>IFERROR(INDEX(Month!$B$6:$B$45,MATCH(K$2,INDEX(Month!$I$6:$AQ$45,0,MATCH($A18,Month!$I$5:$AQ$5,0)),0)),"")</f>
        <v/>
      </c>
      <c r="L18" s="386" t="str">
        <f>IFERROR(INDEX(Month!$B$6:$B$45,MATCH(L$2,INDEX(Month!$I$6:$AQ$45,0,MATCH($A18,Month!$I$5:$AQ$5,0)),0)),"")</f>
        <v/>
      </c>
    </row>
    <row r="19" spans="1:12" ht="20" customHeight="1" thickBot="1" x14ac:dyDescent="0.25">
      <c r="A19" s="387">
        <f t="shared" si="1"/>
        <v>46134</v>
      </c>
      <c r="B19" s="385" t="str">
        <f t="shared" si="0"/>
        <v>Wednesday</v>
      </c>
      <c r="C19" s="386" t="str">
        <f>IFERROR(INDEX(Month!$B$6:$B$45,MATCH(C$2,INDEX(Month!$I$6:$AQ$45,0,MATCH($A19,Month!$I$5:$AQ$5,0)),0)),"")</f>
        <v/>
      </c>
      <c r="D19" s="386" t="str">
        <f>IFERROR(INDEX(Month!$B$6:$B$45,MATCH(D$2,INDEX(Month!$I$6:$AQ$45,0,MATCH($A19,Month!$I$5:$AQ$5,0)),0)),"")</f>
        <v/>
      </c>
      <c r="E19" s="386" t="str">
        <f>IFERROR(INDEX(Month!$B$6:$B$45,MATCH(E$2,INDEX(Month!$I$6:$AQ$45,0,MATCH($A19,Month!$I$5:$AQ$5,0)),0)),"")</f>
        <v/>
      </c>
      <c r="F19" s="386" t="str">
        <f>IFERROR(INDEX(Month!$B$6:$B$45,MATCH(F$2,INDEX(Month!$I$6:$AQ$45,0,MATCH($A19,Month!$I$5:$AQ$5,0)),0)),"")</f>
        <v/>
      </c>
      <c r="G19" s="386" t="str">
        <f>IFERROR(INDEX(Month!$B$6:$B$45,MATCH(G$2,INDEX(Month!$I$6:$AQ$45,0,MATCH($A19,Month!$I$5:$AQ$5,0)),0)),"")</f>
        <v/>
      </c>
      <c r="H19" s="386" t="str">
        <f>IFERROR(INDEX(Month!$B$6:$B$45,MATCH(H$2,INDEX(Month!$I$6:$AQ$45,0,MATCH($A19,Month!$I$5:$AQ$5,0)),0)),"")</f>
        <v/>
      </c>
      <c r="I19" s="386" t="str">
        <f>IFERROR(INDEX(Month!$B$6:$B$45,MATCH(I$2,INDEX(Month!$I$6:$AQ$45,0,MATCH($A19,Month!$I$5:$AQ$5,0)),0)),"")</f>
        <v/>
      </c>
      <c r="J19" s="386" t="str">
        <f>IFERROR(INDEX(Month!$B$6:$B$45,MATCH(J$2,INDEX(Month!$I$6:$AQ$45,0,MATCH($A19,Month!$I$5:$AQ$5,0)),0)),"")</f>
        <v/>
      </c>
      <c r="K19" s="386" t="str">
        <f>IFERROR(INDEX(Month!$B$6:$B$45,MATCH(K$2,INDEX(Month!$I$6:$AQ$45,0,MATCH($A19,Month!$I$5:$AQ$5,0)),0)),"")</f>
        <v/>
      </c>
      <c r="L19" s="386" t="str">
        <f>IFERROR(INDEX(Month!$B$6:$B$45,MATCH(L$2,INDEX(Month!$I$6:$AQ$45,0,MATCH($A19,Month!$I$5:$AQ$5,0)),0)),"")</f>
        <v/>
      </c>
    </row>
    <row r="20" spans="1:12" ht="20" customHeight="1" thickBot="1" x14ac:dyDescent="0.25">
      <c r="A20" s="387">
        <f t="shared" si="1"/>
        <v>46135</v>
      </c>
      <c r="B20" s="385" t="str">
        <f t="shared" si="0"/>
        <v>Thursday</v>
      </c>
      <c r="C20" s="386" t="str">
        <f>IFERROR(INDEX(Month!$B$6:$B$45,MATCH(C$2,INDEX(Month!$I$6:$AQ$45,0,MATCH($A20,Month!$I$5:$AQ$5,0)),0)),"")</f>
        <v/>
      </c>
      <c r="D20" s="386" t="str">
        <f>IFERROR(INDEX(Month!$B$6:$B$45,MATCH(D$2,INDEX(Month!$I$6:$AQ$45,0,MATCH($A20,Month!$I$5:$AQ$5,0)),0)),"")</f>
        <v/>
      </c>
      <c r="E20" s="386" t="str">
        <f>IFERROR(INDEX(Month!$B$6:$B$45,MATCH(E$2,INDEX(Month!$I$6:$AQ$45,0,MATCH($A20,Month!$I$5:$AQ$5,0)),0)),"")</f>
        <v/>
      </c>
      <c r="F20" s="386" t="str">
        <f>IFERROR(INDEX(Month!$B$6:$B$45,MATCH(F$2,INDEX(Month!$I$6:$AQ$45,0,MATCH($A20,Month!$I$5:$AQ$5,0)),0)),"")</f>
        <v/>
      </c>
      <c r="G20" s="386" t="str">
        <f>IFERROR(INDEX(Month!$B$6:$B$45,MATCH(G$2,INDEX(Month!$I$6:$AQ$45,0,MATCH($A20,Month!$I$5:$AQ$5,0)),0)),"")</f>
        <v/>
      </c>
      <c r="H20" s="386" t="str">
        <f>IFERROR(INDEX(Month!$B$6:$B$45,MATCH(H$2,INDEX(Month!$I$6:$AQ$45,0,MATCH($A20,Month!$I$5:$AQ$5,0)),0)),"")</f>
        <v/>
      </c>
      <c r="I20" s="386" t="str">
        <f>IFERROR(INDEX(Month!$B$6:$B$45,MATCH(I$2,INDEX(Month!$I$6:$AQ$45,0,MATCH($A20,Month!$I$5:$AQ$5,0)),0)),"")</f>
        <v/>
      </c>
      <c r="J20" s="386" t="str">
        <f>IFERROR(INDEX(Month!$B$6:$B$45,MATCH(J$2,INDEX(Month!$I$6:$AQ$45,0,MATCH($A20,Month!$I$5:$AQ$5,0)),0)),"")</f>
        <v/>
      </c>
      <c r="K20" s="386" t="str">
        <f>IFERROR(INDEX(Month!$B$6:$B$45,MATCH(K$2,INDEX(Month!$I$6:$AQ$45,0,MATCH($A20,Month!$I$5:$AQ$5,0)),0)),"")</f>
        <v/>
      </c>
      <c r="L20" s="386" t="str">
        <f>IFERROR(INDEX(Month!$B$6:$B$45,MATCH(L$2,INDEX(Month!$I$6:$AQ$45,0,MATCH($A20,Month!$I$5:$AQ$5,0)),0)),"")</f>
        <v/>
      </c>
    </row>
    <row r="21" spans="1:12" ht="20" customHeight="1" thickBot="1" x14ac:dyDescent="0.25">
      <c r="A21" s="387">
        <f t="shared" si="1"/>
        <v>46136</v>
      </c>
      <c r="B21" s="385" t="str">
        <f t="shared" si="0"/>
        <v>Friday</v>
      </c>
      <c r="C21" s="386" t="str">
        <f>IFERROR(INDEX(Month!$B$6:$B$45,MATCH(C$2,INDEX(Month!$I$6:$AQ$45,0,MATCH($A21,Month!$I$5:$AQ$5,0)),0)),"")</f>
        <v/>
      </c>
      <c r="D21" s="386" t="str">
        <f>IFERROR(INDEX(Month!$B$6:$B$45,MATCH(D$2,INDEX(Month!$I$6:$AQ$45,0,MATCH($A21,Month!$I$5:$AQ$5,0)),0)),"")</f>
        <v/>
      </c>
      <c r="E21" s="386" t="str">
        <f>IFERROR(INDEX(Month!$B$6:$B$45,MATCH(E$2,INDEX(Month!$I$6:$AQ$45,0,MATCH($A21,Month!$I$5:$AQ$5,0)),0)),"")</f>
        <v/>
      </c>
      <c r="F21" s="386" t="str">
        <f>IFERROR(INDEX(Month!$B$6:$B$45,MATCH(F$2,INDEX(Month!$I$6:$AQ$45,0,MATCH($A21,Month!$I$5:$AQ$5,0)),0)),"")</f>
        <v/>
      </c>
      <c r="G21" s="386" t="str">
        <f>IFERROR(INDEX(Month!$B$6:$B$45,MATCH(G$2,INDEX(Month!$I$6:$AQ$45,0,MATCH($A21,Month!$I$5:$AQ$5,0)),0)),"")</f>
        <v/>
      </c>
      <c r="H21" s="386" t="str">
        <f>IFERROR(INDEX(Month!$B$6:$B$45,MATCH(H$2,INDEX(Month!$I$6:$AQ$45,0,MATCH($A21,Month!$I$5:$AQ$5,0)),0)),"")</f>
        <v/>
      </c>
      <c r="I21" s="386" t="str">
        <f>IFERROR(INDEX(Month!$B$6:$B$45,MATCH(I$2,INDEX(Month!$I$6:$AQ$45,0,MATCH($A21,Month!$I$5:$AQ$5,0)),0)),"")</f>
        <v/>
      </c>
      <c r="J21" s="386" t="str">
        <f>IFERROR(INDEX(Month!$B$6:$B$45,MATCH(J$2,INDEX(Month!$I$6:$AQ$45,0,MATCH($A21,Month!$I$5:$AQ$5,0)),0)),"")</f>
        <v/>
      </c>
      <c r="K21" s="386" t="str">
        <f>IFERROR(INDEX(Month!$B$6:$B$45,MATCH(K$2,INDEX(Month!$I$6:$AQ$45,0,MATCH($A21,Month!$I$5:$AQ$5,0)),0)),"")</f>
        <v/>
      </c>
      <c r="L21" s="386" t="str">
        <f>IFERROR(INDEX(Month!$B$6:$B$45,MATCH(L$2,INDEX(Month!$I$6:$AQ$45,0,MATCH($A21,Month!$I$5:$AQ$5,0)),0)),"")</f>
        <v/>
      </c>
    </row>
    <row r="22" spans="1:12" ht="20" customHeight="1" thickBot="1" x14ac:dyDescent="0.25">
      <c r="A22" s="387">
        <f t="shared" si="1"/>
        <v>46137</v>
      </c>
      <c r="B22" s="385" t="str">
        <f t="shared" si="0"/>
        <v>Saturday</v>
      </c>
      <c r="C22" s="386" t="str">
        <f>IFERROR(INDEX(Month!$B$6:$B$45,MATCH(C$2,INDEX(Month!$I$6:$AQ$45,0,MATCH($A22,Month!$I$5:$AQ$5,0)),0)),"")</f>
        <v/>
      </c>
      <c r="D22" s="386" t="str">
        <f>IFERROR(INDEX(Month!$B$6:$B$45,MATCH(D$2,INDEX(Month!$I$6:$AQ$45,0,MATCH($A22,Month!$I$5:$AQ$5,0)),0)),"")</f>
        <v/>
      </c>
      <c r="E22" s="386" t="str">
        <f>IFERROR(INDEX(Month!$B$6:$B$45,MATCH(E$2,INDEX(Month!$I$6:$AQ$45,0,MATCH($A22,Month!$I$5:$AQ$5,0)),0)),"")</f>
        <v/>
      </c>
      <c r="F22" s="386" t="str">
        <f>IFERROR(INDEX(Month!$B$6:$B$45,MATCH(F$2,INDEX(Month!$I$6:$AQ$45,0,MATCH($A22,Month!$I$5:$AQ$5,0)),0)),"")</f>
        <v/>
      </c>
      <c r="G22" s="386" t="str">
        <f>IFERROR(INDEX(Month!$B$6:$B$45,MATCH(G$2,INDEX(Month!$I$6:$AQ$45,0,MATCH($A22,Month!$I$5:$AQ$5,0)),0)),"")</f>
        <v/>
      </c>
      <c r="H22" s="386" t="str">
        <f>IFERROR(INDEX(Month!$B$6:$B$45,MATCH(H$2,INDEX(Month!$I$6:$AQ$45,0,MATCH($A22,Month!$I$5:$AQ$5,0)),0)),"")</f>
        <v/>
      </c>
      <c r="I22" s="386" t="str">
        <f>IFERROR(INDEX(Month!$B$6:$B$45,MATCH(I$2,INDEX(Month!$I$6:$AQ$45,0,MATCH($A22,Month!$I$5:$AQ$5,0)),0)),"")</f>
        <v/>
      </c>
      <c r="J22" s="386" t="str">
        <f>IFERROR(INDEX(Month!$B$6:$B$45,MATCH(J$2,INDEX(Month!$I$6:$AQ$45,0,MATCH($A22,Month!$I$5:$AQ$5,0)),0)),"")</f>
        <v/>
      </c>
      <c r="K22" s="386" t="str">
        <f>IFERROR(INDEX(Month!$B$6:$B$45,MATCH(K$2,INDEX(Month!$I$6:$AQ$45,0,MATCH($A22,Month!$I$5:$AQ$5,0)),0)),"")</f>
        <v/>
      </c>
      <c r="L22" s="386" t="str">
        <f>IFERROR(INDEX(Month!$B$6:$B$45,MATCH(L$2,INDEX(Month!$I$6:$AQ$45,0,MATCH($A22,Month!$I$5:$AQ$5,0)),0)),"")</f>
        <v/>
      </c>
    </row>
    <row r="23" spans="1:12" ht="20" customHeight="1" thickBot="1" x14ac:dyDescent="0.25">
      <c r="A23" s="387">
        <f t="shared" si="1"/>
        <v>46138</v>
      </c>
      <c r="B23" s="385" t="str">
        <f t="shared" si="0"/>
        <v>Sunday</v>
      </c>
      <c r="C23" s="386" t="str">
        <f>IFERROR(INDEX(Month!$B$6:$B$45,MATCH(C$2,INDEX(Month!$I$6:$AQ$45,0,MATCH($A23,Month!$I$5:$AQ$5,0)),0)),"")</f>
        <v/>
      </c>
      <c r="D23" s="386" t="str">
        <f>IFERROR(INDEX(Month!$B$6:$B$45,MATCH(D$2,INDEX(Month!$I$6:$AQ$45,0,MATCH($A23,Month!$I$5:$AQ$5,0)),0)),"")</f>
        <v/>
      </c>
      <c r="E23" s="386" t="str">
        <f>IFERROR(INDEX(Month!$B$6:$B$45,MATCH(E$2,INDEX(Month!$I$6:$AQ$45,0,MATCH($A23,Month!$I$5:$AQ$5,0)),0)),"")</f>
        <v/>
      </c>
      <c r="F23" s="386" t="str">
        <f>IFERROR(INDEX(Month!$B$6:$B$45,MATCH(F$2,INDEX(Month!$I$6:$AQ$45,0,MATCH($A23,Month!$I$5:$AQ$5,0)),0)),"")</f>
        <v/>
      </c>
      <c r="G23" s="386" t="str">
        <f>IFERROR(INDEX(Month!$B$6:$B$45,MATCH(G$2,INDEX(Month!$I$6:$AQ$45,0,MATCH($A23,Month!$I$5:$AQ$5,0)),0)),"")</f>
        <v/>
      </c>
      <c r="H23" s="386" t="str">
        <f>IFERROR(INDEX(Month!$B$6:$B$45,MATCH(H$2,INDEX(Month!$I$6:$AQ$45,0,MATCH($A23,Month!$I$5:$AQ$5,0)),0)),"")</f>
        <v/>
      </c>
      <c r="I23" s="386" t="str">
        <f>IFERROR(INDEX(Month!$B$6:$B$45,MATCH(I$2,INDEX(Month!$I$6:$AQ$45,0,MATCH($A23,Month!$I$5:$AQ$5,0)),0)),"")</f>
        <v/>
      </c>
      <c r="J23" s="386" t="str">
        <f>IFERROR(INDEX(Month!$B$6:$B$45,MATCH(J$2,INDEX(Month!$I$6:$AQ$45,0,MATCH($A23,Month!$I$5:$AQ$5,0)),0)),"")</f>
        <v/>
      </c>
      <c r="K23" s="386" t="str">
        <f>IFERROR(INDEX(Month!$B$6:$B$45,MATCH(K$2,INDEX(Month!$I$6:$AQ$45,0,MATCH($A23,Month!$I$5:$AQ$5,0)),0)),"")</f>
        <v/>
      </c>
      <c r="L23" s="386" t="str">
        <f>IFERROR(INDEX(Month!$B$6:$B$45,MATCH(L$2,INDEX(Month!$I$6:$AQ$45,0,MATCH($A23,Month!$I$5:$AQ$5,0)),0)),"")</f>
        <v/>
      </c>
    </row>
    <row r="24" spans="1:12" ht="20" customHeight="1" thickBot="1" x14ac:dyDescent="0.25">
      <c r="A24" s="387">
        <f t="shared" si="1"/>
        <v>46139</v>
      </c>
      <c r="B24" s="385" t="str">
        <f t="shared" si="0"/>
        <v>Monday</v>
      </c>
      <c r="C24" s="386" t="str">
        <f>IFERROR(INDEX(Month!$B$6:$B$45,MATCH(C$2,INDEX(Month!$I$6:$AQ$45,0,MATCH($A24,Month!$I$5:$AQ$5,0)),0)),"")</f>
        <v/>
      </c>
      <c r="D24" s="386" t="str">
        <f>IFERROR(INDEX(Month!$B$6:$B$45,MATCH(D$2,INDEX(Month!$I$6:$AQ$45,0,MATCH($A24,Month!$I$5:$AQ$5,0)),0)),"")</f>
        <v/>
      </c>
      <c r="E24" s="386" t="str">
        <f>IFERROR(INDEX(Month!$B$6:$B$45,MATCH(E$2,INDEX(Month!$I$6:$AQ$45,0,MATCH($A24,Month!$I$5:$AQ$5,0)),0)),"")</f>
        <v/>
      </c>
      <c r="F24" s="386" t="str">
        <f>IFERROR(INDEX(Month!$B$6:$B$45,MATCH(F$2,INDEX(Month!$I$6:$AQ$45,0,MATCH($A24,Month!$I$5:$AQ$5,0)),0)),"")</f>
        <v/>
      </c>
      <c r="G24" s="386" t="str">
        <f>IFERROR(INDEX(Month!$B$6:$B$45,MATCH(G$2,INDEX(Month!$I$6:$AQ$45,0,MATCH($A24,Month!$I$5:$AQ$5,0)),0)),"")</f>
        <v/>
      </c>
      <c r="H24" s="386" t="str">
        <f>IFERROR(INDEX(Month!$B$6:$B$45,MATCH(H$2,INDEX(Month!$I$6:$AQ$45,0,MATCH($A24,Month!$I$5:$AQ$5,0)),0)),"")</f>
        <v/>
      </c>
      <c r="I24" s="386" t="str">
        <f>IFERROR(INDEX(Month!$B$6:$B$45,MATCH(I$2,INDEX(Month!$I$6:$AQ$45,0,MATCH($A24,Month!$I$5:$AQ$5,0)),0)),"")</f>
        <v/>
      </c>
      <c r="J24" s="386" t="str">
        <f>IFERROR(INDEX(Month!$B$6:$B$45,MATCH(J$2,INDEX(Month!$I$6:$AQ$45,0,MATCH($A24,Month!$I$5:$AQ$5,0)),0)),"")</f>
        <v/>
      </c>
      <c r="K24" s="386" t="str">
        <f>IFERROR(INDEX(Month!$B$6:$B$45,MATCH(K$2,INDEX(Month!$I$6:$AQ$45,0,MATCH($A24,Month!$I$5:$AQ$5,0)),0)),"")</f>
        <v/>
      </c>
      <c r="L24" s="386" t="str">
        <f>IFERROR(INDEX(Month!$B$6:$B$45,MATCH(L$2,INDEX(Month!$I$6:$AQ$45,0,MATCH($A24,Month!$I$5:$AQ$5,0)),0)),"")</f>
        <v/>
      </c>
    </row>
    <row r="25" spans="1:12" ht="20" customHeight="1" thickBot="1" x14ac:dyDescent="0.25">
      <c r="A25" s="387">
        <f t="shared" si="1"/>
        <v>46140</v>
      </c>
      <c r="B25" s="385" t="str">
        <f t="shared" si="0"/>
        <v>Tuesday</v>
      </c>
      <c r="C25" s="386" t="str">
        <f>IFERROR(INDEX(Month!$B$6:$B$45,MATCH(C$2,INDEX(Month!$I$6:$AQ$45,0,MATCH($A25,Month!$I$5:$AQ$5,0)),0)),"")</f>
        <v/>
      </c>
      <c r="D25" s="386" t="str">
        <f>IFERROR(INDEX(Month!$B$6:$B$45,MATCH(D$2,INDEX(Month!$I$6:$AQ$45,0,MATCH($A25,Month!$I$5:$AQ$5,0)),0)),"")</f>
        <v/>
      </c>
      <c r="E25" s="386" t="str">
        <f>IFERROR(INDEX(Month!$B$6:$B$45,MATCH(E$2,INDEX(Month!$I$6:$AQ$45,0,MATCH($A25,Month!$I$5:$AQ$5,0)),0)),"")</f>
        <v/>
      </c>
      <c r="F25" s="386" t="str">
        <f>IFERROR(INDEX(Month!$B$6:$B$45,MATCH(F$2,INDEX(Month!$I$6:$AQ$45,0,MATCH($A25,Month!$I$5:$AQ$5,0)),0)),"")</f>
        <v/>
      </c>
      <c r="G25" s="386" t="str">
        <f>IFERROR(INDEX(Month!$B$6:$B$45,MATCH(G$2,INDEX(Month!$I$6:$AQ$45,0,MATCH($A25,Month!$I$5:$AQ$5,0)),0)),"")</f>
        <v/>
      </c>
      <c r="H25" s="386" t="str">
        <f>IFERROR(INDEX(Month!$B$6:$B$45,MATCH(H$2,INDEX(Month!$I$6:$AQ$45,0,MATCH($A25,Month!$I$5:$AQ$5,0)),0)),"")</f>
        <v/>
      </c>
      <c r="I25" s="386" t="str">
        <f>IFERROR(INDEX(Month!$B$6:$B$45,MATCH(I$2,INDEX(Month!$I$6:$AQ$45,0,MATCH($A25,Month!$I$5:$AQ$5,0)),0)),"")</f>
        <v/>
      </c>
      <c r="J25" s="386" t="str">
        <f>IFERROR(INDEX(Month!$B$6:$B$45,MATCH(J$2,INDEX(Month!$I$6:$AQ$45,0,MATCH($A25,Month!$I$5:$AQ$5,0)),0)),"")</f>
        <v/>
      </c>
      <c r="K25" s="386" t="str">
        <f>IFERROR(INDEX(Month!$B$6:$B$45,MATCH(K$2,INDEX(Month!$I$6:$AQ$45,0,MATCH($A25,Month!$I$5:$AQ$5,0)),0)),"")</f>
        <v/>
      </c>
      <c r="L25" s="386" t="str">
        <f>IFERROR(INDEX(Month!$B$6:$B$45,MATCH(L$2,INDEX(Month!$I$6:$AQ$45,0,MATCH($A25,Month!$I$5:$AQ$5,0)),0)),"")</f>
        <v/>
      </c>
    </row>
    <row r="26" spans="1:12" ht="20" customHeight="1" thickBot="1" x14ac:dyDescent="0.25">
      <c r="A26" s="387">
        <f t="shared" si="1"/>
        <v>46141</v>
      </c>
      <c r="B26" s="385" t="str">
        <f t="shared" si="0"/>
        <v>Wednesday</v>
      </c>
      <c r="C26" s="386" t="str">
        <f>IFERROR(INDEX(Month!$B$6:$B$45,MATCH(C$2,INDEX(Month!$I$6:$AQ$45,0,MATCH($A26,Month!$I$5:$AQ$5,0)),0)),"")</f>
        <v/>
      </c>
      <c r="D26" s="386" t="str">
        <f>IFERROR(INDEX(Month!$B$6:$B$45,MATCH(D$2,INDEX(Month!$I$6:$AQ$45,0,MATCH($A26,Month!$I$5:$AQ$5,0)),0)),"")</f>
        <v/>
      </c>
      <c r="E26" s="386" t="str">
        <f>IFERROR(INDEX(Month!$B$6:$B$45,MATCH(E$2,INDEX(Month!$I$6:$AQ$45,0,MATCH($A26,Month!$I$5:$AQ$5,0)),0)),"")</f>
        <v/>
      </c>
      <c r="F26" s="386" t="str">
        <f>IFERROR(INDEX(Month!$B$6:$B$45,MATCH(F$2,INDEX(Month!$I$6:$AQ$45,0,MATCH($A26,Month!$I$5:$AQ$5,0)),0)),"")</f>
        <v/>
      </c>
      <c r="G26" s="386" t="str">
        <f>IFERROR(INDEX(Month!$B$6:$B$45,MATCH(G$2,INDEX(Month!$I$6:$AQ$45,0,MATCH($A26,Month!$I$5:$AQ$5,0)),0)),"")</f>
        <v/>
      </c>
      <c r="H26" s="386" t="str">
        <f>IFERROR(INDEX(Month!$B$6:$B$45,MATCH(H$2,INDEX(Month!$I$6:$AQ$45,0,MATCH($A26,Month!$I$5:$AQ$5,0)),0)),"")</f>
        <v/>
      </c>
      <c r="I26" s="386" t="str">
        <f>IFERROR(INDEX(Month!$B$6:$B$45,MATCH(I$2,INDEX(Month!$I$6:$AQ$45,0,MATCH($A26,Month!$I$5:$AQ$5,0)),0)),"")</f>
        <v/>
      </c>
      <c r="J26" s="386" t="str">
        <f>IFERROR(INDEX(Month!$B$6:$B$45,MATCH(J$2,INDEX(Month!$I$6:$AQ$45,0,MATCH($A26,Month!$I$5:$AQ$5,0)),0)),"")</f>
        <v/>
      </c>
      <c r="K26" s="386" t="str">
        <f>IFERROR(INDEX(Month!$B$6:$B$45,MATCH(K$2,INDEX(Month!$I$6:$AQ$45,0,MATCH($A26,Month!$I$5:$AQ$5,0)),0)),"")</f>
        <v/>
      </c>
      <c r="L26" s="386" t="str">
        <f>IFERROR(INDEX(Month!$B$6:$B$45,MATCH(L$2,INDEX(Month!$I$6:$AQ$45,0,MATCH($A26,Month!$I$5:$AQ$5,0)),0)),"")</f>
        <v/>
      </c>
    </row>
    <row r="27" spans="1:12" ht="20" customHeight="1" thickBot="1" x14ac:dyDescent="0.25">
      <c r="A27" s="387">
        <f t="shared" si="1"/>
        <v>46142</v>
      </c>
      <c r="B27" s="385" t="str">
        <f t="shared" si="0"/>
        <v>Thursday</v>
      </c>
      <c r="C27" s="386" t="str">
        <f>IFERROR(INDEX(Month!$B$6:$B$45,MATCH(C$2,INDEX(Month!$I$6:$AQ$45,0,MATCH($A27,Month!$I$5:$AQ$5,0)),0)),"")</f>
        <v/>
      </c>
      <c r="D27" s="386" t="str">
        <f>IFERROR(INDEX(Month!$B$6:$B$45,MATCH(D$2,INDEX(Month!$I$6:$AQ$45,0,MATCH($A27,Month!$I$5:$AQ$5,0)),0)),"")</f>
        <v/>
      </c>
      <c r="E27" s="386" t="str">
        <f>IFERROR(INDEX(Month!$B$6:$B$45,MATCH(E$2,INDEX(Month!$I$6:$AQ$45,0,MATCH($A27,Month!$I$5:$AQ$5,0)),0)),"")</f>
        <v/>
      </c>
      <c r="F27" s="386" t="str">
        <f>IFERROR(INDEX(Month!$B$6:$B$45,MATCH(F$2,INDEX(Month!$I$6:$AQ$45,0,MATCH($A27,Month!$I$5:$AQ$5,0)),0)),"")</f>
        <v/>
      </c>
      <c r="G27" s="386" t="str">
        <f>IFERROR(INDEX(Month!$B$6:$B$45,MATCH(G$2,INDEX(Month!$I$6:$AQ$45,0,MATCH($A27,Month!$I$5:$AQ$5,0)),0)),"")</f>
        <v/>
      </c>
      <c r="H27" s="386" t="str">
        <f>IFERROR(INDEX(Month!$B$6:$B$45,MATCH(H$2,INDEX(Month!$I$6:$AQ$45,0,MATCH($A27,Month!$I$5:$AQ$5,0)),0)),"")</f>
        <v/>
      </c>
      <c r="I27" s="386" t="str">
        <f>IFERROR(INDEX(Month!$B$6:$B$45,MATCH(I$2,INDEX(Month!$I$6:$AQ$45,0,MATCH($A27,Month!$I$5:$AQ$5,0)),0)),"")</f>
        <v/>
      </c>
      <c r="J27" s="386" t="str">
        <f>IFERROR(INDEX(Month!$B$6:$B$45,MATCH(J$2,INDEX(Month!$I$6:$AQ$45,0,MATCH($A27,Month!$I$5:$AQ$5,0)),0)),"")</f>
        <v/>
      </c>
      <c r="K27" s="386" t="str">
        <f>IFERROR(INDEX(Month!$B$6:$B$45,MATCH(K$2,INDEX(Month!$I$6:$AQ$45,0,MATCH($A27,Month!$I$5:$AQ$5,0)),0)),"")</f>
        <v/>
      </c>
      <c r="L27" s="386" t="str">
        <f>IFERROR(INDEX(Month!$B$6:$B$45,MATCH(L$2,INDEX(Month!$I$6:$AQ$45,0,MATCH($A27,Month!$I$5:$AQ$5,0)),0)),"")</f>
        <v/>
      </c>
    </row>
    <row r="28" spans="1:12" ht="20" customHeight="1" thickBot="1" x14ac:dyDescent="0.25">
      <c r="A28" s="387">
        <f t="shared" si="1"/>
        <v>46143</v>
      </c>
      <c r="B28" s="385" t="str">
        <f t="shared" si="0"/>
        <v>Friday</v>
      </c>
      <c r="C28" s="386" t="str">
        <f>IFERROR(INDEX(Month!$B$6:$B$45,MATCH(C$2,INDEX(Month!$I$6:$AQ$45,0,MATCH($A28,Month!$I$5:$AQ$5,0)),0)),"")</f>
        <v/>
      </c>
      <c r="D28" s="386" t="str">
        <f>IFERROR(INDEX(Month!$B$6:$B$45,MATCH(D$2,INDEX(Month!$I$6:$AQ$45,0,MATCH($A28,Month!$I$5:$AQ$5,0)),0)),"")</f>
        <v/>
      </c>
      <c r="E28" s="386" t="str">
        <f>IFERROR(INDEX(Month!$B$6:$B$45,MATCH(E$2,INDEX(Month!$I$6:$AQ$45,0,MATCH($A28,Month!$I$5:$AQ$5,0)),0)),"")</f>
        <v/>
      </c>
      <c r="F28" s="386" t="str">
        <f>IFERROR(INDEX(Month!$B$6:$B$45,MATCH(F$2,INDEX(Month!$I$6:$AQ$45,0,MATCH($A28,Month!$I$5:$AQ$5,0)),0)),"")</f>
        <v/>
      </c>
      <c r="G28" s="386" t="str">
        <f>IFERROR(INDEX(Month!$B$6:$B$45,MATCH(G$2,INDEX(Month!$I$6:$AQ$45,0,MATCH($A28,Month!$I$5:$AQ$5,0)),0)),"")</f>
        <v/>
      </c>
      <c r="H28" s="386" t="str">
        <f>IFERROR(INDEX(Month!$B$6:$B$45,MATCH(H$2,INDEX(Month!$I$6:$AQ$45,0,MATCH($A28,Month!$I$5:$AQ$5,0)),0)),"")</f>
        <v/>
      </c>
      <c r="I28" s="386" t="str">
        <f>IFERROR(INDEX(Month!$B$6:$B$45,MATCH(I$2,INDEX(Month!$I$6:$AQ$45,0,MATCH($A28,Month!$I$5:$AQ$5,0)),0)),"")</f>
        <v/>
      </c>
      <c r="J28" s="386" t="str">
        <f>IFERROR(INDEX(Month!$B$6:$B$45,MATCH(J$2,INDEX(Month!$I$6:$AQ$45,0,MATCH($A28,Month!$I$5:$AQ$5,0)),0)),"")</f>
        <v/>
      </c>
      <c r="K28" s="386" t="str">
        <f>IFERROR(INDEX(Month!$B$6:$B$45,MATCH(K$2,INDEX(Month!$I$6:$AQ$45,0,MATCH($A28,Month!$I$5:$AQ$5,0)),0)),"")</f>
        <v/>
      </c>
      <c r="L28" s="386" t="str">
        <f>IFERROR(INDEX(Month!$B$6:$B$45,MATCH(L$2,INDEX(Month!$I$6:$AQ$45,0,MATCH($A28,Month!$I$5:$AQ$5,0)),0)),"")</f>
        <v/>
      </c>
    </row>
    <row r="29" spans="1:12" ht="20" customHeight="1" thickBot="1" x14ac:dyDescent="0.25">
      <c r="A29" s="387">
        <f t="shared" si="1"/>
        <v>46144</v>
      </c>
      <c r="B29" s="385" t="str">
        <f t="shared" si="0"/>
        <v>Saturday</v>
      </c>
      <c r="C29" s="386" t="str">
        <f>IFERROR(INDEX(Month!$B$6:$B$45,MATCH(C$2,INDEX(Month!$I$6:$AQ$45,0,MATCH($A29,Month!$I$5:$AQ$5,0)),0)),"")</f>
        <v/>
      </c>
      <c r="D29" s="386" t="str">
        <f>IFERROR(INDEX(Month!$B$6:$B$45,MATCH(D$2,INDEX(Month!$I$6:$AQ$45,0,MATCH($A29,Month!$I$5:$AQ$5,0)),0)),"")</f>
        <v/>
      </c>
      <c r="E29" s="386" t="str">
        <f>IFERROR(INDEX(Month!$B$6:$B$45,MATCH(E$2,INDEX(Month!$I$6:$AQ$45,0,MATCH($A29,Month!$I$5:$AQ$5,0)),0)),"")</f>
        <v/>
      </c>
      <c r="F29" s="386" t="str">
        <f>IFERROR(INDEX(Month!$B$6:$B$45,MATCH(F$2,INDEX(Month!$I$6:$AQ$45,0,MATCH($A29,Month!$I$5:$AQ$5,0)),0)),"")</f>
        <v/>
      </c>
      <c r="G29" s="386" t="str">
        <f>IFERROR(INDEX(Month!$B$6:$B$45,MATCH(G$2,INDEX(Month!$I$6:$AQ$45,0,MATCH($A29,Month!$I$5:$AQ$5,0)),0)),"")</f>
        <v/>
      </c>
      <c r="H29" s="386" t="str">
        <f>IFERROR(INDEX(Month!$B$6:$B$45,MATCH(H$2,INDEX(Month!$I$6:$AQ$45,0,MATCH($A29,Month!$I$5:$AQ$5,0)),0)),"")</f>
        <v/>
      </c>
      <c r="I29" s="386" t="str">
        <f>IFERROR(INDEX(Month!$B$6:$B$45,MATCH(I$2,INDEX(Month!$I$6:$AQ$45,0,MATCH($A29,Month!$I$5:$AQ$5,0)),0)),"")</f>
        <v/>
      </c>
      <c r="J29" s="386" t="str">
        <f>IFERROR(INDEX(Month!$B$6:$B$45,MATCH(J$2,INDEX(Month!$I$6:$AQ$45,0,MATCH($A29,Month!$I$5:$AQ$5,0)),0)),"")</f>
        <v/>
      </c>
      <c r="K29" s="386" t="str">
        <f>IFERROR(INDEX(Month!$B$6:$B$45,MATCH(K$2,INDEX(Month!$I$6:$AQ$45,0,MATCH($A29,Month!$I$5:$AQ$5,0)),0)),"")</f>
        <v/>
      </c>
      <c r="L29" s="386" t="str">
        <f>IFERROR(INDEX(Month!$B$6:$B$45,MATCH(L$2,INDEX(Month!$I$6:$AQ$45,0,MATCH($A29,Month!$I$5:$AQ$5,0)),0)),"")</f>
        <v/>
      </c>
    </row>
    <row r="30" spans="1:12" ht="20" customHeight="1" thickBot="1" x14ac:dyDescent="0.25">
      <c r="A30" s="387">
        <f t="shared" si="1"/>
        <v>46145</v>
      </c>
      <c r="B30" s="385" t="str">
        <f t="shared" si="0"/>
        <v>Sunday</v>
      </c>
      <c r="C30" s="386" t="str">
        <f>IFERROR(INDEX(Month!$B$6:$B$45,MATCH(C$2,INDEX(Month!$I$6:$AQ$45,0,MATCH($A30,Month!$I$5:$AQ$5,0)),0)),"")</f>
        <v/>
      </c>
      <c r="D30" s="386" t="str">
        <f>IFERROR(INDEX(Month!$B$6:$B$45,MATCH(D$2,INDEX(Month!$I$6:$AQ$45,0,MATCH($A30,Month!$I$5:$AQ$5,0)),0)),"")</f>
        <v/>
      </c>
      <c r="E30" s="386" t="str">
        <f>IFERROR(INDEX(Month!$B$6:$B$45,MATCH(E$2,INDEX(Month!$I$6:$AQ$45,0,MATCH($A30,Month!$I$5:$AQ$5,0)),0)),"")</f>
        <v/>
      </c>
      <c r="F30" s="386" t="str">
        <f>IFERROR(INDEX(Month!$B$6:$B$45,MATCH(F$2,INDEX(Month!$I$6:$AQ$45,0,MATCH($A30,Month!$I$5:$AQ$5,0)),0)),"")</f>
        <v/>
      </c>
      <c r="G30" s="386" t="str">
        <f>IFERROR(INDEX(Month!$B$6:$B$45,MATCH(G$2,INDEX(Month!$I$6:$AQ$45,0,MATCH($A30,Month!$I$5:$AQ$5,0)),0)),"")</f>
        <v/>
      </c>
      <c r="H30" s="386" t="str">
        <f>IFERROR(INDEX(Month!$B$6:$B$45,MATCH(H$2,INDEX(Month!$I$6:$AQ$45,0,MATCH($A30,Month!$I$5:$AQ$5,0)),0)),"")</f>
        <v/>
      </c>
      <c r="I30" s="386" t="str">
        <f>IFERROR(INDEX(Month!$B$6:$B$45,MATCH(I$2,INDEX(Month!$I$6:$AQ$45,0,MATCH($A30,Month!$I$5:$AQ$5,0)),0)),"")</f>
        <v/>
      </c>
      <c r="J30" s="386" t="str">
        <f>IFERROR(INDEX(Month!$B$6:$B$45,MATCH(J$2,INDEX(Month!$I$6:$AQ$45,0,MATCH($A30,Month!$I$5:$AQ$5,0)),0)),"")</f>
        <v/>
      </c>
      <c r="K30" s="386" t="str">
        <f>IFERROR(INDEX(Month!$B$6:$B$45,MATCH(K$2,INDEX(Month!$I$6:$AQ$45,0,MATCH($A30,Month!$I$5:$AQ$5,0)),0)),"")</f>
        <v/>
      </c>
      <c r="L30" s="386" t="str">
        <f>IFERROR(INDEX(Month!$B$6:$B$45,MATCH(L$2,INDEX(Month!$I$6:$AQ$45,0,MATCH($A30,Month!$I$5:$AQ$5,0)),0)),"")</f>
        <v/>
      </c>
    </row>
    <row r="31" spans="1:12" ht="20" customHeight="1" thickBot="1" x14ac:dyDescent="0.25">
      <c r="A31" s="387">
        <f t="shared" si="1"/>
        <v>46146</v>
      </c>
      <c r="B31" s="385" t="str">
        <f t="shared" si="0"/>
        <v>Monday</v>
      </c>
      <c r="C31" s="386" t="str">
        <f>IFERROR(INDEX(Month!$B$6:$B$45,MATCH(C$2,INDEX(Month!$I$6:$AQ$45,0,MATCH($A31,Month!$I$5:$AQ$5,0)),0)),"")</f>
        <v/>
      </c>
      <c r="D31" s="386" t="str">
        <f>IFERROR(INDEX(Month!$B$6:$B$45,MATCH(D$2,INDEX(Month!$I$6:$AQ$45,0,MATCH($A31,Month!$I$5:$AQ$5,0)),0)),"")</f>
        <v/>
      </c>
      <c r="E31" s="386" t="str">
        <f>IFERROR(INDEX(Month!$B$6:$B$45,MATCH(E$2,INDEX(Month!$I$6:$AQ$45,0,MATCH($A31,Month!$I$5:$AQ$5,0)),0)),"")</f>
        <v/>
      </c>
      <c r="F31" s="386" t="str">
        <f>IFERROR(INDEX(Month!$B$6:$B$45,MATCH(F$2,INDEX(Month!$I$6:$AQ$45,0,MATCH($A31,Month!$I$5:$AQ$5,0)),0)),"")</f>
        <v/>
      </c>
      <c r="G31" s="386" t="str">
        <f>IFERROR(INDEX(Month!$B$6:$B$45,MATCH(G$2,INDEX(Month!$I$6:$AQ$45,0,MATCH($A31,Month!$I$5:$AQ$5,0)),0)),"")</f>
        <v/>
      </c>
      <c r="H31" s="386" t="str">
        <f>IFERROR(INDEX(Month!$B$6:$B$45,MATCH(H$2,INDEX(Month!$I$6:$AQ$45,0,MATCH($A31,Month!$I$5:$AQ$5,0)),0)),"")</f>
        <v/>
      </c>
      <c r="I31" s="386" t="str">
        <f>IFERROR(INDEX(Month!$B$6:$B$45,MATCH(I$2,INDEX(Month!$I$6:$AQ$45,0,MATCH($A31,Month!$I$5:$AQ$5,0)),0)),"")</f>
        <v/>
      </c>
      <c r="J31" s="386" t="str">
        <f>IFERROR(INDEX(Month!$B$6:$B$45,MATCH(J$2,INDEX(Month!$I$6:$AQ$45,0,MATCH($A31,Month!$I$5:$AQ$5,0)),0)),"")</f>
        <v/>
      </c>
      <c r="K31" s="386" t="str">
        <f>IFERROR(INDEX(Month!$B$6:$B$45,MATCH(K$2,INDEX(Month!$I$6:$AQ$45,0,MATCH($A31,Month!$I$5:$AQ$5,0)),0)),"")</f>
        <v/>
      </c>
      <c r="L31" s="386" t="str">
        <f>IFERROR(INDEX(Month!$B$6:$B$45,MATCH(L$2,INDEX(Month!$I$6:$AQ$45,0,MATCH($A31,Month!$I$5:$AQ$5,0)),0)),"")</f>
        <v/>
      </c>
    </row>
    <row r="32" spans="1:12" ht="20" customHeight="1" thickBot="1" x14ac:dyDescent="0.25">
      <c r="A32" s="387">
        <f t="shared" si="1"/>
        <v>46147</v>
      </c>
      <c r="B32" s="385" t="str">
        <f t="shared" si="0"/>
        <v>Tuesday</v>
      </c>
      <c r="C32" s="386" t="str">
        <f>IFERROR(INDEX(Month!$B$6:$B$45,MATCH(C$2,INDEX(Month!$I$6:$AQ$45,0,MATCH($A32,Month!$I$5:$AQ$5,0)),0)),"")</f>
        <v/>
      </c>
      <c r="D32" s="386" t="str">
        <f>IFERROR(INDEX(Month!$B$6:$B$45,MATCH(D$2,INDEX(Month!$I$6:$AQ$45,0,MATCH($A32,Month!$I$5:$AQ$5,0)),0)),"")</f>
        <v/>
      </c>
      <c r="E32" s="386" t="str">
        <f>IFERROR(INDEX(Month!$B$6:$B$45,MATCH(E$2,INDEX(Month!$I$6:$AQ$45,0,MATCH($A32,Month!$I$5:$AQ$5,0)),0)),"")</f>
        <v/>
      </c>
      <c r="F32" s="386" t="str">
        <f>IFERROR(INDEX(Month!$B$6:$B$45,MATCH(F$2,INDEX(Month!$I$6:$AQ$45,0,MATCH($A32,Month!$I$5:$AQ$5,0)),0)),"")</f>
        <v/>
      </c>
      <c r="G32" s="386" t="str">
        <f>IFERROR(INDEX(Month!$B$6:$B$45,MATCH(G$2,INDEX(Month!$I$6:$AQ$45,0,MATCH($A32,Month!$I$5:$AQ$5,0)),0)),"")</f>
        <v/>
      </c>
      <c r="H32" s="386" t="str">
        <f>IFERROR(INDEX(Month!$B$6:$B$45,MATCH(H$2,INDEX(Month!$I$6:$AQ$45,0,MATCH($A32,Month!$I$5:$AQ$5,0)),0)),"")</f>
        <v/>
      </c>
      <c r="I32" s="386" t="str">
        <f>IFERROR(INDEX(Month!$B$6:$B$45,MATCH(I$2,INDEX(Month!$I$6:$AQ$45,0,MATCH($A32,Month!$I$5:$AQ$5,0)),0)),"")</f>
        <v/>
      </c>
      <c r="J32" s="386" t="str">
        <f>IFERROR(INDEX(Month!$B$6:$B$45,MATCH(J$2,INDEX(Month!$I$6:$AQ$45,0,MATCH($A32,Month!$I$5:$AQ$5,0)),0)),"")</f>
        <v/>
      </c>
      <c r="K32" s="386" t="str">
        <f>IFERROR(INDEX(Month!$B$6:$B$45,MATCH(K$2,INDEX(Month!$I$6:$AQ$45,0,MATCH($A32,Month!$I$5:$AQ$5,0)),0)),"")</f>
        <v/>
      </c>
      <c r="L32" s="386" t="str">
        <f>IFERROR(INDEX(Month!$B$6:$B$45,MATCH(L$2,INDEX(Month!$I$6:$AQ$45,0,MATCH($A32,Month!$I$5:$AQ$5,0)),0)),"")</f>
        <v/>
      </c>
    </row>
    <row r="33" spans="1:12" ht="20" customHeight="1" thickBot="1" x14ac:dyDescent="0.25">
      <c r="A33" s="387">
        <f t="shared" si="1"/>
        <v>46148</v>
      </c>
      <c r="B33" s="385" t="str">
        <f t="shared" si="0"/>
        <v>Wednesday</v>
      </c>
      <c r="C33" s="386" t="str">
        <f>IFERROR(INDEX(Month!$B$6:$B$45,MATCH(C$2,INDEX(Month!$I$6:$AQ$45,0,MATCH($A33,Month!$I$5:$AQ$5,0)),0)),"")</f>
        <v/>
      </c>
      <c r="D33" s="386" t="str">
        <f>IFERROR(INDEX(Month!$B$6:$B$45,MATCH(D$2,INDEX(Month!$I$6:$AQ$45,0,MATCH($A33,Month!$I$5:$AQ$5,0)),0)),"")</f>
        <v/>
      </c>
      <c r="E33" s="386" t="str">
        <f>IFERROR(INDEX(Month!$B$6:$B$45,MATCH(E$2,INDEX(Month!$I$6:$AQ$45,0,MATCH($A33,Month!$I$5:$AQ$5,0)),0)),"")</f>
        <v/>
      </c>
      <c r="F33" s="386" t="str">
        <f>IFERROR(INDEX(Month!$B$6:$B$45,MATCH(F$2,INDEX(Month!$I$6:$AQ$45,0,MATCH($A33,Month!$I$5:$AQ$5,0)),0)),"")</f>
        <v/>
      </c>
      <c r="G33" s="386" t="str">
        <f>IFERROR(INDEX(Month!$B$6:$B$45,MATCH(G$2,INDEX(Month!$I$6:$AQ$45,0,MATCH($A33,Month!$I$5:$AQ$5,0)),0)),"")</f>
        <v/>
      </c>
      <c r="H33" s="386" t="str">
        <f>IFERROR(INDEX(Month!$B$6:$B$45,MATCH(H$2,INDEX(Month!$I$6:$AQ$45,0,MATCH($A33,Month!$I$5:$AQ$5,0)),0)),"")</f>
        <v/>
      </c>
      <c r="I33" s="386" t="str">
        <f>IFERROR(INDEX(Month!$B$6:$B$45,MATCH(I$2,INDEX(Month!$I$6:$AQ$45,0,MATCH($A33,Month!$I$5:$AQ$5,0)),0)),"")</f>
        <v/>
      </c>
      <c r="J33" s="386" t="str">
        <f>IFERROR(INDEX(Month!$B$6:$B$45,MATCH(J$2,INDEX(Month!$I$6:$AQ$45,0,MATCH($A33,Month!$I$5:$AQ$5,0)),0)),"")</f>
        <v/>
      </c>
      <c r="K33" s="386" t="str">
        <f>IFERROR(INDEX(Month!$B$6:$B$45,MATCH(K$2,INDEX(Month!$I$6:$AQ$45,0,MATCH($A33,Month!$I$5:$AQ$5,0)),0)),"")</f>
        <v/>
      </c>
      <c r="L33" s="386" t="str">
        <f>IFERROR(INDEX(Month!$B$6:$B$45,MATCH(L$2,INDEX(Month!$I$6:$AQ$45,0,MATCH($A33,Month!$I$5:$AQ$5,0)),0)),"")</f>
        <v/>
      </c>
    </row>
    <row r="34" spans="1:12" ht="20" customHeight="1" thickBot="1" x14ac:dyDescent="0.25">
      <c r="A34" s="387">
        <f t="shared" si="1"/>
        <v>46149</v>
      </c>
      <c r="B34" s="385" t="str">
        <f t="shared" si="0"/>
        <v>Thursday</v>
      </c>
      <c r="C34" s="386" t="str">
        <f>IFERROR(INDEX(Month!$B$6:$B$45,MATCH(C$2,INDEX(Month!$I$6:$AQ$45,0,MATCH($A34,Month!$I$5:$AQ$5,0)),0)),"")</f>
        <v/>
      </c>
      <c r="D34" s="386" t="str">
        <f>IFERROR(INDEX(Month!$B$6:$B$45,MATCH(D$2,INDEX(Month!$I$6:$AQ$45,0,MATCH($A34,Month!$I$5:$AQ$5,0)),0)),"")</f>
        <v/>
      </c>
      <c r="E34" s="386" t="str">
        <f>IFERROR(INDEX(Month!$B$6:$B$45,MATCH(E$2,INDEX(Month!$I$6:$AQ$45,0,MATCH($A34,Month!$I$5:$AQ$5,0)),0)),"")</f>
        <v/>
      </c>
      <c r="F34" s="386" t="str">
        <f>IFERROR(INDEX(Month!$B$6:$B$45,MATCH(F$2,INDEX(Month!$I$6:$AQ$45,0,MATCH($A34,Month!$I$5:$AQ$5,0)),0)),"")</f>
        <v/>
      </c>
      <c r="G34" s="386" t="str">
        <f>IFERROR(INDEX(Month!$B$6:$B$45,MATCH(G$2,INDEX(Month!$I$6:$AQ$45,0,MATCH($A34,Month!$I$5:$AQ$5,0)),0)),"")</f>
        <v/>
      </c>
      <c r="H34" s="386" t="str">
        <f>IFERROR(INDEX(Month!$B$6:$B$45,MATCH(H$2,INDEX(Month!$I$6:$AQ$45,0,MATCH($A34,Month!$I$5:$AQ$5,0)),0)),"")</f>
        <v/>
      </c>
      <c r="I34" s="386" t="str">
        <f>IFERROR(INDEX(Month!$B$6:$B$45,MATCH(I$2,INDEX(Month!$I$6:$AQ$45,0,MATCH($A34,Month!$I$5:$AQ$5,0)),0)),"")</f>
        <v/>
      </c>
      <c r="J34" s="386" t="str">
        <f>IFERROR(INDEX(Month!$B$6:$B$45,MATCH(J$2,INDEX(Month!$I$6:$AQ$45,0,MATCH($A34,Month!$I$5:$AQ$5,0)),0)),"")</f>
        <v/>
      </c>
      <c r="K34" s="386" t="str">
        <f>IFERROR(INDEX(Month!$B$6:$B$45,MATCH(K$2,INDEX(Month!$I$6:$AQ$45,0,MATCH($A34,Month!$I$5:$AQ$5,0)),0)),"")</f>
        <v/>
      </c>
      <c r="L34" s="386" t="str">
        <f>IFERROR(INDEX(Month!$B$6:$B$45,MATCH(L$2,INDEX(Month!$I$6:$AQ$45,0,MATCH($A34,Month!$I$5:$AQ$5,0)),0)),"")</f>
        <v/>
      </c>
    </row>
    <row r="35" spans="1:12" ht="20" customHeight="1" thickBot="1" x14ac:dyDescent="0.25">
      <c r="A35" s="387">
        <f t="shared" si="1"/>
        <v>46150</v>
      </c>
      <c r="B35" s="385" t="str">
        <f t="shared" si="0"/>
        <v>Friday</v>
      </c>
      <c r="C35" s="386" t="str">
        <f>IFERROR(INDEX(Month!$B$6:$B$45,MATCH(C$2,INDEX(Month!$I$6:$AQ$45,0,MATCH($A35,Month!$I$5:$AQ$5,0)),0)),"")</f>
        <v/>
      </c>
      <c r="D35" s="386" t="str">
        <f>IFERROR(INDEX(Month!$B$6:$B$45,MATCH(D$2,INDEX(Month!$I$6:$AQ$45,0,MATCH($A35,Month!$I$5:$AQ$5,0)),0)),"")</f>
        <v/>
      </c>
      <c r="E35" s="386" t="str">
        <f>IFERROR(INDEX(Month!$B$6:$B$45,MATCH(E$2,INDEX(Month!$I$6:$AQ$45,0,MATCH($A35,Month!$I$5:$AQ$5,0)),0)),"")</f>
        <v/>
      </c>
      <c r="F35" s="386" t="str">
        <f>IFERROR(INDEX(Month!$B$6:$B$45,MATCH(F$2,INDEX(Month!$I$6:$AQ$45,0,MATCH($A35,Month!$I$5:$AQ$5,0)),0)),"")</f>
        <v/>
      </c>
      <c r="G35" s="386" t="str">
        <f>IFERROR(INDEX(Month!$B$6:$B$45,MATCH(G$2,INDEX(Month!$I$6:$AQ$45,0,MATCH($A35,Month!$I$5:$AQ$5,0)),0)),"")</f>
        <v/>
      </c>
      <c r="H35" s="386" t="str">
        <f>IFERROR(INDEX(Month!$B$6:$B$45,MATCH(H$2,INDEX(Month!$I$6:$AQ$45,0,MATCH($A35,Month!$I$5:$AQ$5,0)),0)),"")</f>
        <v/>
      </c>
      <c r="I35" s="386" t="str">
        <f>IFERROR(INDEX(Month!$B$6:$B$45,MATCH(I$2,INDEX(Month!$I$6:$AQ$45,0,MATCH($A35,Month!$I$5:$AQ$5,0)),0)),"")</f>
        <v/>
      </c>
      <c r="J35" s="386" t="str">
        <f>IFERROR(INDEX(Month!$B$6:$B$45,MATCH(J$2,INDEX(Month!$I$6:$AQ$45,0,MATCH($A35,Month!$I$5:$AQ$5,0)),0)),"")</f>
        <v/>
      </c>
      <c r="K35" s="386" t="str">
        <f>IFERROR(INDEX(Month!$B$6:$B$45,MATCH(K$2,INDEX(Month!$I$6:$AQ$45,0,MATCH($A35,Month!$I$5:$AQ$5,0)),0)),"")</f>
        <v/>
      </c>
      <c r="L35" s="386" t="str">
        <f>IFERROR(INDEX(Month!$B$6:$B$45,MATCH(L$2,INDEX(Month!$I$6:$AQ$45,0,MATCH($A35,Month!$I$5:$AQ$5,0)),0)),"")</f>
        <v/>
      </c>
    </row>
    <row r="36" spans="1:12" ht="20" customHeight="1" thickBot="1" x14ac:dyDescent="0.25">
      <c r="A36" s="387">
        <f t="shared" si="1"/>
        <v>46151</v>
      </c>
      <c r="B36" s="385" t="str">
        <f t="shared" si="0"/>
        <v>Saturday</v>
      </c>
      <c r="C36" s="386" t="str">
        <f>IFERROR(INDEX(Month!$B$6:$B$45,MATCH(C$2,INDEX(Month!$I$6:$AQ$45,0,MATCH($A36,Month!$I$5:$AQ$5,0)),0)),"")</f>
        <v/>
      </c>
      <c r="D36" s="386" t="str">
        <f>IFERROR(INDEX(Month!$B$6:$B$45,MATCH(D$2,INDEX(Month!$I$6:$AQ$45,0,MATCH($A36,Month!$I$5:$AQ$5,0)),0)),"")</f>
        <v/>
      </c>
      <c r="E36" s="386" t="str">
        <f>IFERROR(INDEX(Month!$B$6:$B$45,MATCH(E$2,INDEX(Month!$I$6:$AQ$45,0,MATCH($A36,Month!$I$5:$AQ$5,0)),0)),"")</f>
        <v/>
      </c>
      <c r="F36" s="386" t="str">
        <f>IFERROR(INDEX(Month!$B$6:$B$45,MATCH(F$2,INDEX(Month!$I$6:$AQ$45,0,MATCH($A36,Month!$I$5:$AQ$5,0)),0)),"")</f>
        <v/>
      </c>
      <c r="G36" s="386" t="str">
        <f>IFERROR(INDEX(Month!$B$6:$B$45,MATCH(G$2,INDEX(Month!$I$6:$AQ$45,0,MATCH($A36,Month!$I$5:$AQ$5,0)),0)),"")</f>
        <v/>
      </c>
      <c r="H36" s="386" t="str">
        <f>IFERROR(INDEX(Month!$B$6:$B$45,MATCH(H$2,INDEX(Month!$I$6:$AQ$45,0,MATCH($A36,Month!$I$5:$AQ$5,0)),0)),"")</f>
        <v/>
      </c>
      <c r="I36" s="386" t="str">
        <f>IFERROR(INDEX(Month!$B$6:$B$45,MATCH(I$2,INDEX(Month!$I$6:$AQ$45,0,MATCH($A36,Month!$I$5:$AQ$5,0)),0)),"")</f>
        <v/>
      </c>
      <c r="J36" s="386" t="str">
        <f>IFERROR(INDEX(Month!$B$6:$B$45,MATCH(J$2,INDEX(Month!$I$6:$AQ$45,0,MATCH($A36,Month!$I$5:$AQ$5,0)),0)),"")</f>
        <v/>
      </c>
      <c r="K36" s="386" t="str">
        <f>IFERROR(INDEX(Month!$B$6:$B$45,MATCH(K$2,INDEX(Month!$I$6:$AQ$45,0,MATCH($A36,Month!$I$5:$AQ$5,0)),0)),"")</f>
        <v/>
      </c>
      <c r="L36" s="386" t="str">
        <f>IFERROR(INDEX(Month!$B$6:$B$45,MATCH(L$2,INDEX(Month!$I$6:$AQ$45,0,MATCH($A36,Month!$I$5:$AQ$5,0)),0)),"")</f>
        <v/>
      </c>
    </row>
    <row r="37" spans="1:12" ht="20" customHeight="1" thickBot="1" x14ac:dyDescent="0.25">
      <c r="A37" s="387">
        <f t="shared" si="1"/>
        <v>46152</v>
      </c>
      <c r="B37" s="385" t="str">
        <f t="shared" si="0"/>
        <v>Sunday</v>
      </c>
      <c r="C37" s="386" t="str">
        <f>IFERROR(INDEX(Month!$B$6:$B$45,MATCH(C$2,INDEX(Month!$I$6:$AQ$45,0,MATCH($A37,Month!$I$5:$AQ$5,0)),0)),"")</f>
        <v/>
      </c>
      <c r="D37" s="386" t="str">
        <f>IFERROR(INDEX(Month!$B$6:$B$45,MATCH(D$2,INDEX(Month!$I$6:$AQ$45,0,MATCH($A37,Month!$I$5:$AQ$5,0)),0)),"")</f>
        <v/>
      </c>
      <c r="E37" s="386" t="str">
        <f>IFERROR(INDEX(Month!$B$6:$B$45,MATCH(E$2,INDEX(Month!$I$6:$AQ$45,0,MATCH($A37,Month!$I$5:$AQ$5,0)),0)),"")</f>
        <v/>
      </c>
      <c r="F37" s="386" t="str">
        <f>IFERROR(INDEX(Month!$B$6:$B$45,MATCH(F$2,INDEX(Month!$I$6:$AQ$45,0,MATCH($A37,Month!$I$5:$AQ$5,0)),0)),"")</f>
        <v/>
      </c>
      <c r="G37" s="386" t="str">
        <f>IFERROR(INDEX(Month!$B$6:$B$45,MATCH(G$2,INDEX(Month!$I$6:$AQ$45,0,MATCH($A37,Month!$I$5:$AQ$5,0)),0)),"")</f>
        <v/>
      </c>
      <c r="H37" s="386" t="str">
        <f>IFERROR(INDEX(Month!$B$6:$B$45,MATCH(H$2,INDEX(Month!$I$6:$AQ$45,0,MATCH($A37,Month!$I$5:$AQ$5,0)),0)),"")</f>
        <v/>
      </c>
      <c r="I37" s="386" t="str">
        <f>IFERROR(INDEX(Month!$B$6:$B$45,MATCH(I$2,INDEX(Month!$I$6:$AQ$45,0,MATCH($A37,Month!$I$5:$AQ$5,0)),0)),"")</f>
        <v/>
      </c>
      <c r="J37" s="386" t="str">
        <f>IFERROR(INDEX(Month!$B$6:$B$45,MATCH(J$2,INDEX(Month!$I$6:$AQ$45,0,MATCH($A37,Month!$I$5:$AQ$5,0)),0)),"")</f>
        <v/>
      </c>
      <c r="K37" s="386" t="str">
        <f>IFERROR(INDEX(Month!$B$6:$B$45,MATCH(K$2,INDEX(Month!$I$6:$AQ$45,0,MATCH($A37,Month!$I$5:$AQ$5,0)),0)),"")</f>
        <v/>
      </c>
      <c r="L37" s="386" t="str">
        <f>IFERROR(INDEX(Month!$B$6:$B$45,MATCH(L$2,INDEX(Month!$I$6:$AQ$45,0,MATCH($A37,Month!$I$5:$AQ$5,0)),0)),"")</f>
        <v/>
      </c>
    </row>
    <row r="38" spans="1:12" ht="20" customHeight="1" x14ac:dyDescent="0.2">
      <c r="A38" s="387">
        <f t="shared" si="1"/>
        <v>46153</v>
      </c>
      <c r="B38" s="385" t="str">
        <f t="shared" si="0"/>
        <v>Monday</v>
      </c>
      <c r="C38" s="386" t="str">
        <f>IFERROR(INDEX(Month!$B$6:$B$45,MATCH(C$2,INDEX(Month!$I$6:$AQ$45,0,MATCH($A38,Month!$I$5:$AQ$5,0)),0)),"")</f>
        <v/>
      </c>
      <c r="D38" s="386" t="str">
        <f>IFERROR(INDEX(Month!$B$6:$B$45,MATCH(D$2,INDEX(Month!$I$6:$AQ$45,0,MATCH($A38,Month!$I$5:$AQ$5,0)),0)),"")</f>
        <v/>
      </c>
      <c r="E38" s="386" t="str">
        <f>IFERROR(INDEX(Month!$B$6:$B$45,MATCH(E$2,INDEX(Month!$I$6:$AQ$45,0,MATCH($A38,Month!$I$5:$AQ$5,0)),0)),"")</f>
        <v/>
      </c>
      <c r="F38" s="386" t="str">
        <f>IFERROR(INDEX(Month!$B$6:$B$45,MATCH(F$2,INDEX(Month!$I$6:$AQ$45,0,MATCH($A38,Month!$I$5:$AQ$5,0)),0)),"")</f>
        <v/>
      </c>
      <c r="G38" s="386" t="str">
        <f>IFERROR(INDEX(Month!$B$6:$B$45,MATCH(G$2,INDEX(Month!$I$6:$AQ$45,0,MATCH($A38,Month!$I$5:$AQ$5,0)),0)),"")</f>
        <v/>
      </c>
      <c r="H38" s="386" t="str">
        <f>IFERROR(INDEX(Month!$B$6:$B$45,MATCH(H$2,INDEX(Month!$I$6:$AQ$45,0,MATCH($A38,Month!$I$5:$AQ$5,0)),0)),"")</f>
        <v/>
      </c>
      <c r="I38" s="386" t="str">
        <f>IFERROR(INDEX(Month!$B$6:$B$45,MATCH(I$2,INDEX(Month!$I$6:$AQ$45,0,MATCH($A38,Month!$I$5:$AQ$5,0)),0)),"")</f>
        <v/>
      </c>
      <c r="J38" s="386" t="str">
        <f>IFERROR(INDEX(Month!$B$6:$B$45,MATCH(J$2,INDEX(Month!$I$6:$AQ$45,0,MATCH($A38,Month!$I$5:$AQ$5,0)),0)),"")</f>
        <v/>
      </c>
      <c r="K38" s="386" t="str">
        <f>IFERROR(INDEX(Month!$B$6:$B$45,MATCH(K$2,INDEX(Month!$I$6:$AQ$45,0,MATCH($A38,Month!$I$5:$AQ$5,0)),0)),"")</f>
        <v/>
      </c>
      <c r="L38" s="386" t="str">
        <f>IFERROR(INDEX(Month!$B$6:$B$45,MATCH(L$2,INDEX(Month!$I$6:$AQ$45,0,MATCH($A38,Month!$I$5:$AQ$5,0)),0)),"")</f>
        <v/>
      </c>
    </row>
  </sheetData>
  <mergeCells count="2">
    <mergeCell ref="A1:B3"/>
    <mergeCell ref="C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394" t="s">
        <v>120</v>
      </c>
      <c r="AK3" s="394"/>
      <c r="AL3" s="394"/>
      <c r="AM3" s="394"/>
    </row>
    <row r="4" spans="2:67" ht="16" thickBot="1" x14ac:dyDescent="0.25">
      <c r="F4" s="1" t="s">
        <v>133</v>
      </c>
      <c r="H4" s="1" t="s">
        <v>1</v>
      </c>
      <c r="AJ4" s="412" t="s">
        <v>133</v>
      </c>
      <c r="AK4" s="413"/>
      <c r="AL4" s="413"/>
      <c r="AM4" s="414"/>
      <c r="AN4" s="415" t="s">
        <v>175</v>
      </c>
      <c r="AO4" s="416"/>
      <c r="AP4" s="416"/>
      <c r="AQ4" s="416"/>
      <c r="AR4" s="416"/>
      <c r="AS4" s="416"/>
      <c r="AT4" s="416"/>
      <c r="AU4" s="416"/>
      <c r="AV4" s="416"/>
      <c r="AW4" s="416"/>
      <c r="AX4" s="416"/>
      <c r="AY4" s="416"/>
      <c r="AZ4" s="416"/>
      <c r="BA4" s="416"/>
      <c r="BB4" s="416"/>
      <c r="BC4" s="417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18" t="s">
        <v>170</v>
      </c>
      <c r="AK5" s="419"/>
      <c r="AL5" s="419"/>
      <c r="AM5" s="420"/>
      <c r="AN5" s="424" t="s">
        <v>176</v>
      </c>
      <c r="AO5" s="425"/>
      <c r="AP5" s="425"/>
      <c r="AQ5" s="425"/>
      <c r="AR5" s="425"/>
      <c r="AS5" s="426"/>
      <c r="AT5" s="424" t="s">
        <v>188</v>
      </c>
      <c r="AU5" s="425"/>
      <c r="AV5" s="425"/>
      <c r="AW5" s="425"/>
      <c r="AX5" s="426"/>
      <c r="AY5" s="424" t="s">
        <v>170</v>
      </c>
      <c r="AZ5" s="425"/>
      <c r="BA5" s="425"/>
      <c r="BB5" s="425"/>
      <c r="BC5" s="426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21"/>
      <c r="AK6" s="422"/>
      <c r="AL6" s="422"/>
      <c r="AM6" s="423"/>
      <c r="AN6" s="427"/>
      <c r="AO6" s="428"/>
      <c r="AP6" s="428"/>
      <c r="AQ6" s="428"/>
      <c r="AR6" s="428"/>
      <c r="AS6" s="429"/>
      <c r="AT6" s="427"/>
      <c r="AU6" s="428"/>
      <c r="AV6" s="428"/>
      <c r="AW6" s="428"/>
      <c r="AX6" s="429"/>
      <c r="AY6" s="427"/>
      <c r="AZ6" s="428"/>
      <c r="BA6" s="428"/>
      <c r="BB6" s="428"/>
      <c r="BC6" s="429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30" t="s">
        <v>120</v>
      </c>
      <c r="AT3" s="430"/>
      <c r="AU3" s="430"/>
      <c r="AV3" s="430"/>
    </row>
    <row r="4" spans="2:76" ht="16" thickBot="1" x14ac:dyDescent="0.25">
      <c r="F4" s="1" t="s">
        <v>133</v>
      </c>
      <c r="H4" s="1" t="s">
        <v>1</v>
      </c>
      <c r="AS4" s="412" t="s">
        <v>133</v>
      </c>
      <c r="AT4" s="413"/>
      <c r="AU4" s="413"/>
      <c r="AV4" s="414"/>
      <c r="AW4" s="415" t="s">
        <v>175</v>
      </c>
      <c r="AX4" s="416"/>
      <c r="AY4" s="416"/>
      <c r="AZ4" s="416"/>
      <c r="BA4" s="416"/>
      <c r="BB4" s="416"/>
      <c r="BC4" s="416"/>
      <c r="BD4" s="416"/>
      <c r="BE4" s="416"/>
      <c r="BF4" s="416"/>
      <c r="BG4" s="416"/>
      <c r="BH4" s="416"/>
      <c r="BI4" s="416"/>
      <c r="BJ4" s="416"/>
      <c r="BK4" s="416"/>
      <c r="BL4" s="417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18" t="s">
        <v>170</v>
      </c>
      <c r="AT5" s="419"/>
      <c r="AU5" s="419"/>
      <c r="AV5" s="420"/>
      <c r="AW5" s="424" t="s">
        <v>176</v>
      </c>
      <c r="AX5" s="425"/>
      <c r="AY5" s="425"/>
      <c r="AZ5" s="425"/>
      <c r="BA5" s="425"/>
      <c r="BB5" s="426"/>
      <c r="BC5" s="424" t="s">
        <v>188</v>
      </c>
      <c r="BD5" s="425"/>
      <c r="BE5" s="425"/>
      <c r="BF5" s="425"/>
      <c r="BG5" s="426"/>
      <c r="BH5" s="424" t="s">
        <v>170</v>
      </c>
      <c r="BI5" s="425"/>
      <c r="BJ5" s="425"/>
      <c r="BK5" s="425"/>
      <c r="BL5" s="426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21"/>
      <c r="AT6" s="422"/>
      <c r="AU6" s="422"/>
      <c r="AV6" s="423"/>
      <c r="AW6" s="427"/>
      <c r="AX6" s="428"/>
      <c r="AY6" s="428"/>
      <c r="AZ6" s="428"/>
      <c r="BA6" s="428"/>
      <c r="BB6" s="429"/>
      <c r="BC6" s="427"/>
      <c r="BD6" s="428"/>
      <c r="BE6" s="428"/>
      <c r="BF6" s="428"/>
      <c r="BG6" s="429"/>
      <c r="BH6" s="427"/>
      <c r="BI6" s="428"/>
      <c r="BJ6" s="428"/>
      <c r="BK6" s="428"/>
      <c r="BL6" s="429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30" t="s">
        <v>120</v>
      </c>
      <c r="AL3" s="430"/>
      <c r="AM3" s="430"/>
      <c r="AN3" s="430"/>
    </row>
    <row r="4" spans="2:68" ht="16" thickBot="1" x14ac:dyDescent="0.25">
      <c r="F4" s="1" t="s">
        <v>133</v>
      </c>
      <c r="H4" s="1" t="s">
        <v>1</v>
      </c>
      <c r="AK4" s="412" t="s">
        <v>133</v>
      </c>
      <c r="AL4" s="413"/>
      <c r="AM4" s="413"/>
      <c r="AN4" s="414"/>
      <c r="AO4" s="415" t="s">
        <v>175</v>
      </c>
      <c r="AP4" s="416"/>
      <c r="AQ4" s="416"/>
      <c r="AR4" s="416"/>
      <c r="AS4" s="416"/>
      <c r="AT4" s="416"/>
      <c r="AU4" s="416"/>
      <c r="AV4" s="416"/>
      <c r="AW4" s="416"/>
      <c r="AX4" s="416"/>
      <c r="AY4" s="416"/>
      <c r="AZ4" s="416"/>
      <c r="BA4" s="416"/>
      <c r="BB4" s="416"/>
      <c r="BC4" s="416"/>
      <c r="BD4" s="417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18" t="s">
        <v>170</v>
      </c>
      <c r="AL5" s="419"/>
      <c r="AM5" s="419"/>
      <c r="AN5" s="420"/>
      <c r="AO5" s="424" t="s">
        <v>176</v>
      </c>
      <c r="AP5" s="425"/>
      <c r="AQ5" s="425"/>
      <c r="AR5" s="425"/>
      <c r="AS5" s="425"/>
      <c r="AT5" s="426"/>
      <c r="AU5" s="424" t="s">
        <v>188</v>
      </c>
      <c r="AV5" s="425"/>
      <c r="AW5" s="425"/>
      <c r="AX5" s="425"/>
      <c r="AY5" s="426"/>
      <c r="AZ5" s="424" t="s">
        <v>170</v>
      </c>
      <c r="BA5" s="425"/>
      <c r="BB5" s="425"/>
      <c r="BC5" s="425"/>
      <c r="BD5" s="426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21"/>
      <c r="AL6" s="422"/>
      <c r="AM6" s="422"/>
      <c r="AN6" s="423"/>
      <c r="AO6" s="427"/>
      <c r="AP6" s="428"/>
      <c r="AQ6" s="428"/>
      <c r="AR6" s="428"/>
      <c r="AS6" s="428"/>
      <c r="AT6" s="429"/>
      <c r="AU6" s="427"/>
      <c r="AV6" s="428"/>
      <c r="AW6" s="428"/>
      <c r="AX6" s="428"/>
      <c r="AY6" s="429"/>
      <c r="AZ6" s="427"/>
      <c r="BA6" s="428"/>
      <c r="BB6" s="428"/>
      <c r="BC6" s="428"/>
      <c r="BD6" s="429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30" t="s">
        <v>120</v>
      </c>
      <c r="AK3" s="430"/>
      <c r="AL3" s="430"/>
      <c r="AM3" s="430"/>
    </row>
    <row r="4" spans="1:67" ht="16" thickBot="1" x14ac:dyDescent="0.25">
      <c r="E4" s="1" t="s">
        <v>133</v>
      </c>
      <c r="G4" s="1" t="s">
        <v>1</v>
      </c>
      <c r="AJ4" s="412" t="s">
        <v>133</v>
      </c>
      <c r="AK4" s="413"/>
      <c r="AL4" s="413"/>
      <c r="AM4" s="414"/>
      <c r="AN4" s="415" t="s">
        <v>175</v>
      </c>
      <c r="AO4" s="416"/>
      <c r="AP4" s="416"/>
      <c r="AQ4" s="416"/>
      <c r="AR4" s="416"/>
      <c r="AS4" s="416"/>
      <c r="AT4" s="416"/>
      <c r="AU4" s="416"/>
      <c r="AV4" s="416"/>
      <c r="AW4" s="416"/>
      <c r="AX4" s="416"/>
      <c r="AY4" s="416"/>
      <c r="AZ4" s="416"/>
      <c r="BA4" s="416"/>
      <c r="BB4" s="416"/>
      <c r="BC4" s="417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18" t="s">
        <v>170</v>
      </c>
      <c r="AK5" s="419"/>
      <c r="AL5" s="419"/>
      <c r="AM5" s="420"/>
      <c r="AN5" s="424" t="s">
        <v>176</v>
      </c>
      <c r="AO5" s="425"/>
      <c r="AP5" s="425"/>
      <c r="AQ5" s="425"/>
      <c r="AR5" s="425"/>
      <c r="AS5" s="426"/>
      <c r="AT5" s="424" t="s">
        <v>188</v>
      </c>
      <c r="AU5" s="425"/>
      <c r="AV5" s="425"/>
      <c r="AW5" s="425"/>
      <c r="AX5" s="426"/>
      <c r="AY5" s="424" t="s">
        <v>170</v>
      </c>
      <c r="AZ5" s="425"/>
      <c r="BA5" s="425"/>
      <c r="BB5" s="425"/>
      <c r="BC5" s="426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21"/>
      <c r="AK6" s="422"/>
      <c r="AL6" s="422"/>
      <c r="AM6" s="423"/>
      <c r="AN6" s="427"/>
      <c r="AO6" s="428"/>
      <c r="AP6" s="428"/>
      <c r="AQ6" s="428"/>
      <c r="AR6" s="428"/>
      <c r="AS6" s="429"/>
      <c r="AT6" s="427"/>
      <c r="AU6" s="428"/>
      <c r="AV6" s="428"/>
      <c r="AW6" s="428"/>
      <c r="AX6" s="429"/>
      <c r="AY6" s="427"/>
      <c r="AZ6" s="428"/>
      <c r="BA6" s="428"/>
      <c r="BB6" s="428"/>
      <c r="BC6" s="429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30" t="s">
        <v>120</v>
      </c>
      <c r="AQ3" s="430"/>
      <c r="AR3" s="430"/>
      <c r="AS3" s="430"/>
    </row>
    <row r="4" spans="2:73" ht="16" thickBot="1" x14ac:dyDescent="0.25">
      <c r="F4" s="1" t="s">
        <v>133</v>
      </c>
      <c r="H4" s="1" t="s">
        <v>1</v>
      </c>
      <c r="AP4" s="412" t="s">
        <v>133</v>
      </c>
      <c r="AQ4" s="413"/>
      <c r="AR4" s="413"/>
      <c r="AS4" s="414"/>
      <c r="AT4" s="415" t="s">
        <v>175</v>
      </c>
      <c r="AU4" s="416"/>
      <c r="AV4" s="416"/>
      <c r="AW4" s="416"/>
      <c r="AX4" s="416"/>
      <c r="AY4" s="416"/>
      <c r="AZ4" s="416"/>
      <c r="BA4" s="416"/>
      <c r="BB4" s="416"/>
      <c r="BC4" s="416"/>
      <c r="BD4" s="416"/>
      <c r="BE4" s="416"/>
      <c r="BF4" s="416"/>
      <c r="BG4" s="416"/>
      <c r="BH4" s="416"/>
      <c r="BI4" s="417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18" t="s">
        <v>170</v>
      </c>
      <c r="AQ5" s="419"/>
      <c r="AR5" s="419"/>
      <c r="AS5" s="420"/>
      <c r="AT5" s="424" t="s">
        <v>176</v>
      </c>
      <c r="AU5" s="425"/>
      <c r="AV5" s="425"/>
      <c r="AW5" s="425"/>
      <c r="AX5" s="425"/>
      <c r="AY5" s="426"/>
      <c r="AZ5" s="424" t="s">
        <v>188</v>
      </c>
      <c r="BA5" s="425"/>
      <c r="BB5" s="425"/>
      <c r="BC5" s="425"/>
      <c r="BD5" s="426"/>
      <c r="BE5" s="424" t="s">
        <v>170</v>
      </c>
      <c r="BF5" s="425"/>
      <c r="BG5" s="425"/>
      <c r="BH5" s="425"/>
      <c r="BI5" s="426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21"/>
      <c r="AQ6" s="422"/>
      <c r="AR6" s="422"/>
      <c r="AS6" s="423"/>
      <c r="AT6" s="427"/>
      <c r="AU6" s="428"/>
      <c r="AV6" s="428"/>
      <c r="AW6" s="428"/>
      <c r="AX6" s="428"/>
      <c r="AY6" s="429"/>
      <c r="AZ6" s="427"/>
      <c r="BA6" s="428"/>
      <c r="BB6" s="428"/>
      <c r="BC6" s="428"/>
      <c r="BD6" s="429"/>
      <c r="BE6" s="427"/>
      <c r="BF6" s="428"/>
      <c r="BG6" s="428"/>
      <c r="BH6" s="428"/>
      <c r="BI6" s="429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31" t="s">
        <v>88</v>
      </c>
      <c r="BE3" s="431"/>
      <c r="BF3" s="431"/>
      <c r="BG3" s="431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2026-08-28T08:08:22Z</dcterms:modified>
</cp:coreProperties>
</file>