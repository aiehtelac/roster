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1B29A168-094D-474C-94FC-CCF52ED750C7}" xr6:coauthVersionLast="47" xr6:coauthVersionMax="47" xr10:uidLastSave="{00000000-0000-0000-0000-000000000000}"/>
  <bookViews>
    <workbookView xWindow="840" yWindow="1280" windowWidth="2856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24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7" i="18" l="1"/>
  <c r="AY7" i="18" a="1"/>
  <c r="AY7" i="18" s="1"/>
  <c r="AZ7" i="18"/>
  <c r="BA7" i="18" a="1"/>
  <c r="BA7" i="18" s="1"/>
  <c r="BB7" i="18"/>
  <c r="BC7" i="18"/>
  <c r="BD7" i="18"/>
  <c r="AX8" i="18"/>
  <c r="AY8" i="18" a="1"/>
  <c r="AY8" i="18"/>
  <c r="AZ8" i="18"/>
  <c r="BA8" i="18" a="1"/>
  <c r="BA8" i="18" s="1"/>
  <c r="BB8" i="18"/>
  <c r="BC8" i="18"/>
  <c r="BD8" i="18"/>
  <c r="AX9" i="18"/>
  <c r="AY9" i="18" a="1"/>
  <c r="AY9" i="18"/>
  <c r="AZ9" i="18"/>
  <c r="BA9" i="18" a="1"/>
  <c r="BA9" i="18" s="1"/>
  <c r="BB9" i="18"/>
  <c r="BC9" i="18"/>
  <c r="BD9" i="18"/>
  <c r="AX10" i="18"/>
  <c r="AY10" i="18" a="1"/>
  <c r="AY10" i="18" s="1"/>
  <c r="AZ10" i="18"/>
  <c r="BA10" i="18" a="1"/>
  <c r="BA10" i="18" s="1"/>
  <c r="BB10" i="18"/>
  <c r="BC10" i="18"/>
  <c r="BD10" i="18"/>
  <c r="AX11" i="18"/>
  <c r="AY11" i="18" a="1"/>
  <c r="AY11" i="18"/>
  <c r="AZ11" i="18"/>
  <c r="BA11" i="18" a="1"/>
  <c r="BA11" i="18" s="1"/>
  <c r="BB11" i="18"/>
  <c r="BC11" i="18"/>
  <c r="BD11" i="18"/>
  <c r="AX12" i="18"/>
  <c r="AY12" i="18" a="1"/>
  <c r="AY12" i="18" s="1"/>
  <c r="AZ12" i="18"/>
  <c r="BA12" i="18" a="1"/>
  <c r="BA12" i="18" s="1"/>
  <c r="BB12" i="18"/>
  <c r="BC12" i="18"/>
  <c r="BD12" i="18"/>
  <c r="AX13" i="18"/>
  <c r="AY13" i="18" a="1"/>
  <c r="AY13" i="18"/>
  <c r="AZ13" i="18"/>
  <c r="BA13" i="18" a="1"/>
  <c r="BA13" i="18"/>
  <c r="BB13" i="18"/>
  <c r="BC13" i="18"/>
  <c r="BD13" i="18"/>
  <c r="AX14" i="18"/>
  <c r="AY14" i="18" a="1"/>
  <c r="AY14" i="18" s="1"/>
  <c r="AZ14" i="18"/>
  <c r="BA14" i="18" a="1"/>
  <c r="BA14" i="18"/>
  <c r="BB14" i="18"/>
  <c r="BC14" i="18"/>
  <c r="BD14" i="18"/>
  <c r="AX15" i="18"/>
  <c r="AY15" i="18" a="1"/>
  <c r="AY15" i="18" s="1"/>
  <c r="AZ15" i="18"/>
  <c r="BA15" i="18" a="1"/>
  <c r="BA15" i="18" s="1"/>
  <c r="BB15" i="18"/>
  <c r="BC15" i="18"/>
  <c r="BD15" i="18"/>
  <c r="AX16" i="18"/>
  <c r="AY16" i="18" a="1"/>
  <c r="AY16" i="18"/>
  <c r="AZ16" i="18"/>
  <c r="BA16" i="18" a="1"/>
  <c r="BA16" i="18"/>
  <c r="BB16" i="18"/>
  <c r="BC16" i="18"/>
  <c r="BD16" i="18"/>
  <c r="AX17" i="18"/>
  <c r="AY17" i="18" a="1"/>
  <c r="AY17" i="18"/>
  <c r="AZ17" i="18"/>
  <c r="BA17" i="18" a="1"/>
  <c r="BA17" i="18" s="1"/>
  <c r="BB17" i="18"/>
  <c r="BC17" i="18"/>
  <c r="BD17" i="18"/>
  <c r="AX18" i="18"/>
  <c r="AY18" i="18" a="1"/>
  <c r="AY18" i="18" s="1"/>
  <c r="AZ18" i="18"/>
  <c r="BA18" i="18" a="1"/>
  <c r="BA18" i="18"/>
  <c r="BB18" i="18"/>
  <c r="BC18" i="18"/>
  <c r="BD18" i="18"/>
  <c r="AX19" i="18"/>
  <c r="AY19" i="18" a="1"/>
  <c r="AY19" i="18"/>
  <c r="AZ19" i="18"/>
  <c r="BA19" i="18" a="1"/>
  <c r="BA19" i="18" s="1"/>
  <c r="BB19" i="18"/>
  <c r="BC19" i="18"/>
  <c r="BD19" i="18"/>
  <c r="AX20" i="18"/>
  <c r="AY20" i="18" a="1"/>
  <c r="AY20" i="18" s="1"/>
  <c r="AZ20" i="18"/>
  <c r="BA20" i="18" a="1"/>
  <c r="BA20" i="18" s="1"/>
  <c r="BB20" i="18"/>
  <c r="BC20" i="18"/>
  <c r="BD20" i="18"/>
  <c r="AX21" i="18"/>
  <c r="AY21" i="18" a="1"/>
  <c r="AY21" i="18"/>
  <c r="AZ21" i="18"/>
  <c r="BA21" i="18" a="1"/>
  <c r="BA21" i="18"/>
  <c r="BB21" i="18"/>
  <c r="BC21" i="18"/>
  <c r="BD21" i="18"/>
  <c r="AX22" i="18"/>
  <c r="AY22" i="18" a="1"/>
  <c r="AY22" i="18" s="1"/>
  <c r="AZ22" i="18"/>
  <c r="BA22" i="18" a="1"/>
  <c r="BA22" i="18"/>
  <c r="BB22" i="18"/>
  <c r="BC22" i="18"/>
  <c r="BD22" i="18"/>
  <c r="AX23" i="18"/>
  <c r="AY23" i="18" a="1"/>
  <c r="AY23" i="18" s="1"/>
  <c r="AZ23" i="18"/>
  <c r="BA23" i="18" a="1"/>
  <c r="BA23" i="18" s="1"/>
  <c r="BB23" i="18"/>
  <c r="BC23" i="18"/>
  <c r="BD23" i="18"/>
  <c r="AX24" i="18"/>
  <c r="AY24" i="18" a="1"/>
  <c r="AY24" i="18"/>
  <c r="AZ24" i="18"/>
  <c r="BA24" i="18" a="1"/>
  <c r="BA24" i="18"/>
  <c r="BB24" i="18"/>
  <c r="BC24" i="18"/>
  <c r="BD24" i="18"/>
  <c r="AX25" i="18"/>
  <c r="AY25" i="18" a="1"/>
  <c r="AY25" i="18"/>
  <c r="AZ25" i="18"/>
  <c r="BA25" i="18" a="1"/>
  <c r="BA25" i="18" s="1"/>
  <c r="BB25" i="18"/>
  <c r="BC25" i="18"/>
  <c r="BD25" i="18"/>
  <c r="AX26" i="18"/>
  <c r="AY26" i="18" a="1"/>
  <c r="AY26" i="18" s="1"/>
  <c r="AZ26" i="18"/>
  <c r="BA26" i="18" a="1"/>
  <c r="BA26" i="18"/>
  <c r="BB26" i="18"/>
  <c r="BC26" i="18"/>
  <c r="BD26" i="18"/>
  <c r="AX27" i="18"/>
  <c r="AY27" i="18" a="1"/>
  <c r="AY27" i="18"/>
  <c r="AZ27" i="18"/>
  <c r="BA27" i="18" a="1"/>
  <c r="BA27" i="18" s="1"/>
  <c r="BB27" i="18"/>
  <c r="BC27" i="18"/>
  <c r="BD27" i="18"/>
  <c r="AX28" i="18"/>
  <c r="AY28" i="18" a="1"/>
  <c r="AY28" i="18" s="1"/>
  <c r="AZ28" i="18"/>
  <c r="BA28" i="18" a="1"/>
  <c r="BA28" i="18" s="1"/>
  <c r="BB28" i="18"/>
  <c r="BC28" i="18"/>
  <c r="BD28" i="18"/>
  <c r="AX29" i="18"/>
  <c r="AY29" i="18" a="1"/>
  <c r="AY29" i="18"/>
  <c r="AZ29" i="18"/>
  <c r="BA29" i="18" a="1"/>
  <c r="BA29" i="18"/>
  <c r="BB29" i="18"/>
  <c r="BC29" i="18"/>
  <c r="BD29" i="18"/>
  <c r="AX30" i="18"/>
  <c r="AY30" i="18" a="1"/>
  <c r="AY30" i="18" s="1"/>
  <c r="AZ30" i="18"/>
  <c r="BA30" i="18" a="1"/>
  <c r="BA30" i="18"/>
  <c r="BB30" i="18"/>
  <c r="BC30" i="18"/>
  <c r="BD30" i="18"/>
  <c r="AX31" i="18"/>
  <c r="AY31" i="18" a="1"/>
  <c r="AY31" i="18" s="1"/>
  <c r="AZ31" i="18"/>
  <c r="BA31" i="18" a="1"/>
  <c r="BA31" i="18" s="1"/>
  <c r="BB31" i="18"/>
  <c r="BC31" i="18"/>
  <c r="BD31" i="18"/>
  <c r="AX32" i="18"/>
  <c r="AY32" i="18" a="1"/>
  <c r="AY32" i="18"/>
  <c r="AZ32" i="18"/>
  <c r="BA32" i="18" a="1"/>
  <c r="BA32" i="18"/>
  <c r="BB32" i="18"/>
  <c r="BC32" i="18"/>
  <c r="BD32" i="18"/>
  <c r="AX33" i="18"/>
  <c r="AY33" i="18" a="1"/>
  <c r="AY33" i="18"/>
  <c r="AZ33" i="18"/>
  <c r="BA33" i="18" a="1"/>
  <c r="BA33" i="18" s="1"/>
  <c r="BB33" i="18"/>
  <c r="BC33" i="18"/>
  <c r="BD33" i="18"/>
  <c r="AX34" i="18"/>
  <c r="AY34" i="18" a="1"/>
  <c r="AY34" i="18" s="1"/>
  <c r="AZ34" i="18"/>
  <c r="BA34" i="18" a="1"/>
  <c r="BA34" i="18"/>
  <c r="BB34" i="18"/>
  <c r="BC34" i="18"/>
  <c r="BD34" i="18"/>
  <c r="AX35" i="18"/>
  <c r="AY35" i="18" a="1"/>
  <c r="AY35" i="18"/>
  <c r="AZ35" i="18"/>
  <c r="BA35" i="18" a="1"/>
  <c r="BA35" i="18" s="1"/>
  <c r="BB35" i="18"/>
  <c r="BC35" i="18"/>
  <c r="BD35" i="18"/>
  <c r="AX36" i="18"/>
  <c r="AY36" i="18" a="1"/>
  <c r="AY36" i="18" s="1"/>
  <c r="AZ36" i="18"/>
  <c r="BA36" i="18" a="1"/>
  <c r="BA36" i="18" s="1"/>
  <c r="BB36" i="18"/>
  <c r="BC36" i="18"/>
  <c r="BD36" i="18"/>
  <c r="AX37" i="18"/>
  <c r="AY37" i="18" a="1"/>
  <c r="AY37" i="18"/>
  <c r="AZ37" i="18"/>
  <c r="BA37" i="18" a="1"/>
  <c r="BA37" i="18"/>
  <c r="BB37" i="18"/>
  <c r="BC37" i="18"/>
  <c r="BD37" i="18"/>
  <c r="AX38" i="18"/>
  <c r="AY38" i="18" a="1"/>
  <c r="AY38" i="18" s="1"/>
  <c r="AZ38" i="18"/>
  <c r="BA38" i="18" a="1"/>
  <c r="BA38" i="18"/>
  <c r="BB38" i="18"/>
  <c r="BC38" i="18"/>
  <c r="BD38" i="18"/>
  <c r="AX39" i="18"/>
  <c r="AY39" i="18" a="1"/>
  <c r="AY39" i="18" s="1"/>
  <c r="AZ39" i="18"/>
  <c r="BA39" i="18" a="1"/>
  <c r="BA39" i="18" s="1"/>
  <c r="BB39" i="18"/>
  <c r="BC39" i="18"/>
  <c r="BD39" i="18"/>
  <c r="AX40" i="18"/>
  <c r="AY40" i="18" a="1"/>
  <c r="AY40" i="18"/>
  <c r="AZ40" i="18"/>
  <c r="BA40" i="18" a="1"/>
  <c r="BA40" i="18"/>
  <c r="BB40" i="18"/>
  <c r="BC40" i="18"/>
  <c r="BD40" i="18"/>
  <c r="AX41" i="18"/>
  <c r="AY41" i="18" a="1"/>
  <c r="AY41" i="18"/>
  <c r="AZ41" i="18"/>
  <c r="BA41" i="18" a="1"/>
  <c r="BA41" i="18" s="1"/>
  <c r="BB41" i="18"/>
  <c r="BC41" i="18"/>
  <c r="BD41" i="18"/>
  <c r="AX42" i="18"/>
  <c r="AY42" i="18" a="1"/>
  <c r="AY42" i="18" s="1"/>
  <c r="AZ42" i="18"/>
  <c r="BA42" i="18" a="1"/>
  <c r="BA42" i="18"/>
  <c r="BB42" i="18"/>
  <c r="BC42" i="18"/>
  <c r="BD42" i="18"/>
  <c r="AX43" i="18"/>
  <c r="AY43" i="18" a="1"/>
  <c r="AY43" i="18"/>
  <c r="AZ43" i="18"/>
  <c r="BA43" i="18" a="1"/>
  <c r="BA43" i="18" s="1"/>
  <c r="BB43" i="18"/>
  <c r="BC43" i="18"/>
  <c r="BD43" i="18"/>
  <c r="AX44" i="18"/>
  <c r="AY44" i="18" a="1"/>
  <c r="AY44" i="18" s="1"/>
  <c r="AZ44" i="18"/>
  <c r="BA44" i="18" a="1"/>
  <c r="BA44" i="18" s="1"/>
  <c r="BB44" i="18"/>
  <c r="BC44" i="18"/>
  <c r="BD44" i="18"/>
  <c r="AX45" i="18"/>
  <c r="AY45" i="18" a="1"/>
  <c r="AY45" i="18"/>
  <c r="AZ45" i="18"/>
  <c r="BA45" i="18" a="1"/>
  <c r="BA45" i="18"/>
  <c r="BB45" i="18"/>
  <c r="BC45" i="18"/>
  <c r="BD45" i="18"/>
  <c r="AX46" i="18"/>
  <c r="AY46" i="18" a="1"/>
  <c r="AY46" i="18" s="1"/>
  <c r="AZ46" i="18"/>
  <c r="BA46" i="18" a="1"/>
  <c r="BA46" i="18"/>
  <c r="BB46" i="18"/>
  <c r="BC46" i="18"/>
  <c r="BD46" i="18"/>
  <c r="AX47" i="18"/>
  <c r="AY47" i="18" a="1"/>
  <c r="AY47" i="18" s="1"/>
  <c r="AZ47" i="18"/>
  <c r="BA47" i="18" a="1"/>
  <c r="BA47" i="18" s="1"/>
  <c r="BB47" i="18"/>
  <c r="BC47" i="18"/>
  <c r="BD47" i="18"/>
  <c r="AX48" i="18"/>
  <c r="AY48" i="18" a="1"/>
  <c r="AY48" i="18"/>
  <c r="BF48" i="18" s="1"/>
  <c r="BH48" i="18" s="1"/>
  <c r="AZ48" i="18"/>
  <c r="BA48" i="18" a="1"/>
  <c r="BA48" i="18"/>
  <c r="BB48" i="18"/>
  <c r="BC48" i="18"/>
  <c r="BD48" i="18"/>
  <c r="AX49" i="18"/>
  <c r="AY49" i="18" a="1"/>
  <c r="AY49" i="18"/>
  <c r="AZ49" i="18"/>
  <c r="BA49" i="18" a="1"/>
  <c r="BA49" i="18" s="1"/>
  <c r="BB49" i="18"/>
  <c r="BC49" i="18"/>
  <c r="BD49" i="18"/>
  <c r="BB6" i="18"/>
  <c r="BA6" i="18" a="1"/>
  <c r="BA6" i="18" s="1"/>
  <c r="AY6" i="18" a="1"/>
  <c r="AY6" i="18" s="1"/>
  <c r="G41" i="18"/>
  <c r="H41" i="18"/>
  <c r="BG41" i="18"/>
  <c r="G42" i="18"/>
  <c r="H42" i="18"/>
  <c r="BG42" i="18"/>
  <c r="G43" i="18"/>
  <c r="H43" i="18"/>
  <c r="BG43" i="18"/>
  <c r="G44" i="18"/>
  <c r="H44" i="18"/>
  <c r="BG44" i="18"/>
  <c r="G45" i="18"/>
  <c r="H45" i="18"/>
  <c r="BG45" i="18"/>
  <c r="G46" i="18"/>
  <c r="H46" i="18"/>
  <c r="BG46" i="18"/>
  <c r="G47" i="18"/>
  <c r="H47" i="18"/>
  <c r="BG47" i="18"/>
  <c r="G48" i="18"/>
  <c r="H48" i="18"/>
  <c r="BG48" i="18"/>
  <c r="G49" i="18"/>
  <c r="H49" i="18"/>
  <c r="BG49" i="18"/>
  <c r="BD6" i="18"/>
  <c r="BC6" i="18"/>
  <c r="AZ6" i="18"/>
  <c r="AX6" i="18"/>
  <c r="BE49" i="18" l="1"/>
  <c r="BE44" i="18"/>
  <c r="BF44" i="18"/>
  <c r="BH44" i="18" s="1"/>
  <c r="BE48" i="18"/>
  <c r="BE46" i="18"/>
  <c r="BE41" i="18"/>
  <c r="BE45" i="18"/>
  <c r="BF49" i="18"/>
  <c r="BH49" i="18" s="1"/>
  <c r="BE47" i="18"/>
  <c r="BE43" i="18"/>
  <c r="BF42" i="18"/>
  <c r="BH42" i="18" s="1"/>
  <c r="BF47" i="18"/>
  <c r="BH47" i="18" s="1"/>
  <c r="BE42" i="18"/>
  <c r="BF43" i="18"/>
  <c r="BH43" i="18" s="1"/>
  <c r="BF41" i="18"/>
  <c r="BH41" i="18" s="1"/>
  <c r="BF45" i="18"/>
  <c r="BH45" i="18" s="1"/>
  <c r="BF46" i="18"/>
  <c r="BH46" i="18" s="1"/>
  <c r="BE40" i="18"/>
  <c r="BE31" i="18"/>
  <c r="BE23" i="18"/>
  <c r="BE13" i="18"/>
  <c r="BE8" i="18"/>
  <c r="BE26" i="18"/>
  <c r="BE36" i="18"/>
  <c r="BE27" i="18"/>
  <c r="BE17" i="18"/>
  <c r="BE9" i="18"/>
  <c r="BE35" i="18"/>
  <c r="BE16" i="18"/>
  <c r="BE37" i="18"/>
  <c r="BE28" i="18"/>
  <c r="BE18" i="18"/>
  <c r="BE10" i="18"/>
  <c r="BF6" i="18"/>
  <c r="BE29" i="18"/>
  <c r="BE21" i="18"/>
  <c r="BE20" i="18"/>
  <c r="BE19" i="18"/>
  <c r="BE11" i="18"/>
  <c r="BE39" i="18"/>
  <c r="BE30" i="18"/>
  <c r="BE22" i="18"/>
  <c r="BE12" i="18"/>
  <c r="BE14" i="18"/>
  <c r="BE32" i="18"/>
  <c r="BE24" i="18"/>
  <c r="BE34" i="18"/>
  <c r="BE33" i="18"/>
  <c r="BE25" i="18"/>
  <c r="BE15" i="18"/>
  <c r="BE7" i="18"/>
  <c r="BE38" i="18"/>
  <c r="BF38" i="18"/>
  <c r="BF34" i="18"/>
  <c r="BF30" i="18"/>
  <c r="BF26" i="18"/>
  <c r="BF22" i="18"/>
  <c r="BF18" i="18"/>
  <c r="BF14" i="18"/>
  <c r="BF10" i="18"/>
  <c r="BF37" i="18"/>
  <c r="BF33" i="18"/>
  <c r="BF29" i="18"/>
  <c r="BF25" i="18"/>
  <c r="BF21" i="18"/>
  <c r="BF17" i="18"/>
  <c r="BF13" i="18"/>
  <c r="BF9" i="18"/>
  <c r="BE6" i="18"/>
  <c r="BF40" i="18"/>
  <c r="BF36" i="18"/>
  <c r="BF32" i="18"/>
  <c r="BF28" i="18"/>
  <c r="BF24" i="18"/>
  <c r="BF20" i="18"/>
  <c r="BF16" i="18"/>
  <c r="BF12" i="18"/>
  <c r="BF8" i="18"/>
  <c r="BF39" i="18"/>
  <c r="BF35" i="18"/>
  <c r="BF31" i="18"/>
  <c r="BF27" i="18"/>
  <c r="BF23" i="18"/>
  <c r="BF19" i="18"/>
  <c r="BF15" i="18"/>
  <c r="BF11" i="18"/>
  <c r="BF7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S51" i="18"/>
  <c r="AT51" i="18"/>
  <c r="AU51" i="18"/>
  <c r="AV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S52" i="18"/>
  <c r="AT52" i="18"/>
  <c r="AU52" i="18"/>
  <c r="AV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S53" i="18"/>
  <c r="AT53" i="18"/>
  <c r="AU53" i="18"/>
  <c r="AV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S54" i="18"/>
  <c r="AT54" i="18"/>
  <c r="AU54" i="18"/>
  <c r="AV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S55" i="18"/>
  <c r="AT55" i="18"/>
  <c r="AU55" i="18"/>
  <c r="AV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S56" i="18"/>
  <c r="AT56" i="18"/>
  <c r="AU56" i="18"/>
  <c r="AV56" i="18"/>
  <c r="K51" i="18"/>
  <c r="K52" i="18"/>
  <c r="K53" i="18"/>
  <c r="K54" i="18"/>
  <c r="K55" i="18"/>
  <c r="K56" i="18"/>
  <c r="J51" i="18"/>
  <c r="J52" i="18"/>
  <c r="J53" i="18"/>
  <c r="J54" i="18"/>
  <c r="J55" i="18"/>
  <c r="J56" i="18"/>
  <c r="I52" i="18"/>
  <c r="I53" i="18"/>
  <c r="I54" i="18"/>
  <c r="I55" i="18"/>
  <c r="I56" i="18"/>
  <c r="I51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H6" i="18"/>
  <c r="G6" i="18"/>
  <c r="H5" i="18"/>
  <c r="G5" i="18"/>
  <c r="BG7" i="18"/>
  <c r="BG8" i="18"/>
  <c r="BG9" i="18"/>
  <c r="BG10" i="18"/>
  <c r="BG11" i="18"/>
  <c r="BG12" i="18"/>
  <c r="BG13" i="18"/>
  <c r="BG14" i="18"/>
  <c r="BG15" i="18"/>
  <c r="BG16" i="18"/>
  <c r="BG17" i="18"/>
  <c r="BG18" i="18"/>
  <c r="BG19" i="18"/>
  <c r="BG20" i="18"/>
  <c r="BG21" i="18"/>
  <c r="BG22" i="18"/>
  <c r="BG23" i="18"/>
  <c r="BG24" i="18"/>
  <c r="BG25" i="18"/>
  <c r="BG26" i="18"/>
  <c r="BG27" i="18"/>
  <c r="BG28" i="18"/>
  <c r="BG29" i="18"/>
  <c r="BG30" i="18"/>
  <c r="BG31" i="18"/>
  <c r="BG32" i="18"/>
  <c r="BG33" i="18"/>
  <c r="BG34" i="18"/>
  <c r="BG35" i="18"/>
  <c r="BG36" i="18"/>
  <c r="BG37" i="18"/>
  <c r="BG38" i="18"/>
  <c r="BG39" i="18"/>
  <c r="BG40" i="18"/>
  <c r="BG6" i="18"/>
  <c r="BH6" i="18" l="1"/>
  <c r="D2" i="24"/>
  <c r="C2" i="24"/>
  <c r="A4" i="22"/>
  <c r="D4" i="22" s="1"/>
  <c r="BH7" i="18" l="1"/>
  <c r="BH11" i="18"/>
  <c r="BH19" i="18"/>
  <c r="BH31" i="18"/>
  <c r="BH39" i="18"/>
  <c r="BH23" i="18"/>
  <c r="BH27" i="18"/>
  <c r="BH15" i="18"/>
  <c r="BH35" i="18"/>
  <c r="BH40" i="18"/>
  <c r="BH36" i="18"/>
  <c r="BH32" i="18"/>
  <c r="BH28" i="18"/>
  <c r="BH24" i="18"/>
  <c r="BH20" i="18"/>
  <c r="BH16" i="18"/>
  <c r="BH12" i="18"/>
  <c r="BH8" i="18"/>
  <c r="BH38" i="18"/>
  <c r="BH34" i="18"/>
  <c r="BH33" i="18"/>
  <c r="BH30" i="18"/>
  <c r="BH26" i="18"/>
  <c r="BH25" i="18"/>
  <c r="BH22" i="18"/>
  <c r="BH18" i="18"/>
  <c r="BH14" i="18"/>
  <c r="BH13" i="18"/>
  <c r="BH10" i="18"/>
  <c r="BH37" i="18"/>
  <c r="BH29" i="18"/>
  <c r="BH21" i="18"/>
  <c r="BH17" i="18"/>
  <c r="BH9" i="18"/>
  <c r="C4" i="22"/>
  <c r="H4" i="22"/>
  <c r="G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A39" i="22" s="1"/>
  <c r="B39" i="22" l="1"/>
  <c r="A40" i="22"/>
  <c r="B38" i="22"/>
  <c r="B40" i="22" l="1"/>
  <c r="A41" i="22"/>
  <c r="I2" i="18"/>
  <c r="B41" i="22" l="1"/>
  <c r="A42" i="22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B42" i="22" l="1"/>
  <c r="A43" i="22"/>
  <c r="B43" i="22" s="1"/>
  <c r="J2" i="18"/>
  <c r="G5" i="22"/>
  <c r="E5" i="22"/>
  <c r="C5" i="22"/>
  <c r="H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D6" i="22"/>
  <c r="E6" i="22"/>
  <c r="G6" i="22"/>
  <c r="C6" i="22"/>
  <c r="H6" i="22"/>
  <c r="F6" i="22"/>
  <c r="L5" i="18"/>
  <c r="BB36" i="16"/>
  <c r="BB35" i="16"/>
  <c r="BB41" i="16"/>
  <c r="H7" i="22" l="1"/>
  <c r="C7" i="22"/>
  <c r="E7" i="22"/>
  <c r="L2" i="18"/>
  <c r="G7" i="22"/>
  <c r="F7" i="22"/>
  <c r="D7" i="22"/>
  <c r="M5" i="18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G8" i="22" l="1"/>
  <c r="E8" i="22"/>
  <c r="H8" i="22"/>
  <c r="D8" i="22"/>
  <c r="M2" i="18"/>
  <c r="C8" i="22"/>
  <c r="F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G9" i="22" l="1"/>
  <c r="N2" i="18"/>
  <c r="E9" i="22"/>
  <c r="C9" i="22"/>
  <c r="F9" i="22"/>
  <c r="O5" i="18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O2" i="18" l="1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5" i="18" l="1"/>
  <c r="AH2" i="18" s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AI5" i="18" l="1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AJ5" i="18" l="1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AM5" i="18" l="1"/>
  <c r="AM2" i="18" s="1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AN5" i="18" l="1"/>
  <c r="AN2" i="18"/>
  <c r="AO5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AP5" i="18" l="1"/>
  <c r="AO2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AQ5" i="18" l="1"/>
  <c r="AP2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R5" i="18" l="1"/>
  <c r="AQ2" i="18"/>
  <c r="G39" i="22"/>
  <c r="H39" i="22"/>
  <c r="C39" i="22"/>
  <c r="E39" i="22"/>
  <c r="F39" i="22"/>
  <c r="D39" i="22"/>
  <c r="D10" i="22"/>
  <c r="F23" i="22"/>
  <c r="D22" i="22"/>
  <c r="C34" i="22"/>
  <c r="F31" i="22"/>
  <c r="G30" i="22"/>
  <c r="D9" i="22"/>
  <c r="C36" i="22"/>
  <c r="E35" i="22"/>
  <c r="G13" i="22"/>
  <c r="H16" i="22"/>
  <c r="H21" i="22"/>
  <c r="G22" i="22"/>
  <c r="D36" i="22"/>
  <c r="G26" i="22"/>
  <c r="H33" i="22"/>
  <c r="H28" i="22"/>
  <c r="C17" i="22"/>
  <c r="C15" i="22"/>
  <c r="H36" i="22"/>
  <c r="G24" i="22"/>
  <c r="D34" i="22"/>
  <c r="F30" i="22"/>
  <c r="D38" i="22"/>
  <c r="F10" i="22"/>
  <c r="H37" i="22"/>
  <c r="E17" i="22"/>
  <c r="F26" i="22"/>
  <c r="D28" i="22"/>
  <c r="F32" i="22"/>
  <c r="C21" i="22"/>
  <c r="H22" i="22"/>
  <c r="E36" i="22"/>
  <c r="F37" i="22"/>
  <c r="C12" i="22"/>
  <c r="F12" i="22"/>
  <c r="C33" i="22"/>
  <c r="G37" i="22"/>
  <c r="H30" i="22"/>
  <c r="D17" i="22"/>
  <c r="H20" i="22"/>
  <c r="C13" i="22"/>
  <c r="E14" i="22"/>
  <c r="C24" i="22"/>
  <c r="C26" i="22"/>
  <c r="H27" i="22"/>
  <c r="E15" i="22"/>
  <c r="G33" i="22"/>
  <c r="E29" i="22"/>
  <c r="H10" i="22"/>
  <c r="D21" i="22"/>
  <c r="G19" i="22"/>
  <c r="C10" i="22"/>
  <c r="E23" i="22"/>
  <c r="H34" i="22"/>
  <c r="D12" i="22"/>
  <c r="H35" i="22"/>
  <c r="C30" i="22"/>
  <c r="F34" i="22"/>
  <c r="C32" i="22"/>
  <c r="G34" i="22"/>
  <c r="H18" i="22"/>
  <c r="F20" i="22"/>
  <c r="D19" i="22"/>
  <c r="D16" i="22"/>
  <c r="F11" i="22"/>
  <c r="D30" i="22"/>
  <c r="C35" i="22"/>
  <c r="D31" i="22"/>
  <c r="G15" i="22"/>
  <c r="H23" i="22"/>
  <c r="F22" i="22"/>
  <c r="E20" i="22"/>
  <c r="E11" i="22"/>
  <c r="E27" i="22"/>
  <c r="G11" i="22"/>
  <c r="C18" i="22"/>
  <c r="H11" i="22"/>
  <c r="E13" i="22"/>
  <c r="H14" i="22"/>
  <c r="E21" i="22"/>
  <c r="G35" i="22"/>
  <c r="D37" i="22"/>
  <c r="D29" i="22"/>
  <c r="F13" i="22"/>
  <c r="F24" i="22"/>
  <c r="H12" i="22"/>
  <c r="H19" i="22"/>
  <c r="G20" i="22"/>
  <c r="F33" i="22"/>
  <c r="G12" i="22"/>
  <c r="C22" i="22"/>
  <c r="C38" i="22"/>
  <c r="C19" i="22"/>
  <c r="H25" i="22"/>
  <c r="H29" i="22"/>
  <c r="E10" i="22"/>
  <c r="C20" i="22"/>
  <c r="H38" i="22"/>
  <c r="C11" i="22"/>
  <c r="D13" i="22"/>
  <c r="E32" i="22"/>
  <c r="F38" i="22"/>
  <c r="F27" i="22"/>
  <c r="F28" i="22"/>
  <c r="G36" i="22"/>
  <c r="C25" i="22"/>
  <c r="H31" i="22"/>
  <c r="D23" i="22"/>
  <c r="E16" i="22"/>
  <c r="E37" i="22"/>
  <c r="H32" i="22"/>
  <c r="E28" i="22"/>
  <c r="H15" i="22"/>
  <c r="D35" i="22"/>
  <c r="D20" i="22"/>
  <c r="D32" i="22"/>
  <c r="E34" i="22"/>
  <c r="D24" i="22"/>
  <c r="D25" i="22"/>
  <c r="G10" i="22"/>
  <c r="C16" i="22"/>
  <c r="E31" i="22"/>
  <c r="G38" i="22"/>
  <c r="G16" i="22"/>
  <c r="G17" i="22"/>
  <c r="F15" i="22"/>
  <c r="E26" i="22"/>
  <c r="H17" i="22"/>
  <c r="C37" i="22"/>
  <c r="D14" i="22"/>
  <c r="F29" i="22"/>
  <c r="H26" i="22"/>
  <c r="E18" i="22"/>
  <c r="E22" i="22"/>
  <c r="G23" i="22"/>
  <c r="F21" i="22"/>
  <c r="E25" i="22"/>
  <c r="C29" i="22"/>
  <c r="E38" i="22"/>
  <c r="G21" i="22"/>
  <c r="C31" i="22"/>
  <c r="F35" i="22"/>
  <c r="D18" i="22"/>
  <c r="G14" i="22"/>
  <c r="F19" i="22"/>
  <c r="E19" i="22"/>
  <c r="F25" i="22"/>
  <c r="C28" i="22"/>
  <c r="D26" i="22"/>
  <c r="C14" i="22"/>
  <c r="E12" i="22"/>
  <c r="D15" i="22"/>
  <c r="E24" i="22"/>
  <c r="E33" i="22"/>
  <c r="C27" i="22"/>
  <c r="H13" i="22"/>
  <c r="H24" i="22"/>
  <c r="F18" i="22"/>
  <c r="G28" i="22"/>
  <c r="D33" i="22"/>
  <c r="G25" i="22"/>
  <c r="C23" i="22"/>
  <c r="F16" i="22"/>
  <c r="D11" i="22"/>
  <c r="G18" i="22"/>
  <c r="F14" i="22"/>
  <c r="G31" i="22"/>
  <c r="F36" i="22"/>
  <c r="D27" i="22"/>
  <c r="G27" i="22"/>
  <c r="G29" i="22"/>
  <c r="G32" i="22"/>
  <c r="E30" i="22"/>
  <c r="F17" i="22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AS5" i="18" l="1"/>
  <c r="AR2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AT5" i="18" l="1"/>
  <c r="AS2" i="18"/>
  <c r="G41" i="22"/>
  <c r="F40" i="22"/>
  <c r="C41" i="22"/>
  <c r="C40" i="22"/>
  <c r="F41" i="22"/>
  <c r="E40" i="22"/>
  <c r="D41" i="22"/>
  <c r="G40" i="22"/>
  <c r="H41" i="22"/>
  <c r="D40" i="22"/>
  <c r="E41" i="22"/>
  <c r="H40" i="22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AU5" i="18" l="1"/>
  <c r="AT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AV5" i="18" l="1"/>
  <c r="AV2" i="18" s="1"/>
  <c r="AU2" i="18"/>
  <c r="E42" i="22"/>
  <c r="F42" i="22"/>
  <c r="E43" i="22"/>
  <c r="F43" i="22"/>
  <c r="D42" i="22"/>
  <c r="D43" i="22"/>
  <c r="H42" i="22"/>
  <c r="G42" i="22"/>
  <c r="C43" i="22"/>
  <c r="C42" i="22"/>
  <c r="H43" i="22"/>
  <c r="G43" i="22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C25" i="16" l="1"/>
  <c r="BC22" i="16"/>
  <c r="AY34" i="16"/>
  <c r="AY44" i="16"/>
  <c r="AT30" i="15"/>
  <c r="AT37" i="15"/>
  <c r="AZ38" i="16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C39" i="16" l="1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C29" i="16" l="1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C12" i="16" l="1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<sst xmlns="http://schemas.openxmlformats.org/spreadsheetml/2006/main" count="3166" uniqueCount="298">
  <si>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</si>
  <si>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</si>
  <si>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</si>
  <si>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</si>
  <si>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</si>
  <si>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</si>
  <si>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</si>
  <si>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</si>
  <si>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</si>
  <si>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</si>
  <si>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</si>
  <si>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</si>
  <si>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</si>
  <si>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</si>
  <si>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</si>
  <si>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</si>
  <si>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</si>
  <si>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</si>
  <si>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</si>
  <si>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</si>
  <si>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</si>
  <si>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</si>
  <si>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</si>
  <si>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</si>
  <si>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</si>
  <si>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</si>
  <si>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</si>
  <si>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</si>
  <si>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</si>
  <si>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</si>
  <si>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</si>
  <si>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</si>
  <si>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</si>
  <si>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</si>
  <si>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</si>
  <si>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</si>
  <si>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</si>
  <si>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</si>
  <si>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</si>
  <si>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</si>
  <si>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</si>
  <si>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</si>
  <si>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</si>
  <si>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</si>
  <si>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</si>
  <si>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</si>
  <si>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</si>
  <si>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</si>
  <si>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</si>
  <si>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</si>
  <si>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</si>
  <si>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</si>
  <si>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</si>
  <si>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</si>
  <si>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</si>
  <si>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</si>
  <si>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</si>
  <si>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</si>
  <si>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</si>
  <si>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</si>
  <si>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</si>
  <si>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</si>
  <si>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</si>
  <si>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</si>
  <si>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</si>
  <si>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</si>
  <si>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</si>
  <si>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</si>
  <si>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</si>
  <si>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</si>
  <si>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</si>
  <si>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</si>
  <si>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</si>
  <si>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</si>
  <si>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</si>
  <si>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</si>
  <si>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</si>
  <si>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</si>
  <si>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</si>
  <si>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</si>
  <si>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</si>
  <si>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</si>
  <si>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</si>
  <si>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</si>
  <si>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</si>
  <si>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</si>
  <si>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</si>
  <si>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</si>
  <si>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</si>
  <si>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</si>
  <si>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</si>
  <si>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</si>
  <si>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</si>
  <si>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</si>
  <si>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</si>
  <si>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</si>
  <si>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</si>
  <si>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</si>
  <si>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</si>
  <si>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</si>
  <si>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</si>
  <si>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</si>
  <si>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</si>
  <si>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</si>
  <si>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</si>
  <si>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</si>
  <si>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</si>
  <si>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</si>
  <si>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</si>
  <si>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</si>
  <si>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</si>
  <si>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</si>
  <si>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</si>
  <si>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</si>
  <si>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</si>
  <si>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</si>
  <si>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</si>
  <si>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</si>
  <si>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</si>
  <si>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</si>
  <si>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</si>
  <si>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</si>
  <si>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</si>
  <si>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</si>
  <si>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</si>
  <si>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</si>
  <si>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</si>
  <si>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</si>
  <si>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</si>
  <si>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</si>
  <si>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</si>
  <si>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</si>
  <si>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</si>
  <si>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</si>
  <si>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</si>
  <si>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</si>
  <si>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</si>
  <si>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</si>
  <si>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</si>
  <si>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</si>
  <si>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</si>
  <si>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</si>
  <si>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</si>
  <si>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</si>
  <si>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</si>
  <si>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</si>
  <si>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</si>
  <si>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</si>
  <si>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</si>
  <si>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</si>
  <si>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</si>
  <si>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</si>
  <si>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</si>
  <si>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</si>
  <si>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</si>
  <si>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</si>
  <si>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</si>
  <si>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</si>
  <si>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</si>
  <si>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</si>
  <si>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</si>
  <si>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</si>
  <si>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</si>
  <si>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</si>
  <si>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</si>
  <si>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</si>
  <si>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</si>
  <si>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</si>
  <si>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</si>
  <si>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</si>
  <si>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</si>
  <si>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</si>
  <si>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</si>
  <si>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</si>
  <si>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</si>
  <si>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</si>
  <si>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</si>
  <si>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</si>
  <si>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</si>
  <si>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</si>
  <si>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</si>
  <si>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</si>
  <si>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</si>
  <si>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</si>
  <si>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</si>
  <si>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</si>
  <si>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</si>
  <si>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</si>
  <si>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</si>
  <si>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</si>
  <si>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</si>
  <si>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</si>
  <si>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</si>
  <si>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</si>
  <si>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</si>
  <si>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</si>
  <si>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</si>
  <si>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</si>
  <si>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</si>
  <si>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</si>
  <si>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</si>
  <si>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</si>
  <si>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</si>
  <si>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</si>
  <si>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</si>
  <si>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</si>
  <si>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</si>
  <si>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</si>
  <si>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</si>
  <si>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</si>
  <si>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</si>
  <si>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</si>
  <si>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</si>
  <si>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</si>
  <si>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</si>
  <si>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</si>
  <si>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</si>
  <si>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</si>
  <si>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</si>
  <si>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</si>
  <si>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</si>
  <si>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</si>
  <si>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</si>
  <si>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</si>
  <si>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</si>
  <si>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</si>
  <si>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</si>
  <si>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</si>
  <si>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</si>
  <si>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</si>
  <si>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</si>
  <si>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</si>
  <si>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</si>
  <si>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</si>
  <si>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</si>
  <si>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</si>
  <si>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</si>
  <si>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</si>
  <si>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</si>
  <si>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</si>
  <si>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</si>
  <si>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</si>
  <si>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</si>
  <si>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</si>
  <si>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</si>
  <si>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</si>
  <si>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</si>
  <si>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</si>
  <si>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</si>
  <si>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</si>
  <si>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</si>
  <si>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</si>
  <si>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</si>
  <si>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</si>
  <si>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</si>
  <si>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</si>
  <si>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</si>
  <si>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</si>
  <si>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</si>
  <si>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</si>
  <si>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</si>
  <si>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</si>
  <si>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Blocked due to recent call</t>
  </si>
  <si>
    <t>Day of week</t>
  </si>
  <si>
    <t>DATE/DAY</t>
  </si>
  <si>
    <t>Subspec</t>
  </si>
  <si>
    <t>CICU</t>
  </si>
  <si>
    <t>SUBSPEC</t>
  </si>
  <si>
    <t>COURSE</t>
  </si>
  <si>
    <t>Leave or valid autoblock</t>
  </si>
  <si>
    <t>MEDICAL OFFICERS</t>
  </si>
  <si>
    <t>(Weekend Rounder)</t>
  </si>
  <si>
    <t>Month-1</t>
  </si>
  <si>
    <t>Cumulative</t>
  </si>
  <si>
    <t>Call points last month</t>
  </si>
  <si>
    <t>Total call points</t>
  </si>
  <si>
    <t>Level</t>
  </si>
  <si>
    <t>Eligible shifts</t>
  </si>
  <si>
    <t>R1</t>
  </si>
  <si>
    <t>R2</t>
  </si>
  <si>
    <t>R3</t>
  </si>
  <si>
    <t>Sample</t>
  </si>
  <si>
    <t>Sun/PH</t>
  </si>
  <si>
    <t>1/2 Fri</t>
  </si>
  <si>
    <t>1 pt</t>
  </si>
  <si>
    <t>2 pts</t>
  </si>
  <si>
    <t>4 pts</t>
  </si>
  <si>
    <t>3 pts</t>
  </si>
  <si>
    <t>1/2 WD</t>
  </si>
  <si>
    <t>1/2 pt</t>
  </si>
  <si>
    <t>1/2 OIL</t>
  </si>
  <si>
    <t>BLOCK / WRBLOCK</t>
  </si>
  <si>
    <t>Call block / WR block</t>
  </si>
  <si>
    <t xml:space="preserve">
Blocked due to subspec or gen paeds commitments</t>
  </si>
  <si>
    <t>Blocked for course</t>
  </si>
  <si>
    <t>Subspec blocks</t>
  </si>
  <si>
    <t>Respi: Mon and Tues
NEM: Sunday
Renal: Mon and 2nd Tues</t>
  </si>
  <si>
    <t>R-CICU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</si>
</sst>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 tint="0.499984740745262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9D7F8"/>
        <bgColor rgb="FF404040"/>
      </patternFill>
    </fill>
    <fill>
      <patternFill patternType="solid">
        <fgColor rgb="FFE1BEE7"/>
        <bgColor rgb="FF404040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</cellStyleXfs>
  <cellXfs count="4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15" fontId="0" fillId="0" borderId="4" xfId="0" applyNumberFormat="1" applyBorder="1" applyAlignment="1">
      <alignment horizontal="center" vertical="center"/>
    </xf>
    <xf numFmtId="0" fontId="24" fillId="58" borderId="2" xfId="0" applyFont="1" applyFill="1" applyBorder="1" applyAlignment="1">
      <alignment horizontal="center"/>
    </xf>
    <xf numFmtId="0" fontId="24" fillId="59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26" xfId="0" applyBorder="1"/>
    <xf numFmtId="0" fontId="0" fillId="0" borderId="48" xfId="0" applyBorder="1"/>
    <xf numFmtId="15" fontId="36" fillId="0" borderId="4" xfId="0" applyNumberFormat="1" applyFont="1" applyBorder="1" applyAlignment="1">
      <alignment horizontal="center" vertical="center"/>
    </xf>
    <xf numFmtId="15" fontId="36" fillId="0" borderId="2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0" borderId="2" xfId="0" applyFill="1" applyBorder="1" applyAlignment="1">
      <alignment horizontal="center" vertical="center" textRotation="90"/>
    </xf>
    <xf numFmtId="15" fontId="0" fillId="0" borderId="56" xfId="0" applyNumberFormat="1" applyBorder="1" applyAlignment="1">
      <alignment horizontal="center" vertical="center"/>
    </xf>
    <xf numFmtId="15" fontId="0" fillId="0" borderId="57" xfId="0" applyNumberFormat="1" applyBorder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 2" xfId="4" xr:uid="{9E270F38-2FBC-9F49-B90C-FACA539BF1D5}"/>
  </cellStyles>
  <dxfs count="0"/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P69"/>
  <sheetViews>
    <sheetView showGridLines="0" tabSelected="1" zoomScale="70" zoomScaleNormal="82" workbookViewId="0">
      <pane xSplit="6" ySplit="5" topLeftCell="AE6" activePane="bottomRight" state="frozen"/>
      <selection pane="topRight" activeCell="F1" sqref="F1"/>
      <selection pane="bottomLeft" activeCell="A6" sqref="A6"/>
      <selection pane="bottomRight" activeCell="AX6" sqref="AX6:BD6"/>
    </sheetView>
  </sheetViews>
  <sheetFormatPr baseColWidth="10" defaultColWidth="10.83203125" defaultRowHeight="15" x14ac:dyDescent="0.2"/>
  <cols>
    <col min="1" max="1" width="6.83203125" style="1" customWidth="1"/>
    <col min="2" max="2" width="23.83203125" style="3" bestFit="1" customWidth="1"/>
    <col min="3" max="3" width="8" style="1" customWidth="1"/>
    <col min="4" max="5" width="13.5" style="3" customWidth="1"/>
    <col min="6" max="6" width="0.33203125" style="3" customWidth="1"/>
    <col min="7" max="8" width="9.5" style="3" customWidth="1"/>
    <col min="9" max="48" width="9" style="1" customWidth="1"/>
    <col min="49" max="49" width="3.1640625" style="1" customWidth="1"/>
    <col min="50" max="56" width="8.5" style="1" customWidth="1"/>
    <col min="57" max="16384" width="10.83203125" style="1"/>
  </cols>
  <sheetData>
    <row r="1" spans="2:68" ht="21" customHeight="1" x14ac:dyDescent="0.2">
      <c r="B1" s="332" t="s">
        <v>261</v>
      </c>
      <c r="D1" s="352" t="s">
        <v>159</v>
      </c>
      <c r="E1" s="352"/>
      <c r="F1" s="352"/>
      <c r="G1" s="352"/>
      <c r="H1" s="352"/>
      <c r="I1" s="353"/>
      <c r="J1" s="353"/>
      <c r="K1" s="353"/>
      <c r="L1" s="353"/>
      <c r="M1" s="353" t="s">
        <v>193</v>
      </c>
      <c r="N1" s="353" t="s">
        <v>193</v>
      </c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</row>
    <row r="2" spans="2:68" ht="16" customHeight="1" thickBot="1" x14ac:dyDescent="0.25">
      <c r="B2" s="332"/>
      <c r="D2" s="352" t="s">
        <v>263</v>
      </c>
      <c r="E2" s="352"/>
      <c r="F2" s="352"/>
      <c r="G2" s="352"/>
      <c r="H2" s="352"/>
      <c r="I2" s="353">
        <f t="shared" ref="I2:AN2" si="0">WEEKDAY(I5,2)</f>
        <v>2</v>
      </c>
      <c r="J2" s="353">
        <f t="shared" si="0"/>
        <v>3</v>
      </c>
      <c r="K2" s="353">
        <f t="shared" si="0"/>
        <v>4</v>
      </c>
      <c r="L2" s="353">
        <f t="shared" si="0"/>
        <v>5</v>
      </c>
      <c r="M2" s="353">
        <f t="shared" si="0"/>
        <v>6</v>
      </c>
      <c r="N2" s="353">
        <f t="shared" si="0"/>
        <v>7</v>
      </c>
      <c r="O2" s="353">
        <f t="shared" si="0"/>
        <v>1</v>
      </c>
      <c r="P2" s="353">
        <f t="shared" si="0"/>
        <v>2</v>
      </c>
      <c r="Q2" s="353">
        <f t="shared" si="0"/>
        <v>3</v>
      </c>
      <c r="R2" s="353">
        <f t="shared" si="0"/>
        <v>4</v>
      </c>
      <c r="S2" s="353">
        <f t="shared" si="0"/>
        <v>5</v>
      </c>
      <c r="T2" s="353">
        <f t="shared" si="0"/>
        <v>6</v>
      </c>
      <c r="U2" s="353">
        <f t="shared" si="0"/>
        <v>7</v>
      </c>
      <c r="V2" s="353">
        <f t="shared" si="0"/>
        <v>1</v>
      </c>
      <c r="W2" s="353">
        <f t="shared" si="0"/>
        <v>2</v>
      </c>
      <c r="X2" s="353">
        <f t="shared" si="0"/>
        <v>3</v>
      </c>
      <c r="Y2" s="353">
        <f t="shared" si="0"/>
        <v>4</v>
      </c>
      <c r="Z2" s="353">
        <f t="shared" si="0"/>
        <v>5</v>
      </c>
      <c r="AA2" s="353">
        <f t="shared" si="0"/>
        <v>6</v>
      </c>
      <c r="AB2" s="353">
        <f t="shared" si="0"/>
        <v>7</v>
      </c>
      <c r="AC2" s="353">
        <f t="shared" si="0"/>
        <v>1</v>
      </c>
      <c r="AD2" s="353">
        <f t="shared" si="0"/>
        <v>2</v>
      </c>
      <c r="AE2" s="353">
        <f t="shared" si="0"/>
        <v>3</v>
      </c>
      <c r="AF2" s="353">
        <f t="shared" si="0"/>
        <v>4</v>
      </c>
      <c r="AG2" s="353">
        <f t="shared" si="0"/>
        <v>5</v>
      </c>
      <c r="AH2" s="353">
        <f t="shared" si="0"/>
        <v>6</v>
      </c>
      <c r="AI2" s="353">
        <f t="shared" si="0"/>
        <v>7</v>
      </c>
      <c r="AJ2" s="353">
        <f t="shared" si="0"/>
        <v>1</v>
      </c>
      <c r="AK2" s="353">
        <f t="shared" si="0"/>
        <v>2</v>
      </c>
      <c r="AL2" s="353">
        <f t="shared" si="0"/>
        <v>3</v>
      </c>
      <c r="AM2" s="353">
        <f t="shared" si="0"/>
        <v>4</v>
      </c>
      <c r="AN2" s="353">
        <f t="shared" si="0"/>
        <v>5</v>
      </c>
      <c r="AO2" s="353">
        <f t="shared" ref="AO2:AV2" si="1">WEEKDAY(AO5,2)</f>
        <v>6</v>
      </c>
      <c r="AP2" s="353">
        <f t="shared" si="1"/>
        <v>7</v>
      </c>
      <c r="AQ2" s="353">
        <f t="shared" si="1"/>
        <v>1</v>
      </c>
      <c r="AR2" s="353">
        <f t="shared" si="1"/>
        <v>2</v>
      </c>
      <c r="AS2" s="353">
        <f t="shared" si="1"/>
        <v>3</v>
      </c>
      <c r="AT2" s="353">
        <f t="shared" si="1"/>
        <v>4</v>
      </c>
      <c r="AU2" s="353">
        <f t="shared" si="1"/>
        <v>5</v>
      </c>
      <c r="AV2" s="353">
        <f t="shared" si="1"/>
        <v>6</v>
      </c>
      <c r="BE2" s="354"/>
      <c r="BF2" s="354"/>
    </row>
    <row r="3" spans="2:68" ht="16" customHeight="1" thickBot="1" x14ac:dyDescent="0.25">
      <c r="B3" s="332"/>
      <c r="D3" s="352"/>
      <c r="E3" s="352"/>
      <c r="F3" s="352"/>
      <c r="G3" s="352"/>
      <c r="H3" s="352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X3" s="389" t="s">
        <v>176</v>
      </c>
      <c r="AY3" s="395"/>
      <c r="AZ3" s="395"/>
      <c r="BA3" s="395"/>
      <c r="BB3" s="395"/>
      <c r="BC3" s="395"/>
      <c r="BD3" s="390"/>
      <c r="BE3" s="389" t="s">
        <v>188</v>
      </c>
      <c r="BF3" s="390"/>
      <c r="BG3" s="389" t="s">
        <v>273</v>
      </c>
      <c r="BH3" s="390"/>
    </row>
    <row r="4" spans="2:68" ht="16" thickBot="1" x14ac:dyDescent="0.25">
      <c r="G4" s="393" t="s">
        <v>133</v>
      </c>
      <c r="H4" s="394"/>
      <c r="AX4" s="374" t="s">
        <v>288</v>
      </c>
      <c r="AY4" s="362" t="s">
        <v>18</v>
      </c>
      <c r="AZ4" s="362" t="s">
        <v>283</v>
      </c>
      <c r="BA4" s="362" t="s">
        <v>10</v>
      </c>
      <c r="BB4" s="362" t="s">
        <v>5</v>
      </c>
      <c r="BC4" s="18" t="s">
        <v>282</v>
      </c>
      <c r="BD4" s="26" t="s">
        <v>212</v>
      </c>
      <c r="BE4" s="391"/>
      <c r="BF4" s="392"/>
      <c r="BG4" s="391"/>
      <c r="BH4" s="392"/>
    </row>
    <row r="5" spans="2:68" x14ac:dyDescent="0.2">
      <c r="B5" s="356" t="s">
        <v>250</v>
      </c>
      <c r="C5" s="66" t="s">
        <v>276</v>
      </c>
      <c r="D5" s="66" t="s">
        <v>265</v>
      </c>
      <c r="E5" s="277" t="s">
        <v>277</v>
      </c>
      <c r="G5" s="386">
        <f>I5-2</f>
        <v>46117</v>
      </c>
      <c r="H5" s="361">
        <f>I5-1</f>
        <v>46118</v>
      </c>
      <c r="I5" s="363">
        <v>46119</v>
      </c>
      <c r="J5" s="360">
        <f>I5+1</f>
        <v>46120</v>
      </c>
      <c r="K5" s="360">
        <f>J5+1</f>
        <v>46121</v>
      </c>
      <c r="L5" s="360">
        <f>K5+1</f>
        <v>46122</v>
      </c>
      <c r="M5" s="360">
        <f t="shared" ref="M5:AH5" si="2">L5+1</f>
        <v>46123</v>
      </c>
      <c r="N5" s="360">
        <f t="shared" si="2"/>
        <v>46124</v>
      </c>
      <c r="O5" s="360">
        <f t="shared" si="2"/>
        <v>46125</v>
      </c>
      <c r="P5" s="360">
        <f t="shared" si="2"/>
        <v>46126</v>
      </c>
      <c r="Q5" s="360">
        <f t="shared" si="2"/>
        <v>46127</v>
      </c>
      <c r="R5" s="360">
        <f t="shared" si="2"/>
        <v>46128</v>
      </c>
      <c r="S5" s="360">
        <f t="shared" si="2"/>
        <v>46129</v>
      </c>
      <c r="T5" s="360">
        <f t="shared" si="2"/>
        <v>46130</v>
      </c>
      <c r="U5" s="360">
        <f t="shared" si="2"/>
        <v>46131</v>
      </c>
      <c r="V5" s="360">
        <f t="shared" si="2"/>
        <v>46132</v>
      </c>
      <c r="W5" s="360">
        <f t="shared" si="2"/>
        <v>46133</v>
      </c>
      <c r="X5" s="360">
        <f t="shared" si="2"/>
        <v>46134</v>
      </c>
      <c r="Y5" s="360">
        <f t="shared" si="2"/>
        <v>46135</v>
      </c>
      <c r="Z5" s="360">
        <f t="shared" si="2"/>
        <v>46136</v>
      </c>
      <c r="AA5" s="360">
        <f t="shared" si="2"/>
        <v>46137</v>
      </c>
      <c r="AB5" s="360">
        <f t="shared" si="2"/>
        <v>46138</v>
      </c>
      <c r="AC5" s="360">
        <f t="shared" si="2"/>
        <v>46139</v>
      </c>
      <c r="AD5" s="360">
        <f t="shared" si="2"/>
        <v>46140</v>
      </c>
      <c r="AE5" s="360">
        <f t="shared" si="2"/>
        <v>46141</v>
      </c>
      <c r="AF5" s="360">
        <f t="shared" si="2"/>
        <v>46142</v>
      </c>
      <c r="AG5" s="360">
        <f t="shared" si="2"/>
        <v>46143</v>
      </c>
      <c r="AH5" s="360">
        <f t="shared" si="2"/>
        <v>46144</v>
      </c>
      <c r="AI5" s="360">
        <f>AH5+1</f>
        <v>46145</v>
      </c>
      <c r="AJ5" s="360">
        <f t="shared" ref="AJ5:AN5" si="3">AI5+1</f>
        <v>46146</v>
      </c>
      <c r="AK5" s="360">
        <f t="shared" si="3"/>
        <v>46147</v>
      </c>
      <c r="AL5" s="360">
        <f t="shared" si="3"/>
        <v>46148</v>
      </c>
      <c r="AM5" s="360">
        <f t="shared" si="3"/>
        <v>46149</v>
      </c>
      <c r="AN5" s="360">
        <f t="shared" si="3"/>
        <v>46150</v>
      </c>
      <c r="AO5" s="360">
        <f t="shared" ref="AO5" si="4">AN5+1</f>
        <v>46151</v>
      </c>
      <c r="AP5" s="360">
        <f t="shared" ref="AP5" si="5">AO5+1</f>
        <v>46152</v>
      </c>
      <c r="AQ5" s="360">
        <f t="shared" ref="AQ5" si="6">AP5+1</f>
        <v>46153</v>
      </c>
      <c r="AR5" s="360">
        <f t="shared" ref="AR5" si="7">AQ5+1</f>
        <v>46154</v>
      </c>
      <c r="AS5" s="360">
        <f t="shared" ref="AS5" si="8">AR5+1</f>
        <v>46155</v>
      </c>
      <c r="AT5" s="360">
        <f t="shared" ref="AT5" si="9">AS5+1</f>
        <v>46156</v>
      </c>
      <c r="AU5" s="360">
        <f t="shared" ref="AU5" si="10">AT5+1</f>
        <v>46157</v>
      </c>
      <c r="AV5" s="361">
        <f t="shared" ref="AV5" si="11">AU5+1</f>
        <v>46158</v>
      </c>
      <c r="AW5" s="5"/>
      <c r="AX5" s="382" t="s">
        <v>289</v>
      </c>
      <c r="AY5" s="383" t="s">
        <v>284</v>
      </c>
      <c r="AZ5" s="383" t="s">
        <v>284</v>
      </c>
      <c r="BA5" s="383" t="s">
        <v>285</v>
      </c>
      <c r="BB5" s="383" t="s">
        <v>286</v>
      </c>
      <c r="BC5" s="384" t="s">
        <v>287</v>
      </c>
      <c r="BD5" s="385" t="s">
        <v>290</v>
      </c>
      <c r="BE5" s="234" t="s">
        <v>171</v>
      </c>
      <c r="BF5" s="236" t="s">
        <v>172</v>
      </c>
      <c r="BG5" s="234" t="s">
        <v>274</v>
      </c>
      <c r="BH5" s="236" t="s">
        <v>275</v>
      </c>
      <c r="BI5" s="5"/>
      <c r="BJ5" s="5"/>
      <c r="BK5" s="5"/>
      <c r="BL5" s="5"/>
      <c r="BM5" s="5"/>
      <c r="BN5" s="5"/>
      <c r="BO5" s="5"/>
      <c r="BP5" s="5"/>
    </row>
    <row r="6" spans="2:68" x14ac:dyDescent="0.2">
      <c r="B6" s="71" t="s">
        <v>281</v>
      </c>
      <c r="C6" s="18"/>
      <c r="D6" s="18"/>
      <c r="E6" s="307"/>
      <c r="F6" s="307"/>
      <c r="G6" s="25" t="str">
        <f>IFERROR(IF(VLOOKUP($B6,'Month-1'!$B$3:$D$53,2,0)=0,"",VLOOKUP($B6,'Month-1'!$B$3:$D$53,2,0)),"")</f>
        <v/>
      </c>
      <c r="H6" s="26" t="str">
        <f>IFERROR(IF(VLOOKUP($B6,'Month-1'!$B$3:$D$53,3,0)=0,"",VLOOKUP($B7,'Month-1'!$B$3:$D$53,3,0)),"")</f>
        <v/>
      </c>
      <c r="I6" s="24"/>
      <c r="J6" s="18"/>
      <c r="K6" s="355"/>
      <c r="L6" s="18"/>
      <c r="M6" s="18"/>
      <c r="N6" s="18"/>
      <c r="O6" s="18"/>
      <c r="P6" s="18"/>
      <c r="Q6" s="18"/>
      <c r="R6" s="18"/>
      <c r="S6" s="18"/>
      <c r="T6" s="355"/>
      <c r="U6" s="355"/>
      <c r="V6" s="18"/>
      <c r="W6" s="355"/>
      <c r="X6" s="355"/>
      <c r="Y6" s="355"/>
      <c r="Z6" s="355"/>
      <c r="AA6" s="355"/>
      <c r="AB6" s="355"/>
      <c r="AC6" s="355"/>
      <c r="AD6" s="355"/>
      <c r="AE6" s="355"/>
      <c r="AF6" s="355"/>
      <c r="AG6" s="355"/>
      <c r="AH6" s="355"/>
      <c r="AI6" s="355"/>
      <c r="AJ6" s="355"/>
      <c r="AK6" s="355"/>
      <c r="AL6" s="18"/>
      <c r="AM6" s="18"/>
      <c r="AN6" s="355"/>
      <c r="AO6" s="355"/>
      <c r="AP6" s="355"/>
      <c r="AQ6" s="355"/>
      <c r="AR6" s="355"/>
      <c r="AS6" s="355"/>
      <c r="AT6" s="355"/>
      <c r="AU6" s="355"/>
      <c r="AV6" s="357"/>
      <c r="AX6" s="42">
        <f>COUNTIFS(I6:AV6,"R3",$I$2:$AV$2,"&lt;5", $I$1:$AV$1,"&lt;&gt;Y")</f>
        <v>0</v>
      </c>
      <c r="AY6" s="23" cm="1">
        <f t="array" ref="AY6">SUM(COUNTIFS(I6:AV6,{"R1","R2","R-CICU"},$I$2:$AV$2,"&lt;5",$I$1:$AV$1,"&lt;&gt;Y"))</f>
        <v>0</v>
      </c>
      <c r="AZ6" s="23">
        <f>COUNTIFS(I6:AV6,"R3",$I$2:$AV$2,"5", $I$1:$AV$1,"&lt;&gt;Y")</f>
        <v>0</v>
      </c>
      <c r="BA6" s="23" cm="1">
        <f t="array" ref="BA6">SUM(COUNTIFS(I6:AV6,{"R1","R2","R-CICU"},$I$2:$AV$2,"5",$I$1:$AV$1,"&lt;&gt;Y"))</f>
        <v>0</v>
      </c>
      <c r="BB6" s="23">
        <f>COUNTIFS(I6:AV6,"R*",$I$2:$AV$2,"6", $I$1:$AV$1,"&lt;&gt;Y")</f>
        <v>0</v>
      </c>
      <c r="BC6" s="278">
        <f>COUNTIFS(I6:AV6,"R*",$I$2:$AV$2,"7", $I$1:$AV$1,"&lt;&gt;Y") + COUNTIFS(I6:AV6, "R*", $I$1:$AV$1,"Y")</f>
        <v>0</v>
      </c>
      <c r="BD6" s="39">
        <f>COUNTIF(I6:AV6,"WR")</f>
        <v>0</v>
      </c>
      <c r="BE6" s="25">
        <f>SUM(AX6:BC6)</f>
        <v>0</v>
      </c>
      <c r="BF6" s="26">
        <f>AX6*0.5+AY6*1+AZ6*1+BA6*2+BB6*4+BC6*3</f>
        <v>0</v>
      </c>
      <c r="BG6" s="25">
        <f>IFERROR(INDEX('Month-1'!$F$3:$F$53,MATCH($B6,'Month-1'!$B$3:$B$53,0)),0)</f>
        <v>0</v>
      </c>
      <c r="BH6" s="26">
        <f>BF6+BG6</f>
        <v>0</v>
      </c>
    </row>
    <row r="7" spans="2:68" x14ac:dyDescent="0.2">
      <c r="B7" s="71"/>
      <c r="C7" s="18"/>
      <c r="D7" s="18"/>
      <c r="E7" s="307"/>
      <c r="F7" s="307"/>
      <c r="G7" s="25" t="str">
        <f>IFERROR(IF(VLOOKUP($B7,'Month-1'!$B$3:$D$53,2,0)=0,"",VLOOKUP($B7,'Month-1'!$B$3:$D$53,2,0)),"")</f>
        <v/>
      </c>
      <c r="H7" s="26" t="str">
        <f>IFERROR(IF(VLOOKUP($B7,'Month-1'!$B$3:$D$53,3,0)=0,"",VLOOKUP($B8,'Month-1'!$B$3:$D$53,3,0)),"")</f>
        <v/>
      </c>
      <c r="I7" s="24"/>
      <c r="J7" s="18"/>
      <c r="K7" s="355"/>
      <c r="L7" s="18"/>
      <c r="M7" s="18"/>
      <c r="N7" s="18"/>
      <c r="O7" s="18"/>
      <c r="P7" s="18"/>
      <c r="Q7" s="18"/>
      <c r="R7" s="18"/>
      <c r="S7" s="18"/>
      <c r="T7" s="355"/>
      <c r="U7" s="355"/>
      <c r="V7" s="18"/>
      <c r="W7" s="355"/>
      <c r="X7" s="355"/>
      <c r="Y7" s="355"/>
      <c r="Z7" s="355"/>
      <c r="AA7" s="355"/>
      <c r="AB7" s="355"/>
      <c r="AC7" s="355"/>
      <c r="AD7" s="355"/>
      <c r="AE7" s="355"/>
      <c r="AF7" s="355"/>
      <c r="AG7" s="355"/>
      <c r="AH7" s="355"/>
      <c r="AI7" s="355"/>
      <c r="AJ7" s="355"/>
      <c r="AK7" s="355"/>
      <c r="AL7" s="18"/>
      <c r="AM7" s="18"/>
      <c r="AN7" s="355"/>
      <c r="AO7" s="355"/>
      <c r="AP7" s="355"/>
      <c r="AQ7" s="355"/>
      <c r="AR7" s="355"/>
      <c r="AS7" s="355"/>
      <c r="AT7" s="355"/>
      <c r="AU7" s="355"/>
      <c r="AV7" s="357"/>
      <c r="AX7" s="42">
        <f t="shared" ref="AX7:AX49" si="12">COUNTIFS(I7:AV7,"R3",$I$2:$AV$2,"&lt;5", $I$1:$AV$1,"&lt;&gt;Y")</f>
        <v>0</v>
      </c>
      <c r="AY7" s="23" cm="1">
        <f t="array" ref="AY7">SUM(COUNTIFS(I7:AV7,{"R1","R2","R-CICU"},$I$2:$AV$2,"&lt;5",$I$1:$AV$1,"&lt;&gt;Y"))</f>
        <v>0</v>
      </c>
      <c r="AZ7" s="23">
        <f t="shared" ref="AZ7:AZ49" si="13">COUNTIFS(I7:AV7,"R3",$I$2:$AV$2,"5", $I$1:$AV$1,"&lt;&gt;Y")</f>
        <v>0</v>
      </c>
      <c r="BA7" s="23" cm="1">
        <f t="array" ref="BA7">SUM(COUNTIFS(I7:AV7,{"R1","R2","R-CICU"},$I$2:$AV$2,"5",$I$1:$AV$1,"&lt;&gt;Y"))</f>
        <v>0</v>
      </c>
      <c r="BB7" s="23">
        <f t="shared" ref="BB7:BB49" si="14">COUNTIFS(I7:AV7,"R*",$I$2:$AV$2,"6", $I$1:$AV$1,"&lt;&gt;Y")</f>
        <v>0</v>
      </c>
      <c r="BC7" s="278">
        <f t="shared" ref="BC7:BC49" si="15">COUNTIFS(I7:AV7,"R*",$I$2:$AV$2,"7", $I$1:$AV$1,"&lt;&gt;Y") + COUNTIFS(I7:AV7, "R*", $I$1:$AV$1,"Y")</f>
        <v>0</v>
      </c>
      <c r="BD7" s="39">
        <f t="shared" ref="BD7:BD49" si="16">COUNTIF(I7:AV7,"WR")</f>
        <v>0</v>
      </c>
      <c r="BE7" s="25">
        <f t="shared" ref="BE7:BE49" si="17">SUM(AX7:BC7)</f>
        <v>0</v>
      </c>
      <c r="BF7" s="26">
        <f t="shared" ref="BF7:BF49" si="18">AX7*0.5+AY7*1+AZ7*1+BA7*2+BB7*4+BC7*3</f>
        <v>0</v>
      </c>
      <c r="BG7" s="25">
        <f>IFERROR(INDEX('Month-1'!$F$3:$F$53,MATCH($B7,'Month-1'!$B$3:$B$53,0)),0)</f>
        <v>0</v>
      </c>
      <c r="BH7" s="26">
        <f t="shared" ref="BH7:BH49" si="19">BF7+BG7</f>
        <v>0</v>
      </c>
    </row>
    <row r="8" spans="2:68" x14ac:dyDescent="0.2">
      <c r="B8" s="71"/>
      <c r="C8" s="18"/>
      <c r="D8" s="18"/>
      <c r="E8" s="307"/>
      <c r="F8" s="307"/>
      <c r="G8" s="25" t="str">
        <f>IFERROR(IF(VLOOKUP($B8,'Month-1'!$B$3:$D$53,2,0)=0,"",VLOOKUP($B8,'Month-1'!$B$3:$D$53,2,0)),"")</f>
        <v/>
      </c>
      <c r="H8" s="26" t="str">
        <f>IFERROR(IF(VLOOKUP($B8,'Month-1'!$B$3:$D$53,3,0)=0,"",VLOOKUP($B9,'Month-1'!$B$3:$D$53,3,0)),"")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5"/>
      <c r="AA8" s="355"/>
      <c r="AB8" s="355"/>
      <c r="AC8" s="355"/>
      <c r="AD8" s="355"/>
      <c r="AE8" s="355"/>
      <c r="AF8" s="355"/>
      <c r="AG8" s="355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26"/>
      <c r="AX8" s="42">
        <f t="shared" si="12"/>
        <v>0</v>
      </c>
      <c r="AY8" s="23" cm="1">
        <f t="array" ref="AY8">SUM(COUNTIFS(I8:AV8,{"R1","R2","R-CICU"},$I$2:$AV$2,"&lt;5",$I$1:$AV$1,"&lt;&gt;Y"))</f>
        <v>0</v>
      </c>
      <c r="AZ8" s="23">
        <f t="shared" si="13"/>
        <v>0</v>
      </c>
      <c r="BA8" s="23" cm="1">
        <f t="array" ref="BA8">SUM(COUNTIFS(I8:AV8,{"R1","R2","R-CICU"},$I$2:$AV$2,"5",$I$1:$AV$1,"&lt;&gt;Y"))</f>
        <v>0</v>
      </c>
      <c r="BB8" s="23">
        <f t="shared" si="14"/>
        <v>0</v>
      </c>
      <c r="BC8" s="278">
        <f t="shared" si="15"/>
        <v>0</v>
      </c>
      <c r="BD8" s="39">
        <f t="shared" si="16"/>
        <v>0</v>
      </c>
      <c r="BE8" s="25">
        <f t="shared" si="17"/>
        <v>0</v>
      </c>
      <c r="BF8" s="26">
        <f t="shared" si="18"/>
        <v>0</v>
      </c>
      <c r="BG8" s="25">
        <f>IFERROR(INDEX('Month-1'!$F$3:$F$53,MATCH($B8,'Month-1'!$B$3:$B$53,0)),0)</f>
        <v>0</v>
      </c>
      <c r="BH8" s="26">
        <f t="shared" si="19"/>
        <v>0</v>
      </c>
    </row>
    <row r="9" spans="2:68" x14ac:dyDescent="0.2">
      <c r="B9" s="71"/>
      <c r="C9" s="18"/>
      <c r="D9" s="18"/>
      <c r="E9" s="307"/>
      <c r="F9" s="307"/>
      <c r="G9" s="25" t="str">
        <f>IFERROR(IF(VLOOKUP($B9,'Month-1'!$B$3:$D$53,2,0)=0,"",VLOOKUP($B9,'Month-1'!$B$3:$D$53,2,0)),"")</f>
        <v/>
      </c>
      <c r="H9" s="26" t="str">
        <f>IFERROR(IF(VLOOKUP($B9,'Month-1'!$B$3:$D$53,3,0)=0,"",VLOOKUP($B10,'Month-1'!$B$3:$D$53,3,0)),"")</f>
        <v/>
      </c>
      <c r="I9" s="24"/>
      <c r="J9" s="355"/>
      <c r="K9" s="355"/>
      <c r="L9" s="18"/>
      <c r="M9" s="355"/>
      <c r="N9" s="18"/>
      <c r="O9" s="18"/>
      <c r="P9" s="18"/>
      <c r="Q9" s="18"/>
      <c r="R9" s="18"/>
      <c r="S9" s="355"/>
      <c r="T9" s="18"/>
      <c r="U9" s="18"/>
      <c r="V9" s="18"/>
      <c r="W9" s="18"/>
      <c r="X9" s="18"/>
      <c r="Y9" s="18"/>
      <c r="Z9" s="18"/>
      <c r="AA9" s="355"/>
      <c r="AB9" s="355"/>
      <c r="AC9" s="18"/>
      <c r="AD9" s="18"/>
      <c r="AE9" s="18"/>
      <c r="AF9" s="18"/>
      <c r="AG9" s="18"/>
      <c r="AH9" s="18"/>
      <c r="AI9" s="355"/>
      <c r="AJ9" s="355"/>
      <c r="AK9" s="355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26"/>
      <c r="AX9" s="42">
        <f t="shared" si="12"/>
        <v>0</v>
      </c>
      <c r="AY9" s="23" cm="1">
        <f t="array" ref="AY9">SUM(COUNTIFS(I9:AV9,{"R1","R2","R-CICU"},$I$2:$AV$2,"&lt;5",$I$1:$AV$1,"&lt;&gt;Y"))</f>
        <v>0</v>
      </c>
      <c r="AZ9" s="23">
        <f t="shared" si="13"/>
        <v>0</v>
      </c>
      <c r="BA9" s="23" cm="1">
        <f t="array" ref="BA9">SUM(COUNTIFS(I9:AV9,{"R1","R2","R-CICU"},$I$2:$AV$2,"5",$I$1:$AV$1,"&lt;&gt;Y"))</f>
        <v>0</v>
      </c>
      <c r="BB9" s="23">
        <f t="shared" si="14"/>
        <v>0</v>
      </c>
      <c r="BC9" s="278">
        <f t="shared" si="15"/>
        <v>0</v>
      </c>
      <c r="BD9" s="39">
        <f t="shared" si="16"/>
        <v>0</v>
      </c>
      <c r="BE9" s="25">
        <f t="shared" si="17"/>
        <v>0</v>
      </c>
      <c r="BF9" s="26">
        <f t="shared" si="18"/>
        <v>0</v>
      </c>
      <c r="BG9" s="25">
        <f>IFERROR(INDEX('Month-1'!$F$3:$F$53,MATCH($B9,'Month-1'!$B$3:$B$53,0)),0)</f>
        <v>0</v>
      </c>
      <c r="BH9" s="26">
        <f t="shared" si="19"/>
        <v>0</v>
      </c>
    </row>
    <row r="10" spans="2:68" x14ac:dyDescent="0.2">
      <c r="B10" s="71"/>
      <c r="C10" s="18"/>
      <c r="D10" s="18"/>
      <c r="E10" s="307"/>
      <c r="F10" s="307"/>
      <c r="G10" s="25" t="str">
        <f>IFERROR(IF(VLOOKUP($B10,'Month-1'!$B$3:$D$53,2,0)=0,"",VLOOKUP($B10,'Month-1'!$B$3:$D$53,2,0)),"")</f>
        <v/>
      </c>
      <c r="H10" s="26" t="str">
        <f>IFERROR(IF(VLOOKUP($B10,'Month-1'!$B$3:$D$53,3,0)=0,"",VLOOKUP($B11,'Month-1'!$B$3:$D$53,3,0)),"")</f>
        <v/>
      </c>
      <c r="I10" s="24"/>
      <c r="J10" s="355"/>
      <c r="K10" s="355"/>
      <c r="L10" s="18"/>
      <c r="M10" s="355"/>
      <c r="N10" s="18"/>
      <c r="O10" s="18"/>
      <c r="P10" s="18"/>
      <c r="Q10" s="18"/>
      <c r="R10" s="18"/>
      <c r="S10" s="355"/>
      <c r="T10" s="18"/>
      <c r="U10" s="18"/>
      <c r="V10" s="18"/>
      <c r="W10" s="18"/>
      <c r="X10" s="18"/>
      <c r="Y10" s="18"/>
      <c r="Z10" s="18"/>
      <c r="AA10" s="355"/>
      <c r="AB10" s="355"/>
      <c r="AC10" s="18"/>
      <c r="AD10" s="18"/>
      <c r="AE10" s="18"/>
      <c r="AF10" s="18"/>
      <c r="AG10" s="18"/>
      <c r="AH10" s="18"/>
      <c r="AI10" s="355"/>
      <c r="AJ10" s="355"/>
      <c r="AK10" s="355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26"/>
      <c r="AX10" s="42">
        <f t="shared" si="12"/>
        <v>0</v>
      </c>
      <c r="AY10" s="23" cm="1">
        <f t="array" ref="AY10">SUM(COUNTIFS(I10:AV10,{"R1","R2","R-CICU"},$I$2:$AV$2,"&lt;5",$I$1:$AV$1,"&lt;&gt;Y"))</f>
        <v>0</v>
      </c>
      <c r="AZ10" s="23">
        <f t="shared" si="13"/>
        <v>0</v>
      </c>
      <c r="BA10" s="23" cm="1">
        <f t="array" ref="BA10">SUM(COUNTIFS(I10:AV10,{"R1","R2","R-CICU"},$I$2:$AV$2,"5",$I$1:$AV$1,"&lt;&gt;Y"))</f>
        <v>0</v>
      </c>
      <c r="BB10" s="23">
        <f t="shared" si="14"/>
        <v>0</v>
      </c>
      <c r="BC10" s="278">
        <f t="shared" si="15"/>
        <v>0</v>
      </c>
      <c r="BD10" s="39">
        <f t="shared" si="16"/>
        <v>0</v>
      </c>
      <c r="BE10" s="25">
        <f t="shared" si="17"/>
        <v>0</v>
      </c>
      <c r="BF10" s="26">
        <f t="shared" si="18"/>
        <v>0</v>
      </c>
      <c r="BG10" s="25">
        <f>IFERROR(INDEX('Month-1'!$F$3:$F$53,MATCH($B10,'Month-1'!$B$3:$B$53,0)),0)</f>
        <v>0</v>
      </c>
      <c r="BH10" s="26">
        <f t="shared" si="19"/>
        <v>0</v>
      </c>
    </row>
    <row r="11" spans="2:68" x14ac:dyDescent="0.2">
      <c r="B11" s="71"/>
      <c r="C11" s="18"/>
      <c r="D11" s="18"/>
      <c r="E11" s="307"/>
      <c r="F11" s="307"/>
      <c r="G11" s="25" t="str">
        <f>IFERROR(IF(VLOOKUP($B11,'Month-1'!$B$3:$D$53,2,0)=0,"",VLOOKUP($B11,'Month-1'!$B$3:$D$53,2,0)),"")</f>
        <v/>
      </c>
      <c r="H11" s="26" t="str">
        <f>IFERROR(IF(VLOOKUP($B11,'Month-1'!$B$3:$D$53,3,0)=0,"",VLOOKUP($B12,'Month-1'!$B$3:$D$53,3,0)),"")</f>
        <v/>
      </c>
      <c r="I11" s="24"/>
      <c r="J11" s="355"/>
      <c r="K11" s="355"/>
      <c r="L11" s="18"/>
      <c r="M11" s="355"/>
      <c r="N11" s="18"/>
      <c r="O11" s="18"/>
      <c r="P11" s="18"/>
      <c r="Q11" s="18"/>
      <c r="R11" s="18"/>
      <c r="S11" s="355"/>
      <c r="T11" s="18"/>
      <c r="U11" s="18"/>
      <c r="V11" s="18"/>
      <c r="W11" s="18"/>
      <c r="X11" s="18"/>
      <c r="Y11" s="18"/>
      <c r="Z11" s="18"/>
      <c r="AA11" s="355"/>
      <c r="AB11" s="355"/>
      <c r="AC11" s="18"/>
      <c r="AD11" s="18"/>
      <c r="AE11" s="18"/>
      <c r="AF11" s="18"/>
      <c r="AG11" s="18"/>
      <c r="AH11" s="18"/>
      <c r="AI11" s="355"/>
      <c r="AJ11" s="355"/>
      <c r="AK11" s="355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26"/>
      <c r="AX11" s="42">
        <f t="shared" si="12"/>
        <v>0</v>
      </c>
      <c r="AY11" s="23" cm="1">
        <f t="array" ref="AY11">SUM(COUNTIFS(I11:AV11,{"R1","R2","R-CICU"},$I$2:$AV$2,"&lt;5",$I$1:$AV$1,"&lt;&gt;Y"))</f>
        <v>0</v>
      </c>
      <c r="AZ11" s="23">
        <f t="shared" si="13"/>
        <v>0</v>
      </c>
      <c r="BA11" s="23" cm="1">
        <f t="array" ref="BA11">SUM(COUNTIFS(I11:AV11,{"R1","R2","R-CICU"},$I$2:$AV$2,"5",$I$1:$AV$1,"&lt;&gt;Y"))</f>
        <v>0</v>
      </c>
      <c r="BB11" s="23">
        <f t="shared" si="14"/>
        <v>0</v>
      </c>
      <c r="BC11" s="278">
        <f t="shared" si="15"/>
        <v>0</v>
      </c>
      <c r="BD11" s="39">
        <f t="shared" si="16"/>
        <v>0</v>
      </c>
      <c r="BE11" s="25">
        <f t="shared" si="17"/>
        <v>0</v>
      </c>
      <c r="BF11" s="26">
        <f t="shared" si="18"/>
        <v>0</v>
      </c>
      <c r="BG11" s="25">
        <f>IFERROR(INDEX('Month-1'!$F$3:$F$53,MATCH($B11,'Month-1'!$B$3:$B$53,0)),0)</f>
        <v>0</v>
      </c>
      <c r="BH11" s="26">
        <f t="shared" si="19"/>
        <v>0</v>
      </c>
    </row>
    <row r="12" spans="2:68" x14ac:dyDescent="0.2">
      <c r="B12" s="71"/>
      <c r="C12" s="18"/>
      <c r="D12" s="18"/>
      <c r="E12" s="307"/>
      <c r="F12" s="307"/>
      <c r="G12" s="25" t="str">
        <f>IFERROR(IF(VLOOKUP($B12,'Month-1'!$B$3:$D$53,2,0)=0,"",VLOOKUP($B12,'Month-1'!$B$3:$D$53,2,0)),"")</f>
        <v/>
      </c>
      <c r="H12" s="26" t="str">
        <f>IFERROR(IF(VLOOKUP($B12,'Month-1'!$B$3:$D$53,3,0)=0,"",VLOOKUP($B13,'Month-1'!$B$3:$D$53,3,0)),"")</f>
        <v/>
      </c>
      <c r="I12" s="364"/>
      <c r="J12" s="355"/>
      <c r="K12" s="355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355"/>
      <c r="X12" s="355"/>
      <c r="Y12" s="355"/>
      <c r="Z12" s="355"/>
      <c r="AA12" s="355"/>
      <c r="AB12" s="18"/>
      <c r="AC12" s="355"/>
      <c r="AD12" s="18"/>
      <c r="AE12" s="18"/>
      <c r="AF12" s="18"/>
      <c r="AG12" s="355"/>
      <c r="AH12" s="355"/>
      <c r="AI12" s="355"/>
      <c r="AJ12" s="18"/>
      <c r="AK12" s="18"/>
      <c r="AL12" s="18"/>
      <c r="AM12" s="18"/>
      <c r="AN12" s="355"/>
      <c r="AO12" s="355"/>
      <c r="AP12" s="355"/>
      <c r="AQ12" s="355"/>
      <c r="AR12" s="355"/>
      <c r="AS12" s="355"/>
      <c r="AT12" s="355"/>
      <c r="AU12" s="355"/>
      <c r="AV12" s="357"/>
      <c r="AX12" s="42">
        <f t="shared" si="12"/>
        <v>0</v>
      </c>
      <c r="AY12" s="23" cm="1">
        <f t="array" ref="AY12">SUM(COUNTIFS(I12:AV12,{"R1","R2","R-CICU"},$I$2:$AV$2,"&lt;5",$I$1:$AV$1,"&lt;&gt;Y"))</f>
        <v>0</v>
      </c>
      <c r="AZ12" s="23">
        <f t="shared" si="13"/>
        <v>0</v>
      </c>
      <c r="BA12" s="23" cm="1">
        <f t="array" ref="BA12">SUM(COUNTIFS(I12:AV12,{"R1","R2","R-CICU"},$I$2:$AV$2,"5",$I$1:$AV$1,"&lt;&gt;Y"))</f>
        <v>0</v>
      </c>
      <c r="BB12" s="23">
        <f t="shared" si="14"/>
        <v>0</v>
      </c>
      <c r="BC12" s="278">
        <f t="shared" si="15"/>
        <v>0</v>
      </c>
      <c r="BD12" s="39">
        <f t="shared" si="16"/>
        <v>0</v>
      </c>
      <c r="BE12" s="25">
        <f t="shared" si="17"/>
        <v>0</v>
      </c>
      <c r="BF12" s="26">
        <f t="shared" si="18"/>
        <v>0</v>
      </c>
      <c r="BG12" s="25">
        <f>IFERROR(INDEX('Month-1'!$F$3:$F$53,MATCH($B12,'Month-1'!$B$3:$B$53,0)),0)</f>
        <v>0</v>
      </c>
      <c r="BH12" s="26">
        <f t="shared" si="19"/>
        <v>0</v>
      </c>
    </row>
    <row r="13" spans="2:68" x14ac:dyDescent="0.2">
      <c r="B13" s="71"/>
      <c r="C13" s="18"/>
      <c r="D13" s="18"/>
      <c r="E13" s="307"/>
      <c r="F13" s="307"/>
      <c r="G13" s="25" t="str">
        <f>IFERROR(IF(VLOOKUP($B13,'Month-1'!$B$3:$D$53,2,0)=0,"",VLOOKUP($B13,'Month-1'!$B$3:$D$53,2,0)),"")</f>
        <v/>
      </c>
      <c r="H13" s="26" t="str">
        <f>IFERROR(IF(VLOOKUP($B13,'Month-1'!$B$3:$D$53,3,0)=0,"",VLOOKUP($B14,'Month-1'!$B$3:$D$53,3,0)),"")</f>
        <v/>
      </c>
      <c r="I13" s="24"/>
      <c r="J13" s="18"/>
      <c r="K13" s="355"/>
      <c r="L13" s="18"/>
      <c r="M13" s="355"/>
      <c r="N13" s="18"/>
      <c r="O13" s="355"/>
      <c r="P13" s="355"/>
      <c r="Q13" s="355"/>
      <c r="R13" s="355"/>
      <c r="S13" s="355"/>
      <c r="T13" s="355"/>
      <c r="U13" s="18"/>
      <c r="V13" s="18"/>
      <c r="W13" s="18"/>
      <c r="X13" s="18"/>
      <c r="Y13" s="355"/>
      <c r="Z13" s="355"/>
      <c r="AA13" s="355"/>
      <c r="AB13" s="355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26"/>
      <c r="AX13" s="42">
        <f t="shared" si="12"/>
        <v>0</v>
      </c>
      <c r="AY13" s="23" cm="1">
        <f t="array" ref="AY13">SUM(COUNTIFS(I13:AV13,{"R1","R2","R-CICU"},$I$2:$AV$2,"&lt;5",$I$1:$AV$1,"&lt;&gt;Y"))</f>
        <v>0</v>
      </c>
      <c r="AZ13" s="23">
        <f t="shared" si="13"/>
        <v>0</v>
      </c>
      <c r="BA13" s="23" cm="1">
        <f t="array" ref="BA13">SUM(COUNTIFS(I13:AV13,{"R1","R2","R-CICU"},$I$2:$AV$2,"5",$I$1:$AV$1,"&lt;&gt;Y"))</f>
        <v>0</v>
      </c>
      <c r="BB13" s="23">
        <f t="shared" si="14"/>
        <v>0</v>
      </c>
      <c r="BC13" s="278">
        <f t="shared" si="15"/>
        <v>0</v>
      </c>
      <c r="BD13" s="39">
        <f t="shared" si="16"/>
        <v>0</v>
      </c>
      <c r="BE13" s="25">
        <f t="shared" si="17"/>
        <v>0</v>
      </c>
      <c r="BF13" s="26">
        <f t="shared" si="18"/>
        <v>0</v>
      </c>
      <c r="BG13" s="25">
        <f>IFERROR(INDEX('Month-1'!$F$3:$F$53,MATCH($B13,'Month-1'!$B$3:$B$53,0)),0)</f>
        <v>0</v>
      </c>
      <c r="BH13" s="26">
        <f t="shared" si="19"/>
        <v>0</v>
      </c>
    </row>
    <row r="14" spans="2:68" x14ac:dyDescent="0.2">
      <c r="B14" s="71"/>
      <c r="C14" s="18"/>
      <c r="D14" s="18"/>
      <c r="E14" s="307"/>
      <c r="F14" s="307"/>
      <c r="G14" s="25" t="str">
        <f>IFERROR(IF(VLOOKUP($B14,'Month-1'!$B$3:$D$53,2,0)=0,"",VLOOKUP($B14,'Month-1'!$B$3:$D$53,2,0)),"")</f>
        <v/>
      </c>
      <c r="H14" s="26" t="str">
        <f>IFERROR(IF(VLOOKUP($B14,'Month-1'!$B$3:$D$53,3,0)=0,"",VLOOKUP($B15,'Month-1'!$B$3:$D$53,3,0)),"")</f>
        <v/>
      </c>
      <c r="I14" s="24"/>
      <c r="J14" s="18"/>
      <c r="K14" s="18"/>
      <c r="L14" s="355"/>
      <c r="M14" s="18"/>
      <c r="N14" s="18"/>
      <c r="O14" s="18"/>
      <c r="P14" s="18"/>
      <c r="Q14" s="18"/>
      <c r="R14" s="355"/>
      <c r="S14" s="18"/>
      <c r="T14" s="18"/>
      <c r="U14" s="18"/>
      <c r="V14" s="355"/>
      <c r="W14" s="355"/>
      <c r="X14" s="355"/>
      <c r="Y14" s="18"/>
      <c r="Z14" s="18"/>
      <c r="AA14" s="355"/>
      <c r="AB14" s="355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26"/>
      <c r="AX14" s="42">
        <f t="shared" si="12"/>
        <v>0</v>
      </c>
      <c r="AY14" s="23" cm="1">
        <f t="array" ref="AY14">SUM(COUNTIFS(I14:AV14,{"R1","R2","R-CICU"},$I$2:$AV$2,"&lt;5",$I$1:$AV$1,"&lt;&gt;Y"))</f>
        <v>0</v>
      </c>
      <c r="AZ14" s="23">
        <f t="shared" si="13"/>
        <v>0</v>
      </c>
      <c r="BA14" s="23" cm="1">
        <f t="array" ref="BA14">SUM(COUNTIFS(I14:AV14,{"R1","R2","R-CICU"},$I$2:$AV$2,"5",$I$1:$AV$1,"&lt;&gt;Y"))</f>
        <v>0</v>
      </c>
      <c r="BB14" s="23">
        <f t="shared" si="14"/>
        <v>0</v>
      </c>
      <c r="BC14" s="278">
        <f t="shared" si="15"/>
        <v>0</v>
      </c>
      <c r="BD14" s="39">
        <f t="shared" si="16"/>
        <v>0</v>
      </c>
      <c r="BE14" s="25">
        <f t="shared" si="17"/>
        <v>0</v>
      </c>
      <c r="BF14" s="26">
        <f t="shared" si="18"/>
        <v>0</v>
      </c>
      <c r="BG14" s="25">
        <f>IFERROR(INDEX('Month-1'!$F$3:$F$53,MATCH($B14,'Month-1'!$B$3:$B$53,0)),0)</f>
        <v>0</v>
      </c>
      <c r="BH14" s="26">
        <f t="shared" si="19"/>
        <v>0</v>
      </c>
    </row>
    <row r="15" spans="2:68" x14ac:dyDescent="0.2">
      <c r="B15" s="71"/>
      <c r="C15" s="18"/>
      <c r="D15" s="18"/>
      <c r="E15" s="307"/>
      <c r="F15" s="307"/>
      <c r="G15" s="25" t="str">
        <f>IFERROR(IF(VLOOKUP($B15,'Month-1'!$B$3:$D$53,2,0)=0,"",VLOOKUP($B15,'Month-1'!$B$3:$D$53,2,0)),"")</f>
        <v/>
      </c>
      <c r="H15" s="26" t="str">
        <f>IFERROR(IF(VLOOKUP($B15,'Month-1'!$B$3:$D$53,3,0)=0,"",VLOOKUP($B16,'Month-1'!$B$3:$D$53,3,0)),"")</f>
        <v/>
      </c>
      <c r="I15" s="24"/>
      <c r="J15" s="18"/>
      <c r="K15" s="355"/>
      <c r="L15" s="18"/>
      <c r="M15" s="355"/>
      <c r="N15" s="355"/>
      <c r="O15" s="355"/>
      <c r="P15" s="355"/>
      <c r="Q15" s="355"/>
      <c r="R15" s="355"/>
      <c r="S15" s="355"/>
      <c r="T15" s="18"/>
      <c r="U15" s="355"/>
      <c r="V15" s="355"/>
      <c r="W15" s="355"/>
      <c r="X15" s="355"/>
      <c r="Y15" s="18"/>
      <c r="Z15" s="18"/>
      <c r="AA15" s="355"/>
      <c r="AB15" s="355"/>
      <c r="AC15" s="18"/>
      <c r="AD15" s="18"/>
      <c r="AE15" s="18"/>
      <c r="AF15" s="18"/>
      <c r="AG15" s="355"/>
      <c r="AH15" s="355"/>
      <c r="AI15" s="355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26"/>
      <c r="AX15" s="42">
        <f t="shared" si="12"/>
        <v>0</v>
      </c>
      <c r="AY15" s="23" cm="1">
        <f t="array" ref="AY15">SUM(COUNTIFS(I15:AV15,{"R1","R2","R-CICU"},$I$2:$AV$2,"&lt;5",$I$1:$AV$1,"&lt;&gt;Y"))</f>
        <v>0</v>
      </c>
      <c r="AZ15" s="23">
        <f t="shared" si="13"/>
        <v>0</v>
      </c>
      <c r="BA15" s="23" cm="1">
        <f t="array" ref="BA15">SUM(COUNTIFS(I15:AV15,{"R1","R2","R-CICU"},$I$2:$AV$2,"5",$I$1:$AV$1,"&lt;&gt;Y"))</f>
        <v>0</v>
      </c>
      <c r="BB15" s="23">
        <f t="shared" si="14"/>
        <v>0</v>
      </c>
      <c r="BC15" s="278">
        <f t="shared" si="15"/>
        <v>0</v>
      </c>
      <c r="BD15" s="39">
        <f t="shared" si="16"/>
        <v>0</v>
      </c>
      <c r="BE15" s="25">
        <f t="shared" si="17"/>
        <v>0</v>
      </c>
      <c r="BF15" s="26">
        <f t="shared" si="18"/>
        <v>0</v>
      </c>
      <c r="BG15" s="25">
        <f>IFERROR(INDEX('Month-1'!$F$3:$F$53,MATCH($B15,'Month-1'!$B$3:$B$53,0)),0)</f>
        <v>0</v>
      </c>
      <c r="BH15" s="26">
        <f t="shared" si="19"/>
        <v>0</v>
      </c>
    </row>
    <row r="16" spans="2:68" x14ac:dyDescent="0.2">
      <c r="B16" s="71"/>
      <c r="C16" s="18"/>
      <c r="D16" s="18"/>
      <c r="E16" s="307"/>
      <c r="F16" s="307"/>
      <c r="G16" s="25" t="str">
        <f>IFERROR(IF(VLOOKUP($B16,'Month-1'!$B$3:$D$53,2,0)=0,"",VLOOKUP($B16,'Month-1'!$B$3:$D$53,2,0)),"")</f>
        <v/>
      </c>
      <c r="H16" s="26" t="str">
        <f>IFERROR(IF(VLOOKUP($B16,'Month-1'!$B$3:$D$53,3,0)=0,"",VLOOKUP($B17,'Month-1'!$B$3:$D$53,3,0)),"")</f>
        <v/>
      </c>
      <c r="I16" s="24"/>
      <c r="J16" s="18"/>
      <c r="K16" s="18"/>
      <c r="L16" s="18"/>
      <c r="M16" s="18"/>
      <c r="N16" s="18"/>
      <c r="O16" s="18"/>
      <c r="P16" s="18"/>
      <c r="Q16" s="355"/>
      <c r="R16" s="355"/>
      <c r="S16" s="355"/>
      <c r="T16" s="355"/>
      <c r="U16" s="18"/>
      <c r="V16" s="18"/>
      <c r="W16" s="18"/>
      <c r="X16" s="18"/>
      <c r="Y16" s="18"/>
      <c r="Z16" s="18"/>
      <c r="AA16" s="355"/>
      <c r="AB16" s="355"/>
      <c r="AC16" s="18"/>
      <c r="AD16" s="18"/>
      <c r="AE16" s="18"/>
      <c r="AF16" s="18"/>
      <c r="AG16" s="18"/>
      <c r="AH16" s="355"/>
      <c r="AI16" s="18"/>
      <c r="AJ16" s="18"/>
      <c r="AK16" s="18"/>
      <c r="AL16" s="355"/>
      <c r="AM16" s="18"/>
      <c r="AN16" s="355"/>
      <c r="AO16" s="355"/>
      <c r="AP16" s="355"/>
      <c r="AQ16" s="355"/>
      <c r="AR16" s="355"/>
      <c r="AS16" s="355"/>
      <c r="AT16" s="355"/>
      <c r="AU16" s="355"/>
      <c r="AV16" s="357"/>
      <c r="AX16" s="42">
        <f t="shared" si="12"/>
        <v>0</v>
      </c>
      <c r="AY16" s="23" cm="1">
        <f t="array" ref="AY16">SUM(COUNTIFS(I16:AV16,{"R1","R2","R-CICU"},$I$2:$AV$2,"&lt;5",$I$1:$AV$1,"&lt;&gt;Y"))</f>
        <v>0</v>
      </c>
      <c r="AZ16" s="23">
        <f t="shared" si="13"/>
        <v>0</v>
      </c>
      <c r="BA16" s="23" cm="1">
        <f t="array" ref="BA16">SUM(COUNTIFS(I16:AV16,{"R1","R2","R-CICU"},$I$2:$AV$2,"5",$I$1:$AV$1,"&lt;&gt;Y"))</f>
        <v>0</v>
      </c>
      <c r="BB16" s="23">
        <f t="shared" si="14"/>
        <v>0</v>
      </c>
      <c r="BC16" s="278">
        <f t="shared" si="15"/>
        <v>0</v>
      </c>
      <c r="BD16" s="39">
        <f t="shared" si="16"/>
        <v>0</v>
      </c>
      <c r="BE16" s="25">
        <f t="shared" si="17"/>
        <v>0</v>
      </c>
      <c r="BF16" s="26">
        <f t="shared" si="18"/>
        <v>0</v>
      </c>
      <c r="BG16" s="25">
        <f>IFERROR(INDEX('Month-1'!$F$3:$F$53,MATCH($B16,'Month-1'!$B$3:$B$53,0)),0)</f>
        <v>0</v>
      </c>
      <c r="BH16" s="26">
        <f t="shared" si="19"/>
        <v>0</v>
      </c>
    </row>
    <row r="17" spans="2:60" x14ac:dyDescent="0.2">
      <c r="B17" s="71"/>
      <c r="C17" s="18"/>
      <c r="D17" s="18"/>
      <c r="E17" s="307"/>
      <c r="F17" s="307"/>
      <c r="G17" s="25" t="str">
        <f>IFERROR(IF(VLOOKUP($B17,'Month-1'!$B$3:$D$53,2,0)=0,"",VLOOKUP($B17,'Month-1'!$B$3:$D$53,2,0)),"")</f>
        <v/>
      </c>
      <c r="H17" s="26" t="str">
        <f>IFERROR(IF(VLOOKUP($B17,'Month-1'!$B$3:$D$53,3,0)=0,"",VLOOKUP($B18,'Month-1'!$B$3:$D$53,3,0)),"")</f>
        <v/>
      </c>
      <c r="I17" s="24"/>
      <c r="J17" s="18"/>
      <c r="K17" s="355"/>
      <c r="L17" s="355"/>
      <c r="M17" s="355"/>
      <c r="N17" s="355"/>
      <c r="O17" s="355"/>
      <c r="P17" s="355"/>
      <c r="Q17" s="355"/>
      <c r="R17" s="355"/>
      <c r="S17" s="355"/>
      <c r="T17" s="355"/>
      <c r="U17" s="355"/>
      <c r="V17" s="18"/>
      <c r="W17" s="18"/>
      <c r="X17" s="18"/>
      <c r="Y17" s="355"/>
      <c r="Z17" s="18"/>
      <c r="AA17" s="355"/>
      <c r="AB17" s="18"/>
      <c r="AC17" s="18"/>
      <c r="AD17" s="18"/>
      <c r="AE17" s="18"/>
      <c r="AF17" s="18"/>
      <c r="AG17" s="18"/>
      <c r="AH17" s="355"/>
      <c r="AI17" s="355"/>
      <c r="AJ17" s="18"/>
      <c r="AK17" s="18"/>
      <c r="AL17" s="18"/>
      <c r="AM17" s="18"/>
      <c r="AN17" s="355"/>
      <c r="AO17" s="355"/>
      <c r="AP17" s="355"/>
      <c r="AQ17" s="355"/>
      <c r="AR17" s="355"/>
      <c r="AS17" s="355"/>
      <c r="AT17" s="355"/>
      <c r="AU17" s="355"/>
      <c r="AV17" s="357"/>
      <c r="AX17" s="42">
        <f t="shared" si="12"/>
        <v>0</v>
      </c>
      <c r="AY17" s="23" cm="1">
        <f t="array" ref="AY17">SUM(COUNTIFS(I17:AV17,{"R1","R2","R-CICU"},$I$2:$AV$2,"&lt;5",$I$1:$AV$1,"&lt;&gt;Y"))</f>
        <v>0</v>
      </c>
      <c r="AZ17" s="23">
        <f t="shared" si="13"/>
        <v>0</v>
      </c>
      <c r="BA17" s="23" cm="1">
        <f t="array" ref="BA17">SUM(COUNTIFS(I17:AV17,{"R1","R2","R-CICU"},$I$2:$AV$2,"5",$I$1:$AV$1,"&lt;&gt;Y"))</f>
        <v>0</v>
      </c>
      <c r="BB17" s="23">
        <f t="shared" si="14"/>
        <v>0</v>
      </c>
      <c r="BC17" s="278">
        <f t="shared" si="15"/>
        <v>0</v>
      </c>
      <c r="BD17" s="39">
        <f t="shared" si="16"/>
        <v>0</v>
      </c>
      <c r="BE17" s="25">
        <f t="shared" si="17"/>
        <v>0</v>
      </c>
      <c r="BF17" s="26">
        <f t="shared" si="18"/>
        <v>0</v>
      </c>
      <c r="BG17" s="25">
        <f>IFERROR(INDEX('Month-1'!$F$3:$F$53,MATCH($B17,'Month-1'!$B$3:$B$53,0)),0)</f>
        <v>0</v>
      </c>
      <c r="BH17" s="26">
        <f t="shared" si="19"/>
        <v>0</v>
      </c>
    </row>
    <row r="18" spans="2:60" x14ac:dyDescent="0.2">
      <c r="B18" s="71"/>
      <c r="C18" s="18"/>
      <c r="D18" s="18"/>
      <c r="E18" s="307"/>
      <c r="F18" s="307"/>
      <c r="G18" s="25" t="str">
        <f>IFERROR(IF(VLOOKUP($B18,'Month-1'!$B$3:$D$53,2,0)=0,"",VLOOKUP($B18,'Month-1'!$B$3:$D$53,2,0)),"")</f>
        <v/>
      </c>
      <c r="H18" s="26" t="str">
        <f>IFERROR(IF(VLOOKUP($B18,'Month-1'!$B$3:$D$53,3,0)=0,"",VLOOKUP($B19,'Month-1'!$B$3:$D$53,3,0)),"")</f>
        <v/>
      </c>
      <c r="I18" s="24"/>
      <c r="J18" s="18"/>
      <c r="K18" s="355"/>
      <c r="L18" s="18"/>
      <c r="M18" s="18"/>
      <c r="N18" s="355"/>
      <c r="O18" s="18"/>
      <c r="P18" s="18"/>
      <c r="Q18" s="355"/>
      <c r="R18" s="18"/>
      <c r="S18" s="18"/>
      <c r="T18" s="355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355"/>
      <c r="AF18" s="18"/>
      <c r="AG18" s="18"/>
      <c r="AH18" s="355"/>
      <c r="AI18" s="18"/>
      <c r="AJ18" s="18"/>
      <c r="AK18" s="18"/>
      <c r="AL18" s="18"/>
      <c r="AM18" s="355"/>
      <c r="AN18" s="355"/>
      <c r="AO18" s="355"/>
      <c r="AP18" s="355"/>
      <c r="AQ18" s="355"/>
      <c r="AR18" s="355"/>
      <c r="AS18" s="355"/>
      <c r="AT18" s="355"/>
      <c r="AU18" s="355"/>
      <c r="AV18" s="357"/>
      <c r="AX18" s="42">
        <f t="shared" si="12"/>
        <v>0</v>
      </c>
      <c r="AY18" s="23" cm="1">
        <f t="array" ref="AY18">SUM(COUNTIFS(I18:AV18,{"R1","R2","R-CICU"},$I$2:$AV$2,"&lt;5",$I$1:$AV$1,"&lt;&gt;Y"))</f>
        <v>0</v>
      </c>
      <c r="AZ18" s="23">
        <f t="shared" si="13"/>
        <v>0</v>
      </c>
      <c r="BA18" s="23" cm="1">
        <f t="array" ref="BA18">SUM(COUNTIFS(I18:AV18,{"R1","R2","R-CICU"},$I$2:$AV$2,"5",$I$1:$AV$1,"&lt;&gt;Y"))</f>
        <v>0</v>
      </c>
      <c r="BB18" s="23">
        <f t="shared" si="14"/>
        <v>0</v>
      </c>
      <c r="BC18" s="278">
        <f t="shared" si="15"/>
        <v>0</v>
      </c>
      <c r="BD18" s="39">
        <f t="shared" si="16"/>
        <v>0</v>
      </c>
      <c r="BE18" s="25">
        <f t="shared" si="17"/>
        <v>0</v>
      </c>
      <c r="BF18" s="26">
        <f t="shared" si="18"/>
        <v>0</v>
      </c>
      <c r="BG18" s="25">
        <f>IFERROR(INDEX('Month-1'!$F$3:$F$53,MATCH($B18,'Month-1'!$B$3:$B$53,0)),0)</f>
        <v>0</v>
      </c>
      <c r="BH18" s="26">
        <f t="shared" si="19"/>
        <v>0</v>
      </c>
    </row>
    <row r="19" spans="2:60" x14ac:dyDescent="0.2">
      <c r="B19" s="71"/>
      <c r="C19" s="18"/>
      <c r="D19" s="18"/>
      <c r="E19" s="307"/>
      <c r="F19" s="307"/>
      <c r="G19" s="25" t="str">
        <f>IFERROR(IF(VLOOKUP($B19,'Month-1'!$B$3:$D$53,2,0)=0,"",VLOOKUP($B19,'Month-1'!$B$3:$D$53,2,0)),"")</f>
        <v/>
      </c>
      <c r="H19" s="26" t="str">
        <f>IFERROR(IF(VLOOKUP($B19,'Month-1'!$B$3:$D$53,3,0)=0,"",VLOOKUP($B20,'Month-1'!$B$3:$D$53,3,0)),"")</f>
        <v/>
      </c>
      <c r="I19" s="24"/>
      <c r="J19" s="18"/>
      <c r="K19" s="18"/>
      <c r="L19" s="18"/>
      <c r="M19" s="18"/>
      <c r="N19" s="18"/>
      <c r="O19" s="18"/>
      <c r="P19" s="18"/>
      <c r="Q19" s="355"/>
      <c r="R19" s="355"/>
      <c r="S19" s="355"/>
      <c r="T19" s="18"/>
      <c r="U19" s="18"/>
      <c r="V19" s="18"/>
      <c r="W19" s="355"/>
      <c r="X19" s="18"/>
      <c r="Y19" s="18"/>
      <c r="Z19" s="18"/>
      <c r="AA19" s="355"/>
      <c r="AB19" s="18"/>
      <c r="AC19" s="18"/>
      <c r="AD19" s="355"/>
      <c r="AE19" s="18"/>
      <c r="AF19" s="18"/>
      <c r="AG19" s="355"/>
      <c r="AH19" s="355"/>
      <c r="AI19" s="18"/>
      <c r="AJ19" s="18"/>
      <c r="AK19" s="18"/>
      <c r="AL19" s="18"/>
      <c r="AM19" s="18"/>
      <c r="AN19" s="355"/>
      <c r="AO19" s="355"/>
      <c r="AP19" s="355"/>
      <c r="AQ19" s="355"/>
      <c r="AR19" s="355"/>
      <c r="AS19" s="355"/>
      <c r="AT19" s="355"/>
      <c r="AU19" s="355"/>
      <c r="AV19" s="357"/>
      <c r="AX19" s="42">
        <f t="shared" si="12"/>
        <v>0</v>
      </c>
      <c r="AY19" s="23" cm="1">
        <f t="array" ref="AY19">SUM(COUNTIFS(I19:AV19,{"R1","R2","R-CICU"},$I$2:$AV$2,"&lt;5",$I$1:$AV$1,"&lt;&gt;Y"))</f>
        <v>0</v>
      </c>
      <c r="AZ19" s="23">
        <f t="shared" si="13"/>
        <v>0</v>
      </c>
      <c r="BA19" s="23" cm="1">
        <f t="array" ref="BA19">SUM(COUNTIFS(I19:AV19,{"R1","R2","R-CICU"},$I$2:$AV$2,"5",$I$1:$AV$1,"&lt;&gt;Y"))</f>
        <v>0</v>
      </c>
      <c r="BB19" s="23">
        <f t="shared" si="14"/>
        <v>0</v>
      </c>
      <c r="BC19" s="278">
        <f t="shared" si="15"/>
        <v>0</v>
      </c>
      <c r="BD19" s="39">
        <f t="shared" si="16"/>
        <v>0</v>
      </c>
      <c r="BE19" s="25">
        <f t="shared" si="17"/>
        <v>0</v>
      </c>
      <c r="BF19" s="26">
        <f t="shared" si="18"/>
        <v>0</v>
      </c>
      <c r="BG19" s="25">
        <f>IFERROR(INDEX('Month-1'!$F$3:$F$53,MATCH($B19,'Month-1'!$B$3:$B$53,0)),0)</f>
        <v>0</v>
      </c>
      <c r="BH19" s="26">
        <f t="shared" si="19"/>
        <v>0</v>
      </c>
    </row>
    <row r="20" spans="2:60" x14ac:dyDescent="0.2">
      <c r="B20" s="71"/>
      <c r="C20" s="18"/>
      <c r="D20" s="18"/>
      <c r="E20" s="307"/>
      <c r="F20" s="307"/>
      <c r="G20" s="25" t="str">
        <f>IFERROR(IF(VLOOKUP($B20,'Month-1'!$B$3:$D$53,2,0)=0,"",VLOOKUP($B20,'Month-1'!$B$3:$D$53,2,0)),"")</f>
        <v/>
      </c>
      <c r="H20" s="26" t="str">
        <f>IFERROR(IF(VLOOKUP($B20,'Month-1'!$B$3:$D$53,3,0)=0,"",VLOOKUP($B21,'Month-1'!$B$3:$D$53,3,0)),"")</f>
        <v/>
      </c>
      <c r="I20" s="24"/>
      <c r="J20" s="18"/>
      <c r="K20" s="355"/>
      <c r="L20" s="18"/>
      <c r="M20" s="18"/>
      <c r="N20" s="18"/>
      <c r="O20" s="18"/>
      <c r="P20" s="18"/>
      <c r="Q20" s="18"/>
      <c r="R20" s="18"/>
      <c r="S20" s="18"/>
      <c r="T20" s="355"/>
      <c r="U20" s="18"/>
      <c r="V20" s="18"/>
      <c r="W20" s="18"/>
      <c r="X20" s="18"/>
      <c r="Y20" s="355"/>
      <c r="Z20" s="355"/>
      <c r="AA20" s="355"/>
      <c r="AB20" s="355"/>
      <c r="AC20" s="355"/>
      <c r="AD20" s="355"/>
      <c r="AE20" s="355"/>
      <c r="AF20" s="355"/>
      <c r="AG20" s="355"/>
      <c r="AH20" s="355"/>
      <c r="AI20" s="355"/>
      <c r="AJ20" s="355"/>
      <c r="AK20" s="355"/>
      <c r="AL20" s="355"/>
      <c r="AM20" s="18"/>
      <c r="AN20" s="18"/>
      <c r="AO20" s="18"/>
      <c r="AP20" s="18"/>
      <c r="AQ20" s="18"/>
      <c r="AR20" s="18"/>
      <c r="AS20" s="18"/>
      <c r="AT20" s="18"/>
      <c r="AU20" s="18"/>
      <c r="AV20" s="26"/>
      <c r="AX20" s="42">
        <f t="shared" si="12"/>
        <v>0</v>
      </c>
      <c r="AY20" s="23" cm="1">
        <f t="array" ref="AY20">SUM(COUNTIFS(I20:AV20,{"R1","R2","R-CICU"},$I$2:$AV$2,"&lt;5",$I$1:$AV$1,"&lt;&gt;Y"))</f>
        <v>0</v>
      </c>
      <c r="AZ20" s="23">
        <f t="shared" si="13"/>
        <v>0</v>
      </c>
      <c r="BA20" s="23" cm="1">
        <f t="array" ref="BA20">SUM(COUNTIFS(I20:AV20,{"R1","R2","R-CICU"},$I$2:$AV$2,"5",$I$1:$AV$1,"&lt;&gt;Y"))</f>
        <v>0</v>
      </c>
      <c r="BB20" s="23">
        <f t="shared" si="14"/>
        <v>0</v>
      </c>
      <c r="BC20" s="278">
        <f t="shared" si="15"/>
        <v>0</v>
      </c>
      <c r="BD20" s="39">
        <f t="shared" si="16"/>
        <v>0</v>
      </c>
      <c r="BE20" s="25">
        <f t="shared" si="17"/>
        <v>0</v>
      </c>
      <c r="BF20" s="26">
        <f t="shared" si="18"/>
        <v>0</v>
      </c>
      <c r="BG20" s="25">
        <f>IFERROR(INDEX('Month-1'!$F$3:$F$53,MATCH($B20,'Month-1'!$B$3:$B$53,0)),0)</f>
        <v>0</v>
      </c>
      <c r="BH20" s="26">
        <f t="shared" si="19"/>
        <v>0</v>
      </c>
    </row>
    <row r="21" spans="2:60" x14ac:dyDescent="0.2">
      <c r="B21" s="71"/>
      <c r="C21" s="18"/>
      <c r="D21" s="18"/>
      <c r="E21" s="307"/>
      <c r="F21" s="307"/>
      <c r="G21" s="25" t="str">
        <f>IFERROR(IF(VLOOKUP($B21,'Month-1'!$B$3:$D$53,2,0)=0,"",VLOOKUP($B21,'Month-1'!$B$3:$D$53,2,0)),"")</f>
        <v/>
      </c>
      <c r="H21" s="26" t="str">
        <f>IFERROR(IF(VLOOKUP($B21,'Month-1'!$B$3:$D$53,3,0)=0,"",VLOOKUP($B22,'Month-1'!$B$3:$D$53,3,0)),"")</f>
        <v/>
      </c>
      <c r="I21" s="24"/>
      <c r="J21" s="18"/>
      <c r="K21" s="18"/>
      <c r="L21" s="18"/>
      <c r="M21" s="18"/>
      <c r="N21" s="18"/>
      <c r="O21" s="18"/>
      <c r="P21" s="18"/>
      <c r="Q21" s="18"/>
      <c r="R21" s="355"/>
      <c r="S21" s="18"/>
      <c r="T21" s="18"/>
      <c r="U21" s="18"/>
      <c r="V21" s="18"/>
      <c r="W21" s="355"/>
      <c r="X21" s="18"/>
      <c r="Y21" s="355"/>
      <c r="Z21" s="18"/>
      <c r="AA21" s="355"/>
      <c r="AB21" s="355"/>
      <c r="AC21" s="355"/>
      <c r="AD21" s="355"/>
      <c r="AE21" s="355"/>
      <c r="AF21" s="355"/>
      <c r="AG21" s="355"/>
      <c r="AH21" s="355"/>
      <c r="AI21" s="355"/>
      <c r="AJ21" s="355"/>
      <c r="AK21" s="355"/>
      <c r="AL21" s="355"/>
      <c r="AM21" s="18"/>
      <c r="AN21" s="355"/>
      <c r="AO21" s="355"/>
      <c r="AP21" s="355"/>
      <c r="AQ21" s="355"/>
      <c r="AR21" s="355"/>
      <c r="AS21" s="355"/>
      <c r="AT21" s="355"/>
      <c r="AU21" s="355"/>
      <c r="AV21" s="357"/>
      <c r="AX21" s="42">
        <f t="shared" si="12"/>
        <v>0</v>
      </c>
      <c r="AY21" s="23" cm="1">
        <f t="array" ref="AY21">SUM(COUNTIFS(I21:AV21,{"R1","R2","R-CICU"},$I$2:$AV$2,"&lt;5",$I$1:$AV$1,"&lt;&gt;Y"))</f>
        <v>0</v>
      </c>
      <c r="AZ21" s="23">
        <f t="shared" si="13"/>
        <v>0</v>
      </c>
      <c r="BA21" s="23" cm="1">
        <f t="array" ref="BA21">SUM(COUNTIFS(I21:AV21,{"R1","R2","R-CICU"},$I$2:$AV$2,"5",$I$1:$AV$1,"&lt;&gt;Y"))</f>
        <v>0</v>
      </c>
      <c r="BB21" s="23">
        <f t="shared" si="14"/>
        <v>0</v>
      </c>
      <c r="BC21" s="278">
        <f t="shared" si="15"/>
        <v>0</v>
      </c>
      <c r="BD21" s="39">
        <f t="shared" si="16"/>
        <v>0</v>
      </c>
      <c r="BE21" s="25">
        <f t="shared" si="17"/>
        <v>0</v>
      </c>
      <c r="BF21" s="26">
        <f t="shared" si="18"/>
        <v>0</v>
      </c>
      <c r="BG21" s="25">
        <f>IFERROR(INDEX('Month-1'!$F$3:$F$53,MATCH($B21,'Month-1'!$B$3:$B$53,0)),0)</f>
        <v>0</v>
      </c>
      <c r="BH21" s="26">
        <f t="shared" si="19"/>
        <v>0</v>
      </c>
    </row>
    <row r="22" spans="2:60" x14ac:dyDescent="0.2">
      <c r="B22" s="71"/>
      <c r="C22" s="18"/>
      <c r="D22" s="18"/>
      <c r="E22" s="307"/>
      <c r="F22" s="307"/>
      <c r="G22" s="25" t="str">
        <f>IFERROR(IF(VLOOKUP($B22,'Month-1'!$B$3:$D$53,2,0)=0,"",VLOOKUP($B22,'Month-1'!$B$3:$D$53,2,0)),"")</f>
        <v/>
      </c>
      <c r="H22" s="26" t="str">
        <f>IFERROR(IF(VLOOKUP($B22,'Month-1'!$B$3:$D$53,3,0)=0,"",VLOOKUP($B23,'Month-1'!$B$3:$D$53,3,0)),"")</f>
        <v/>
      </c>
      <c r="I22" s="24"/>
      <c r="J22" s="18"/>
      <c r="K22" s="18"/>
      <c r="L22" s="18"/>
      <c r="M22" s="18"/>
      <c r="N22" s="18"/>
      <c r="O22" s="355"/>
      <c r="P22" s="355"/>
      <c r="Q22" s="18"/>
      <c r="R22" s="18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  <c r="AC22" s="355"/>
      <c r="AD22" s="355"/>
      <c r="AE22" s="18"/>
      <c r="AF22" s="18"/>
      <c r="AG22" s="18"/>
      <c r="AH22" s="355"/>
      <c r="AI22" s="355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26"/>
      <c r="AX22" s="42">
        <f t="shared" si="12"/>
        <v>0</v>
      </c>
      <c r="AY22" s="23" cm="1">
        <f t="array" ref="AY22">SUM(COUNTIFS(I22:AV22,{"R1","R2","R-CICU"},$I$2:$AV$2,"&lt;5",$I$1:$AV$1,"&lt;&gt;Y"))</f>
        <v>0</v>
      </c>
      <c r="AZ22" s="23">
        <f t="shared" si="13"/>
        <v>0</v>
      </c>
      <c r="BA22" s="23" cm="1">
        <f t="array" ref="BA22">SUM(COUNTIFS(I22:AV22,{"R1","R2","R-CICU"},$I$2:$AV$2,"5",$I$1:$AV$1,"&lt;&gt;Y"))</f>
        <v>0</v>
      </c>
      <c r="BB22" s="23">
        <f t="shared" si="14"/>
        <v>0</v>
      </c>
      <c r="BC22" s="278">
        <f t="shared" si="15"/>
        <v>0</v>
      </c>
      <c r="BD22" s="39">
        <f t="shared" si="16"/>
        <v>0</v>
      </c>
      <c r="BE22" s="25">
        <f t="shared" si="17"/>
        <v>0</v>
      </c>
      <c r="BF22" s="26">
        <f t="shared" si="18"/>
        <v>0</v>
      </c>
      <c r="BG22" s="25">
        <f>IFERROR(INDEX('Month-1'!$F$3:$F$53,MATCH($B22,'Month-1'!$B$3:$B$53,0)),0)</f>
        <v>0</v>
      </c>
      <c r="BH22" s="26">
        <f t="shared" si="19"/>
        <v>0</v>
      </c>
    </row>
    <row r="23" spans="2:60" x14ac:dyDescent="0.2">
      <c r="B23" s="71"/>
      <c r="C23" s="18"/>
      <c r="D23" s="18"/>
      <c r="E23" s="307"/>
      <c r="F23" s="307"/>
      <c r="G23" s="25" t="str">
        <f>IFERROR(IF(VLOOKUP($B23,'Month-1'!$B$3:$D$53,2,0)=0,"",VLOOKUP($B23,'Month-1'!$B$3:$D$53,2,0)),"")</f>
        <v/>
      </c>
      <c r="H23" s="26" t="str">
        <f>IFERROR(IF(VLOOKUP($B23,'Month-1'!$B$3:$D$53,3,0)=0,"",VLOOKUP($B24,'Month-1'!$B$3:$D$53,3,0)),"")</f>
        <v/>
      </c>
      <c r="I23" s="24"/>
      <c r="J23" s="18"/>
      <c r="K23" s="355"/>
      <c r="L23" s="355"/>
      <c r="M23" s="18"/>
      <c r="N23" s="18"/>
      <c r="O23" s="18"/>
      <c r="P23" s="18"/>
      <c r="Q23" s="18"/>
      <c r="R23" s="18"/>
      <c r="S23" s="18"/>
      <c r="T23" s="18"/>
      <c r="U23" s="355"/>
      <c r="V23" s="355"/>
      <c r="W23" s="355"/>
      <c r="X23" s="355"/>
      <c r="Y23" s="355"/>
      <c r="Z23" s="18"/>
      <c r="AA23" s="18"/>
      <c r="AB23" s="18"/>
      <c r="AC23" s="18"/>
      <c r="AD23" s="18"/>
      <c r="AE23" s="18"/>
      <c r="AF23" s="18"/>
      <c r="AG23" s="18"/>
      <c r="AH23" s="18"/>
      <c r="AI23" s="355"/>
      <c r="AJ23" s="18"/>
      <c r="AK23" s="18"/>
      <c r="AL23" s="18"/>
      <c r="AM23" s="18"/>
      <c r="AN23" s="355"/>
      <c r="AO23" s="355"/>
      <c r="AP23" s="355"/>
      <c r="AQ23" s="355"/>
      <c r="AR23" s="355"/>
      <c r="AS23" s="355"/>
      <c r="AT23" s="355"/>
      <c r="AU23" s="355"/>
      <c r="AV23" s="357"/>
      <c r="AX23" s="42">
        <f t="shared" si="12"/>
        <v>0</v>
      </c>
      <c r="AY23" s="23" cm="1">
        <f t="array" ref="AY23">SUM(COUNTIFS(I23:AV23,{"R1","R2","R-CICU"},$I$2:$AV$2,"&lt;5",$I$1:$AV$1,"&lt;&gt;Y"))</f>
        <v>0</v>
      </c>
      <c r="AZ23" s="23">
        <f t="shared" si="13"/>
        <v>0</v>
      </c>
      <c r="BA23" s="23" cm="1">
        <f t="array" ref="BA23">SUM(COUNTIFS(I23:AV23,{"R1","R2","R-CICU"},$I$2:$AV$2,"5",$I$1:$AV$1,"&lt;&gt;Y"))</f>
        <v>0</v>
      </c>
      <c r="BB23" s="23">
        <f t="shared" si="14"/>
        <v>0</v>
      </c>
      <c r="BC23" s="278">
        <f t="shared" si="15"/>
        <v>0</v>
      </c>
      <c r="BD23" s="39">
        <f t="shared" si="16"/>
        <v>0</v>
      </c>
      <c r="BE23" s="25">
        <f t="shared" si="17"/>
        <v>0</v>
      </c>
      <c r="BF23" s="26">
        <f t="shared" si="18"/>
        <v>0</v>
      </c>
      <c r="BG23" s="25">
        <f>IFERROR(INDEX('Month-1'!$F$3:$F$53,MATCH($B23,'Month-1'!$B$3:$B$53,0)),0)</f>
        <v>0</v>
      </c>
      <c r="BH23" s="26">
        <f t="shared" si="19"/>
        <v>0</v>
      </c>
    </row>
    <row r="24" spans="2:60" x14ac:dyDescent="0.2">
      <c r="B24" s="71"/>
      <c r="C24" s="18"/>
      <c r="D24" s="18"/>
      <c r="E24" s="307"/>
      <c r="F24" s="307"/>
      <c r="G24" s="25" t="str">
        <f>IFERROR(IF(VLOOKUP($B24,'Month-1'!$B$3:$D$53,2,0)=0,"",VLOOKUP($B24,'Month-1'!$B$3:$D$53,2,0)),"")</f>
        <v/>
      </c>
      <c r="H24" s="26" t="str">
        <f>IFERROR(IF(VLOOKUP($B24,'Month-1'!$B$3:$D$53,3,0)=0,"",VLOOKUP($B25,'Month-1'!$B$3:$D$53,3,0)),"")</f>
        <v/>
      </c>
      <c r="I24" s="24"/>
      <c r="J24" s="355"/>
      <c r="K24" s="18"/>
      <c r="L24" s="18"/>
      <c r="M24" s="18"/>
      <c r="N24" s="18"/>
      <c r="O24" s="18"/>
      <c r="P24" s="18"/>
      <c r="Q24" s="18"/>
      <c r="R24" s="18"/>
      <c r="S24" s="18"/>
      <c r="T24" s="355"/>
      <c r="U24" s="355"/>
      <c r="V24" s="18"/>
      <c r="W24" s="18"/>
      <c r="X24" s="355"/>
      <c r="Y24" s="355"/>
      <c r="Z24" s="355"/>
      <c r="AA24" s="355"/>
      <c r="AB24" s="355"/>
      <c r="AC24" s="355"/>
      <c r="AD24" s="355"/>
      <c r="AE24" s="355"/>
      <c r="AF24" s="355"/>
      <c r="AG24" s="18"/>
      <c r="AH24" s="355"/>
      <c r="AI24" s="355"/>
      <c r="AJ24" s="355"/>
      <c r="AK24" s="355"/>
      <c r="AL24" s="18"/>
      <c r="AM24" s="18"/>
      <c r="AN24" s="355"/>
      <c r="AO24" s="355"/>
      <c r="AP24" s="355"/>
      <c r="AQ24" s="355"/>
      <c r="AR24" s="355"/>
      <c r="AS24" s="355"/>
      <c r="AT24" s="355"/>
      <c r="AU24" s="355"/>
      <c r="AV24" s="357"/>
      <c r="AX24" s="42">
        <f t="shared" si="12"/>
        <v>0</v>
      </c>
      <c r="AY24" s="23" cm="1">
        <f t="array" ref="AY24">SUM(COUNTIFS(I24:AV24,{"R1","R2","R-CICU"},$I$2:$AV$2,"&lt;5",$I$1:$AV$1,"&lt;&gt;Y"))</f>
        <v>0</v>
      </c>
      <c r="AZ24" s="23">
        <f t="shared" si="13"/>
        <v>0</v>
      </c>
      <c r="BA24" s="23" cm="1">
        <f t="array" ref="BA24">SUM(COUNTIFS(I24:AV24,{"R1","R2","R-CICU"},$I$2:$AV$2,"5",$I$1:$AV$1,"&lt;&gt;Y"))</f>
        <v>0</v>
      </c>
      <c r="BB24" s="23">
        <f t="shared" si="14"/>
        <v>0</v>
      </c>
      <c r="BC24" s="278">
        <f t="shared" si="15"/>
        <v>0</v>
      </c>
      <c r="BD24" s="39">
        <f t="shared" si="16"/>
        <v>0</v>
      </c>
      <c r="BE24" s="25">
        <f t="shared" si="17"/>
        <v>0</v>
      </c>
      <c r="BF24" s="26">
        <f t="shared" si="18"/>
        <v>0</v>
      </c>
      <c r="BG24" s="25">
        <f>IFERROR(INDEX('Month-1'!$F$3:$F$53,MATCH($B24,'Month-1'!$B$3:$B$53,0)),0)</f>
        <v>0</v>
      </c>
      <c r="BH24" s="26">
        <f t="shared" si="19"/>
        <v>0</v>
      </c>
    </row>
    <row r="25" spans="2:60" x14ac:dyDescent="0.2">
      <c r="B25" s="71"/>
      <c r="C25" s="18"/>
      <c r="D25" s="18"/>
      <c r="E25" s="307"/>
      <c r="F25" s="307"/>
      <c r="G25" s="25" t="str">
        <f>IFERROR(IF(VLOOKUP($B25,'Month-1'!$B$3:$D$53,2,0)=0,"",VLOOKUP($B25,'Month-1'!$B$3:$D$53,2,0)),"")</f>
        <v/>
      </c>
      <c r="H25" s="26" t="str">
        <f>IFERROR(IF(VLOOKUP($B25,'Month-1'!$B$3:$D$53,3,0)=0,"",VLOOKUP($B26,'Month-1'!$B$3:$D$53,3,0)),"")</f>
        <v/>
      </c>
      <c r="I25" s="24"/>
      <c r="J25" s="18"/>
      <c r="K25" s="18"/>
      <c r="L25" s="355"/>
      <c r="M25" s="18"/>
      <c r="N25" s="355"/>
      <c r="O25" s="18"/>
      <c r="P25" s="18"/>
      <c r="Q25" s="18"/>
      <c r="R25" s="18"/>
      <c r="S25" s="18"/>
      <c r="T25" s="18"/>
      <c r="U25" s="355"/>
      <c r="V25" s="18"/>
      <c r="W25" s="18"/>
      <c r="X25" s="18"/>
      <c r="Y25" s="355"/>
      <c r="Z25" s="355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55"/>
      <c r="AO25" s="355"/>
      <c r="AP25" s="355"/>
      <c r="AQ25" s="355"/>
      <c r="AR25" s="355"/>
      <c r="AS25" s="355"/>
      <c r="AT25" s="355"/>
      <c r="AU25" s="355"/>
      <c r="AV25" s="357"/>
      <c r="AX25" s="42">
        <f t="shared" si="12"/>
        <v>0</v>
      </c>
      <c r="AY25" s="23" cm="1">
        <f t="array" ref="AY25">SUM(COUNTIFS(I25:AV25,{"R1","R2","R-CICU"},$I$2:$AV$2,"&lt;5",$I$1:$AV$1,"&lt;&gt;Y"))</f>
        <v>0</v>
      </c>
      <c r="AZ25" s="23">
        <f t="shared" si="13"/>
        <v>0</v>
      </c>
      <c r="BA25" s="23" cm="1">
        <f t="array" ref="BA25">SUM(COUNTIFS(I25:AV25,{"R1","R2","R-CICU"},$I$2:$AV$2,"5",$I$1:$AV$1,"&lt;&gt;Y"))</f>
        <v>0</v>
      </c>
      <c r="BB25" s="23">
        <f t="shared" si="14"/>
        <v>0</v>
      </c>
      <c r="BC25" s="278">
        <f t="shared" si="15"/>
        <v>0</v>
      </c>
      <c r="BD25" s="39">
        <f t="shared" si="16"/>
        <v>0</v>
      </c>
      <c r="BE25" s="25">
        <f t="shared" si="17"/>
        <v>0</v>
      </c>
      <c r="BF25" s="26">
        <f t="shared" si="18"/>
        <v>0</v>
      </c>
      <c r="BG25" s="25">
        <f>IFERROR(INDEX('Month-1'!$F$3:$F$53,MATCH($B25,'Month-1'!$B$3:$B$53,0)),0)</f>
        <v>0</v>
      </c>
      <c r="BH25" s="26">
        <f t="shared" si="19"/>
        <v>0</v>
      </c>
    </row>
    <row r="26" spans="2:60" x14ac:dyDescent="0.2">
      <c r="B26" s="71"/>
      <c r="C26" s="18"/>
      <c r="D26" s="18"/>
      <c r="E26" s="307"/>
      <c r="F26" s="307"/>
      <c r="G26" s="25" t="str">
        <f>IFERROR(IF(VLOOKUP($B26,'Month-1'!$B$3:$D$53,2,0)=0,"",VLOOKUP($B26,'Month-1'!$B$3:$D$53,2,0)),"")</f>
        <v/>
      </c>
      <c r="H26" s="26" t="str">
        <f>IFERROR(IF(VLOOKUP($B26,'Month-1'!$B$3:$D$53,3,0)=0,"",VLOOKUP($B27,'Month-1'!$B$3:$D$53,3,0)),"")</f>
        <v/>
      </c>
      <c r="I26" s="24"/>
      <c r="J26" s="18"/>
      <c r="K26" s="18"/>
      <c r="L26" s="355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355"/>
      <c r="AA26" s="355"/>
      <c r="AB26" s="355"/>
      <c r="AC26" s="18"/>
      <c r="AD26" s="18"/>
      <c r="AE26" s="18"/>
      <c r="AF26" s="18"/>
      <c r="AG26" s="355"/>
      <c r="AH26" s="355"/>
      <c r="AI26" s="18"/>
      <c r="AJ26" s="18"/>
      <c r="AK26" s="18"/>
      <c r="AL26" s="355"/>
      <c r="AM26" s="355"/>
      <c r="AN26" s="18"/>
      <c r="AO26" s="18"/>
      <c r="AP26" s="18"/>
      <c r="AQ26" s="18"/>
      <c r="AR26" s="18"/>
      <c r="AS26" s="18"/>
      <c r="AT26" s="18"/>
      <c r="AU26" s="18"/>
      <c r="AV26" s="26"/>
      <c r="AX26" s="42">
        <f t="shared" si="12"/>
        <v>0</v>
      </c>
      <c r="AY26" s="23" cm="1">
        <f t="array" ref="AY26">SUM(COUNTIFS(I26:AV26,{"R1","R2","R-CICU"},$I$2:$AV$2,"&lt;5",$I$1:$AV$1,"&lt;&gt;Y"))</f>
        <v>0</v>
      </c>
      <c r="AZ26" s="23">
        <f t="shared" si="13"/>
        <v>0</v>
      </c>
      <c r="BA26" s="23" cm="1">
        <f t="array" ref="BA26">SUM(COUNTIFS(I26:AV26,{"R1","R2","R-CICU"},$I$2:$AV$2,"5",$I$1:$AV$1,"&lt;&gt;Y"))</f>
        <v>0</v>
      </c>
      <c r="BB26" s="23">
        <f t="shared" si="14"/>
        <v>0</v>
      </c>
      <c r="BC26" s="278">
        <f t="shared" si="15"/>
        <v>0</v>
      </c>
      <c r="BD26" s="39">
        <f t="shared" si="16"/>
        <v>0</v>
      </c>
      <c r="BE26" s="25">
        <f t="shared" si="17"/>
        <v>0</v>
      </c>
      <c r="BF26" s="26">
        <f t="shared" si="18"/>
        <v>0</v>
      </c>
      <c r="BG26" s="25">
        <f>IFERROR(INDEX('Month-1'!$F$3:$F$53,MATCH($B26,'Month-1'!$B$3:$B$53,0)),0)</f>
        <v>0</v>
      </c>
      <c r="BH26" s="26">
        <f t="shared" si="19"/>
        <v>0</v>
      </c>
    </row>
    <row r="27" spans="2:60" x14ac:dyDescent="0.2">
      <c r="B27" s="71"/>
      <c r="C27" s="18"/>
      <c r="D27" s="18"/>
      <c r="E27" s="307"/>
      <c r="F27" s="307"/>
      <c r="G27" s="25" t="str">
        <f>IFERROR(IF(VLOOKUP($B27,'Month-1'!$B$3:$D$53,2,0)=0,"",VLOOKUP($B27,'Month-1'!$B$3:$D$53,2,0)),"")</f>
        <v/>
      </c>
      <c r="H27" s="26" t="str">
        <f>IFERROR(IF(VLOOKUP($B27,'Month-1'!$B$3:$D$53,3,0)=0,"",VLOOKUP($B28,'Month-1'!$B$3:$D$53,3,0)),"")</f>
        <v/>
      </c>
      <c r="I27" s="24"/>
      <c r="J27" s="18"/>
      <c r="K27" s="18"/>
      <c r="L27" s="355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355"/>
      <c r="AA27" s="355"/>
      <c r="AB27" s="355"/>
      <c r="AC27" s="18"/>
      <c r="AD27" s="18"/>
      <c r="AE27" s="18"/>
      <c r="AF27" s="18"/>
      <c r="AG27" s="355"/>
      <c r="AH27" s="355"/>
      <c r="AI27" s="18"/>
      <c r="AJ27" s="18"/>
      <c r="AK27" s="18"/>
      <c r="AL27" s="355"/>
      <c r="AM27" s="355"/>
      <c r="AN27" s="18"/>
      <c r="AO27" s="18"/>
      <c r="AP27" s="18"/>
      <c r="AQ27" s="18"/>
      <c r="AR27" s="18"/>
      <c r="AS27" s="18"/>
      <c r="AT27" s="18"/>
      <c r="AU27" s="18"/>
      <c r="AV27" s="26"/>
      <c r="AX27" s="42">
        <f t="shared" si="12"/>
        <v>0</v>
      </c>
      <c r="AY27" s="23" cm="1">
        <f t="array" ref="AY27">SUM(COUNTIFS(I27:AV27,{"R1","R2","R-CICU"},$I$2:$AV$2,"&lt;5",$I$1:$AV$1,"&lt;&gt;Y"))</f>
        <v>0</v>
      </c>
      <c r="AZ27" s="23">
        <f t="shared" si="13"/>
        <v>0</v>
      </c>
      <c r="BA27" s="23" cm="1">
        <f t="array" ref="BA27">SUM(COUNTIFS(I27:AV27,{"R1","R2","R-CICU"},$I$2:$AV$2,"5",$I$1:$AV$1,"&lt;&gt;Y"))</f>
        <v>0</v>
      </c>
      <c r="BB27" s="23">
        <f t="shared" si="14"/>
        <v>0</v>
      </c>
      <c r="BC27" s="278">
        <f t="shared" si="15"/>
        <v>0</v>
      </c>
      <c r="BD27" s="39">
        <f t="shared" si="16"/>
        <v>0</v>
      </c>
      <c r="BE27" s="25">
        <f t="shared" si="17"/>
        <v>0</v>
      </c>
      <c r="BF27" s="26">
        <f t="shared" si="18"/>
        <v>0</v>
      </c>
      <c r="BG27" s="25">
        <f>IFERROR(INDEX('Month-1'!$F$3:$F$53,MATCH($B27,'Month-1'!$B$3:$B$53,0)),0)</f>
        <v>0</v>
      </c>
      <c r="BH27" s="26">
        <f t="shared" si="19"/>
        <v>0</v>
      </c>
    </row>
    <row r="28" spans="2:60" x14ac:dyDescent="0.2">
      <c r="B28" s="71"/>
      <c r="C28" s="18"/>
      <c r="D28" s="18"/>
      <c r="E28" s="307"/>
      <c r="F28" s="307"/>
      <c r="G28" s="25" t="str">
        <f>IFERROR(IF(VLOOKUP($B28,'Month-1'!$B$3:$D$53,2,0)=0,"",VLOOKUP($B28,'Month-1'!$B$3:$D$53,2,0)),"")</f>
        <v/>
      </c>
      <c r="H28" s="26" t="str">
        <f>IFERROR(IF(VLOOKUP($B28,'Month-1'!$B$3:$D$53,3,0)=0,"",VLOOKUP($B29,'Month-1'!$B$3:$D$53,3,0)),"")</f>
        <v/>
      </c>
      <c r="I28" s="24"/>
      <c r="J28" s="18"/>
      <c r="K28" s="18"/>
      <c r="L28" s="355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355"/>
      <c r="AA28" s="355"/>
      <c r="AB28" s="355"/>
      <c r="AC28" s="18"/>
      <c r="AD28" s="18"/>
      <c r="AE28" s="18"/>
      <c r="AF28" s="18"/>
      <c r="AG28" s="355"/>
      <c r="AH28" s="355"/>
      <c r="AI28" s="18"/>
      <c r="AJ28" s="18"/>
      <c r="AK28" s="18"/>
      <c r="AL28" s="355"/>
      <c r="AM28" s="355"/>
      <c r="AN28" s="18"/>
      <c r="AO28" s="18"/>
      <c r="AP28" s="18"/>
      <c r="AQ28" s="18"/>
      <c r="AR28" s="18"/>
      <c r="AS28" s="18"/>
      <c r="AT28" s="18"/>
      <c r="AU28" s="18"/>
      <c r="AV28" s="26"/>
      <c r="AX28" s="42">
        <f t="shared" si="12"/>
        <v>0</v>
      </c>
      <c r="AY28" s="23" cm="1">
        <f t="array" ref="AY28">SUM(COUNTIFS(I28:AV28,{"R1","R2","R-CICU"},$I$2:$AV$2,"&lt;5",$I$1:$AV$1,"&lt;&gt;Y"))</f>
        <v>0</v>
      </c>
      <c r="AZ28" s="23">
        <f t="shared" si="13"/>
        <v>0</v>
      </c>
      <c r="BA28" s="23" cm="1">
        <f t="array" ref="BA28">SUM(COUNTIFS(I28:AV28,{"R1","R2","R-CICU"},$I$2:$AV$2,"5",$I$1:$AV$1,"&lt;&gt;Y"))</f>
        <v>0</v>
      </c>
      <c r="BB28" s="23">
        <f t="shared" si="14"/>
        <v>0</v>
      </c>
      <c r="BC28" s="278">
        <f t="shared" si="15"/>
        <v>0</v>
      </c>
      <c r="BD28" s="39">
        <f t="shared" si="16"/>
        <v>0</v>
      </c>
      <c r="BE28" s="25">
        <f t="shared" si="17"/>
        <v>0</v>
      </c>
      <c r="BF28" s="26">
        <f t="shared" si="18"/>
        <v>0</v>
      </c>
      <c r="BG28" s="25">
        <f>IFERROR(INDEX('Month-1'!$F$3:$F$53,MATCH($B28,'Month-1'!$B$3:$B$53,0)),0)</f>
        <v>0</v>
      </c>
      <c r="BH28" s="26">
        <f t="shared" si="19"/>
        <v>0</v>
      </c>
    </row>
    <row r="29" spans="2:60" x14ac:dyDescent="0.2">
      <c r="B29" s="71"/>
      <c r="C29" s="18"/>
      <c r="D29" s="18"/>
      <c r="E29" s="307"/>
      <c r="F29" s="307"/>
      <c r="G29" s="25" t="str">
        <f>IFERROR(IF(VLOOKUP($B29,'Month-1'!$B$3:$D$53,2,0)=0,"",VLOOKUP($B29,'Month-1'!$B$3:$D$53,2,0)),"")</f>
        <v/>
      </c>
      <c r="H29" s="26" t="str">
        <f>IFERROR(IF(VLOOKUP($B29,'Month-1'!$B$3:$D$53,3,0)=0,"",VLOOKUP($B30,'Month-1'!$B$3:$D$53,3,0)),"")</f>
        <v/>
      </c>
      <c r="I29" s="24"/>
      <c r="J29" s="18"/>
      <c r="K29" s="18"/>
      <c r="L29" s="355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355"/>
      <c r="AA29" s="355"/>
      <c r="AB29" s="355"/>
      <c r="AC29" s="18"/>
      <c r="AD29" s="18"/>
      <c r="AE29" s="18"/>
      <c r="AF29" s="18"/>
      <c r="AG29" s="355"/>
      <c r="AH29" s="355"/>
      <c r="AI29" s="18"/>
      <c r="AJ29" s="18"/>
      <c r="AK29" s="18"/>
      <c r="AL29" s="355"/>
      <c r="AM29" s="355"/>
      <c r="AN29" s="18"/>
      <c r="AO29" s="18"/>
      <c r="AP29" s="18"/>
      <c r="AQ29" s="18"/>
      <c r="AR29" s="18"/>
      <c r="AS29" s="18"/>
      <c r="AT29" s="18"/>
      <c r="AU29" s="18"/>
      <c r="AV29" s="26"/>
      <c r="AX29" s="42">
        <f t="shared" si="12"/>
        <v>0</v>
      </c>
      <c r="AY29" s="23" cm="1">
        <f t="array" ref="AY29">SUM(COUNTIFS(I29:AV29,{"R1","R2","R-CICU"},$I$2:$AV$2,"&lt;5",$I$1:$AV$1,"&lt;&gt;Y"))</f>
        <v>0</v>
      </c>
      <c r="AZ29" s="23">
        <f t="shared" si="13"/>
        <v>0</v>
      </c>
      <c r="BA29" s="23" cm="1">
        <f t="array" ref="BA29">SUM(COUNTIFS(I29:AV29,{"R1","R2","R-CICU"},$I$2:$AV$2,"5",$I$1:$AV$1,"&lt;&gt;Y"))</f>
        <v>0</v>
      </c>
      <c r="BB29" s="23">
        <f t="shared" si="14"/>
        <v>0</v>
      </c>
      <c r="BC29" s="278">
        <f t="shared" si="15"/>
        <v>0</v>
      </c>
      <c r="BD29" s="39">
        <f t="shared" si="16"/>
        <v>0</v>
      </c>
      <c r="BE29" s="25">
        <f t="shared" si="17"/>
        <v>0</v>
      </c>
      <c r="BF29" s="26">
        <f t="shared" si="18"/>
        <v>0</v>
      </c>
      <c r="BG29" s="25">
        <f>IFERROR(INDEX('Month-1'!$F$3:$F$53,MATCH($B29,'Month-1'!$B$3:$B$53,0)),0)</f>
        <v>0</v>
      </c>
      <c r="BH29" s="26">
        <f t="shared" si="19"/>
        <v>0</v>
      </c>
    </row>
    <row r="30" spans="2:60" x14ac:dyDescent="0.2">
      <c r="B30" s="71"/>
      <c r="C30" s="18"/>
      <c r="D30" s="18"/>
      <c r="E30" s="307"/>
      <c r="F30" s="307"/>
      <c r="G30" s="25" t="str">
        <f>IFERROR(IF(VLOOKUP($B30,'Month-1'!$B$3:$D$53,2,0)=0,"",VLOOKUP($B30,'Month-1'!$B$3:$D$53,2,0)),"")</f>
        <v/>
      </c>
      <c r="H30" s="26" t="str">
        <f>IFERROR(IF(VLOOKUP($B30,'Month-1'!$B$3:$D$53,3,0)=0,"",VLOOKUP($B31,'Month-1'!$B$3:$D$53,3,0)),"")</f>
        <v/>
      </c>
      <c r="I30" s="24"/>
      <c r="J30" s="18"/>
      <c r="K30" s="18"/>
      <c r="L30" s="355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355"/>
      <c r="AA30" s="355"/>
      <c r="AB30" s="355"/>
      <c r="AC30" s="18"/>
      <c r="AD30" s="18"/>
      <c r="AE30" s="18"/>
      <c r="AF30" s="18"/>
      <c r="AG30" s="355"/>
      <c r="AH30" s="355"/>
      <c r="AI30" s="18"/>
      <c r="AJ30" s="18"/>
      <c r="AK30" s="18"/>
      <c r="AL30" s="355"/>
      <c r="AM30" s="355"/>
      <c r="AN30" s="18"/>
      <c r="AO30" s="18"/>
      <c r="AP30" s="18"/>
      <c r="AQ30" s="18"/>
      <c r="AR30" s="18"/>
      <c r="AS30" s="18"/>
      <c r="AT30" s="18"/>
      <c r="AU30" s="18"/>
      <c r="AV30" s="26"/>
      <c r="AX30" s="42">
        <f t="shared" si="12"/>
        <v>0</v>
      </c>
      <c r="AY30" s="23" cm="1">
        <f t="array" ref="AY30">SUM(COUNTIFS(I30:AV30,{"R1","R2","R-CICU"},$I$2:$AV$2,"&lt;5",$I$1:$AV$1,"&lt;&gt;Y"))</f>
        <v>0</v>
      </c>
      <c r="AZ30" s="23">
        <f t="shared" si="13"/>
        <v>0</v>
      </c>
      <c r="BA30" s="23" cm="1">
        <f t="array" ref="BA30">SUM(COUNTIFS(I30:AV30,{"R1","R2","R-CICU"},$I$2:$AV$2,"5",$I$1:$AV$1,"&lt;&gt;Y"))</f>
        <v>0</v>
      </c>
      <c r="BB30" s="23">
        <f t="shared" si="14"/>
        <v>0</v>
      </c>
      <c r="BC30" s="278">
        <f t="shared" si="15"/>
        <v>0</v>
      </c>
      <c r="BD30" s="39">
        <f t="shared" si="16"/>
        <v>0</v>
      </c>
      <c r="BE30" s="25">
        <f t="shared" si="17"/>
        <v>0</v>
      </c>
      <c r="BF30" s="26">
        <f t="shared" si="18"/>
        <v>0</v>
      </c>
      <c r="BG30" s="25">
        <f>IFERROR(INDEX('Month-1'!$F$3:$F$53,MATCH($B30,'Month-1'!$B$3:$B$53,0)),0)</f>
        <v>0</v>
      </c>
      <c r="BH30" s="26">
        <f t="shared" si="19"/>
        <v>0</v>
      </c>
    </row>
    <row r="31" spans="2:60" x14ac:dyDescent="0.2">
      <c r="B31" s="71"/>
      <c r="C31" s="18"/>
      <c r="D31" s="18"/>
      <c r="E31" s="307"/>
      <c r="F31" s="307"/>
      <c r="G31" s="25" t="str">
        <f>IFERROR(IF(VLOOKUP($B31,'Month-1'!$B$3:$D$53,2,0)=0,"",VLOOKUP($B31,'Month-1'!$B$3:$D$53,2,0)),"")</f>
        <v/>
      </c>
      <c r="H31" s="26" t="str">
        <f>IFERROR(IF(VLOOKUP($B31,'Month-1'!$B$3:$D$53,3,0)=0,"",VLOOKUP($B32,'Month-1'!$B$3:$D$53,3,0)),"")</f>
        <v/>
      </c>
      <c r="I31" s="24"/>
      <c r="J31" s="18"/>
      <c r="K31" s="18"/>
      <c r="L31" s="355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355"/>
      <c r="AA31" s="355"/>
      <c r="AB31" s="355"/>
      <c r="AC31" s="18"/>
      <c r="AD31" s="18"/>
      <c r="AE31" s="18"/>
      <c r="AF31" s="18"/>
      <c r="AG31" s="355"/>
      <c r="AH31" s="355"/>
      <c r="AI31" s="18"/>
      <c r="AJ31" s="18"/>
      <c r="AK31" s="18"/>
      <c r="AL31" s="355"/>
      <c r="AM31" s="355"/>
      <c r="AN31" s="18"/>
      <c r="AO31" s="18"/>
      <c r="AP31" s="18"/>
      <c r="AQ31" s="18"/>
      <c r="AR31" s="18"/>
      <c r="AS31" s="18"/>
      <c r="AT31" s="18"/>
      <c r="AU31" s="18"/>
      <c r="AV31" s="26"/>
      <c r="AX31" s="42">
        <f t="shared" si="12"/>
        <v>0</v>
      </c>
      <c r="AY31" s="23" cm="1">
        <f t="array" ref="AY31">SUM(COUNTIFS(I31:AV31,{"R1","R2","R-CICU"},$I$2:$AV$2,"&lt;5",$I$1:$AV$1,"&lt;&gt;Y"))</f>
        <v>0</v>
      </c>
      <c r="AZ31" s="23">
        <f t="shared" si="13"/>
        <v>0</v>
      </c>
      <c r="BA31" s="23" cm="1">
        <f t="array" ref="BA31">SUM(COUNTIFS(I31:AV31,{"R1","R2","R-CICU"},$I$2:$AV$2,"5",$I$1:$AV$1,"&lt;&gt;Y"))</f>
        <v>0</v>
      </c>
      <c r="BB31" s="23">
        <f t="shared" si="14"/>
        <v>0</v>
      </c>
      <c r="BC31" s="278">
        <f t="shared" si="15"/>
        <v>0</v>
      </c>
      <c r="BD31" s="39">
        <f t="shared" si="16"/>
        <v>0</v>
      </c>
      <c r="BE31" s="25">
        <f t="shared" si="17"/>
        <v>0</v>
      </c>
      <c r="BF31" s="26">
        <f t="shared" si="18"/>
        <v>0</v>
      </c>
      <c r="BG31" s="25">
        <f>IFERROR(INDEX('Month-1'!$F$3:$F$53,MATCH($B31,'Month-1'!$B$3:$B$53,0)),0)</f>
        <v>0</v>
      </c>
      <c r="BH31" s="26">
        <f t="shared" si="19"/>
        <v>0</v>
      </c>
    </row>
    <row r="32" spans="2:60" x14ac:dyDescent="0.2">
      <c r="B32" s="71"/>
      <c r="C32" s="18"/>
      <c r="D32" s="18"/>
      <c r="E32" s="307"/>
      <c r="F32" s="307"/>
      <c r="G32" s="25" t="str">
        <f>IFERROR(IF(VLOOKUP($B32,'Month-1'!$B$3:$D$53,2,0)=0,"",VLOOKUP($B32,'Month-1'!$B$3:$D$53,2,0)),"")</f>
        <v/>
      </c>
      <c r="H32" s="26" t="str">
        <f>IFERROR(IF(VLOOKUP($B32,'Month-1'!$B$3:$D$53,3,0)=0,"",VLOOKUP($B33,'Month-1'!$B$3:$D$53,3,0)),"")</f>
        <v/>
      </c>
      <c r="I32" s="24"/>
      <c r="J32" s="18"/>
      <c r="K32" s="18"/>
      <c r="L32" s="355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355"/>
      <c r="AA32" s="355"/>
      <c r="AB32" s="355"/>
      <c r="AC32" s="18"/>
      <c r="AD32" s="18"/>
      <c r="AE32" s="18"/>
      <c r="AF32" s="18"/>
      <c r="AG32" s="355"/>
      <c r="AH32" s="355"/>
      <c r="AI32" s="18"/>
      <c r="AJ32" s="18"/>
      <c r="AK32" s="18"/>
      <c r="AL32" s="355"/>
      <c r="AM32" s="355"/>
      <c r="AN32" s="18"/>
      <c r="AO32" s="18"/>
      <c r="AP32" s="18"/>
      <c r="AQ32" s="18"/>
      <c r="AR32" s="18"/>
      <c r="AS32" s="18"/>
      <c r="AT32" s="18"/>
      <c r="AU32" s="18"/>
      <c r="AV32" s="26"/>
      <c r="AX32" s="42">
        <f t="shared" si="12"/>
        <v>0</v>
      </c>
      <c r="AY32" s="23" cm="1">
        <f t="array" ref="AY32">SUM(COUNTIFS(I32:AV32,{"R1","R2","R-CICU"},$I$2:$AV$2,"&lt;5",$I$1:$AV$1,"&lt;&gt;Y"))</f>
        <v>0</v>
      </c>
      <c r="AZ32" s="23">
        <f t="shared" si="13"/>
        <v>0</v>
      </c>
      <c r="BA32" s="23" cm="1">
        <f t="array" ref="BA32">SUM(COUNTIFS(I32:AV32,{"R1","R2","R-CICU"},$I$2:$AV$2,"5",$I$1:$AV$1,"&lt;&gt;Y"))</f>
        <v>0</v>
      </c>
      <c r="BB32" s="23">
        <f t="shared" si="14"/>
        <v>0</v>
      </c>
      <c r="BC32" s="278">
        <f t="shared" si="15"/>
        <v>0</v>
      </c>
      <c r="BD32" s="39">
        <f t="shared" si="16"/>
        <v>0</v>
      </c>
      <c r="BE32" s="25">
        <f t="shared" si="17"/>
        <v>0</v>
      </c>
      <c r="BF32" s="26">
        <f t="shared" si="18"/>
        <v>0</v>
      </c>
      <c r="BG32" s="25">
        <f>IFERROR(INDEX('Month-1'!$F$3:$F$53,MATCH($B32,'Month-1'!$B$3:$B$53,0)),0)</f>
        <v>0</v>
      </c>
      <c r="BH32" s="26">
        <f t="shared" si="19"/>
        <v>0</v>
      </c>
    </row>
    <row r="33" spans="2:60" x14ac:dyDescent="0.2">
      <c r="B33" s="71"/>
      <c r="C33" s="18"/>
      <c r="D33" s="18"/>
      <c r="E33" s="307"/>
      <c r="F33" s="307"/>
      <c r="G33" s="25" t="str">
        <f>IFERROR(IF(VLOOKUP($B33,'Month-1'!$B$3:$D$53,2,0)=0,"",VLOOKUP($B33,'Month-1'!$B$3:$D$53,2,0)),"")</f>
        <v/>
      </c>
      <c r="H33" s="26" t="str">
        <f>IFERROR(IF(VLOOKUP($B33,'Month-1'!$B$3:$D$53,3,0)=0,"",VLOOKUP($B34,'Month-1'!$B$3:$D$53,3,0)),"")</f>
        <v/>
      </c>
      <c r="I33" s="24"/>
      <c r="J33" s="18"/>
      <c r="K33" s="18"/>
      <c r="L33" s="355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355"/>
      <c r="AA33" s="355"/>
      <c r="AB33" s="355"/>
      <c r="AC33" s="18"/>
      <c r="AD33" s="18"/>
      <c r="AE33" s="18"/>
      <c r="AF33" s="18"/>
      <c r="AG33" s="355"/>
      <c r="AH33" s="355"/>
      <c r="AI33" s="18"/>
      <c r="AJ33" s="18"/>
      <c r="AK33" s="18"/>
      <c r="AL33" s="355"/>
      <c r="AM33" s="355"/>
      <c r="AN33" s="18"/>
      <c r="AO33" s="18"/>
      <c r="AP33" s="18"/>
      <c r="AQ33" s="18"/>
      <c r="AR33" s="18"/>
      <c r="AS33" s="18"/>
      <c r="AT33" s="18"/>
      <c r="AU33" s="18"/>
      <c r="AV33" s="26"/>
      <c r="AX33" s="42">
        <f t="shared" si="12"/>
        <v>0</v>
      </c>
      <c r="AY33" s="23" cm="1">
        <f t="array" ref="AY33">SUM(COUNTIFS(I33:AV33,{"R1","R2","R-CICU"},$I$2:$AV$2,"&lt;5",$I$1:$AV$1,"&lt;&gt;Y"))</f>
        <v>0</v>
      </c>
      <c r="AZ33" s="23">
        <f t="shared" si="13"/>
        <v>0</v>
      </c>
      <c r="BA33" s="23" cm="1">
        <f t="array" ref="BA33">SUM(COUNTIFS(I33:AV33,{"R1","R2","R-CICU"},$I$2:$AV$2,"5",$I$1:$AV$1,"&lt;&gt;Y"))</f>
        <v>0</v>
      </c>
      <c r="BB33" s="23">
        <f t="shared" si="14"/>
        <v>0</v>
      </c>
      <c r="BC33" s="278">
        <f t="shared" si="15"/>
        <v>0</v>
      </c>
      <c r="BD33" s="39">
        <f t="shared" si="16"/>
        <v>0</v>
      </c>
      <c r="BE33" s="25">
        <f t="shared" si="17"/>
        <v>0</v>
      </c>
      <c r="BF33" s="26">
        <f t="shared" si="18"/>
        <v>0</v>
      </c>
      <c r="BG33" s="25">
        <f>IFERROR(INDEX('Month-1'!$F$3:$F$53,MATCH($B33,'Month-1'!$B$3:$B$53,0)),0)</f>
        <v>0</v>
      </c>
      <c r="BH33" s="26">
        <f t="shared" si="19"/>
        <v>0</v>
      </c>
    </row>
    <row r="34" spans="2:60" x14ac:dyDescent="0.2">
      <c r="B34" s="71"/>
      <c r="C34" s="18"/>
      <c r="D34" s="18"/>
      <c r="E34" s="307"/>
      <c r="F34" s="307"/>
      <c r="G34" s="25" t="str">
        <f>IFERROR(IF(VLOOKUP($B34,'Month-1'!$B$3:$D$53,2,0)=0,"",VLOOKUP($B34,'Month-1'!$B$3:$D$53,2,0)),"")</f>
        <v/>
      </c>
      <c r="H34" s="26" t="str">
        <f>IFERROR(IF(VLOOKUP($B34,'Month-1'!$B$3:$D$53,3,0)=0,"",VLOOKUP($B35,'Month-1'!$B$3:$D$53,3,0)),"")</f>
        <v/>
      </c>
      <c r="I34" s="24"/>
      <c r="J34" s="18"/>
      <c r="K34" s="18"/>
      <c r="L34" s="355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355"/>
      <c r="AA34" s="355"/>
      <c r="AB34" s="355"/>
      <c r="AC34" s="18"/>
      <c r="AD34" s="18"/>
      <c r="AE34" s="18"/>
      <c r="AF34" s="18"/>
      <c r="AG34" s="355"/>
      <c r="AH34" s="355"/>
      <c r="AI34" s="18"/>
      <c r="AJ34" s="18"/>
      <c r="AK34" s="18"/>
      <c r="AL34" s="355"/>
      <c r="AM34" s="355"/>
      <c r="AN34" s="18"/>
      <c r="AO34" s="18"/>
      <c r="AP34" s="18"/>
      <c r="AQ34" s="18"/>
      <c r="AR34" s="18"/>
      <c r="AS34" s="18"/>
      <c r="AT34" s="18"/>
      <c r="AU34" s="18"/>
      <c r="AV34" s="26"/>
      <c r="AX34" s="42">
        <f t="shared" si="12"/>
        <v>0</v>
      </c>
      <c r="AY34" s="23" cm="1">
        <f t="array" ref="AY34">SUM(COUNTIFS(I34:AV34,{"R1","R2","R-CICU"},$I$2:$AV$2,"&lt;5",$I$1:$AV$1,"&lt;&gt;Y"))</f>
        <v>0</v>
      </c>
      <c r="AZ34" s="23">
        <f t="shared" si="13"/>
        <v>0</v>
      </c>
      <c r="BA34" s="23" cm="1">
        <f t="array" ref="BA34">SUM(COUNTIFS(I34:AV34,{"R1","R2","R-CICU"},$I$2:$AV$2,"5",$I$1:$AV$1,"&lt;&gt;Y"))</f>
        <v>0</v>
      </c>
      <c r="BB34" s="23">
        <f t="shared" si="14"/>
        <v>0</v>
      </c>
      <c r="BC34" s="278">
        <f t="shared" si="15"/>
        <v>0</v>
      </c>
      <c r="BD34" s="39">
        <f t="shared" si="16"/>
        <v>0</v>
      </c>
      <c r="BE34" s="25">
        <f t="shared" si="17"/>
        <v>0</v>
      </c>
      <c r="BF34" s="26">
        <f t="shared" si="18"/>
        <v>0</v>
      </c>
      <c r="BG34" s="25">
        <f>IFERROR(INDEX('Month-1'!$F$3:$F$53,MATCH($B34,'Month-1'!$B$3:$B$53,0)),0)</f>
        <v>0</v>
      </c>
      <c r="BH34" s="26">
        <f t="shared" si="19"/>
        <v>0</v>
      </c>
    </row>
    <row r="35" spans="2:60" x14ac:dyDescent="0.2">
      <c r="B35" s="71"/>
      <c r="C35" s="18"/>
      <c r="D35" s="18"/>
      <c r="E35" s="307"/>
      <c r="F35" s="307"/>
      <c r="G35" s="25" t="str">
        <f>IFERROR(IF(VLOOKUP($B35,'Month-1'!$B$3:$D$53,2,0)=0,"",VLOOKUP($B35,'Month-1'!$B$3:$D$53,2,0)),"")</f>
        <v/>
      </c>
      <c r="H35" s="26" t="str">
        <f>IFERROR(IF(VLOOKUP($B35,'Month-1'!$B$3:$D$53,3,0)=0,"",VLOOKUP($B36,'Month-1'!$B$3:$D$53,3,0)),"")</f>
        <v/>
      </c>
      <c r="I35" s="24"/>
      <c r="J35" s="18"/>
      <c r="K35" s="355"/>
      <c r="L35" s="18"/>
      <c r="M35" s="18"/>
      <c r="N35" s="18"/>
      <c r="O35" s="355"/>
      <c r="P35" s="18"/>
      <c r="Q35" s="18"/>
      <c r="R35" s="18"/>
      <c r="S35" s="18"/>
      <c r="T35" s="18"/>
      <c r="U35" s="18"/>
      <c r="V35" s="18"/>
      <c r="W35" s="355"/>
      <c r="X35" s="355"/>
      <c r="Y35" s="18"/>
      <c r="Z35" s="18"/>
      <c r="AA35" s="355"/>
      <c r="AB35" s="18"/>
      <c r="AC35" s="18"/>
      <c r="AD35" s="355"/>
      <c r="AE35" s="18"/>
      <c r="AF35" s="18"/>
      <c r="AG35" s="18"/>
      <c r="AH35" s="355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26"/>
      <c r="AX35" s="42">
        <f t="shared" si="12"/>
        <v>0</v>
      </c>
      <c r="AY35" s="23" cm="1">
        <f t="array" ref="AY35">SUM(COUNTIFS(I35:AV35,{"R1","R2","R-CICU"},$I$2:$AV$2,"&lt;5",$I$1:$AV$1,"&lt;&gt;Y"))</f>
        <v>0</v>
      </c>
      <c r="AZ35" s="23">
        <f t="shared" si="13"/>
        <v>0</v>
      </c>
      <c r="BA35" s="23" cm="1">
        <f t="array" ref="BA35">SUM(COUNTIFS(I35:AV35,{"R1","R2","R-CICU"},$I$2:$AV$2,"5",$I$1:$AV$1,"&lt;&gt;Y"))</f>
        <v>0</v>
      </c>
      <c r="BB35" s="23">
        <f t="shared" si="14"/>
        <v>0</v>
      </c>
      <c r="BC35" s="278">
        <f t="shared" si="15"/>
        <v>0</v>
      </c>
      <c r="BD35" s="39">
        <f t="shared" si="16"/>
        <v>0</v>
      </c>
      <c r="BE35" s="25">
        <f t="shared" si="17"/>
        <v>0</v>
      </c>
      <c r="BF35" s="26">
        <f t="shared" si="18"/>
        <v>0</v>
      </c>
      <c r="BG35" s="25">
        <f>IFERROR(INDEX('Month-1'!$F$3:$F$53,MATCH($B35,'Month-1'!$B$3:$B$53,0)),0)</f>
        <v>0</v>
      </c>
      <c r="BH35" s="26">
        <f t="shared" si="19"/>
        <v>0</v>
      </c>
    </row>
    <row r="36" spans="2:60" x14ac:dyDescent="0.2">
      <c r="B36" s="71"/>
      <c r="C36" s="18"/>
      <c r="D36" s="18"/>
      <c r="E36" s="307"/>
      <c r="F36" s="307"/>
      <c r="G36" s="25" t="str">
        <f>IFERROR(IF(VLOOKUP($B36,'Month-1'!$B$3:$D$53,2,0)=0,"",VLOOKUP($B36,'Month-1'!$B$3:$D$53,2,0)),"")</f>
        <v/>
      </c>
      <c r="H36" s="26" t="str">
        <f>IFERROR(IF(VLOOKUP($B36,'Month-1'!$B$3:$D$53,3,0)=0,"",VLOOKUP($B37,'Month-1'!$B$3:$D$53,3,0)),"")</f>
        <v/>
      </c>
      <c r="I36" s="24"/>
      <c r="J36" s="18"/>
      <c r="K36" s="355"/>
      <c r="L36" s="18"/>
      <c r="M36" s="18"/>
      <c r="N36" s="355"/>
      <c r="O36" s="355"/>
      <c r="P36" s="355"/>
      <c r="Q36" s="355"/>
      <c r="R36" s="355"/>
      <c r="S36" s="355"/>
      <c r="T36" s="18"/>
      <c r="U36" s="18"/>
      <c r="V36" s="18"/>
      <c r="W36" s="355"/>
      <c r="X36" s="18"/>
      <c r="Y36" s="355"/>
      <c r="Z36" s="18"/>
      <c r="AA36" s="18"/>
      <c r="AB36" s="18"/>
      <c r="AC36" s="18"/>
      <c r="AD36" s="18"/>
      <c r="AE36" s="18"/>
      <c r="AF36" s="18"/>
      <c r="AG36" s="18"/>
      <c r="AH36" s="18"/>
      <c r="AI36" s="355"/>
      <c r="AJ36" s="355"/>
      <c r="AK36" s="355"/>
      <c r="AL36" s="355"/>
      <c r="AM36" s="355"/>
      <c r="AN36" s="18"/>
      <c r="AO36" s="18"/>
      <c r="AP36" s="18"/>
      <c r="AQ36" s="18"/>
      <c r="AR36" s="18"/>
      <c r="AS36" s="18"/>
      <c r="AT36" s="18"/>
      <c r="AU36" s="18"/>
      <c r="AV36" s="26"/>
      <c r="AX36" s="42">
        <f t="shared" si="12"/>
        <v>0</v>
      </c>
      <c r="AY36" s="23" cm="1">
        <f t="array" ref="AY36">SUM(COUNTIFS(I36:AV36,{"R1","R2","R-CICU"},$I$2:$AV$2,"&lt;5",$I$1:$AV$1,"&lt;&gt;Y"))</f>
        <v>0</v>
      </c>
      <c r="AZ36" s="23">
        <f t="shared" si="13"/>
        <v>0</v>
      </c>
      <c r="BA36" s="23" cm="1">
        <f t="array" ref="BA36">SUM(COUNTIFS(I36:AV36,{"R1","R2","R-CICU"},$I$2:$AV$2,"5",$I$1:$AV$1,"&lt;&gt;Y"))</f>
        <v>0</v>
      </c>
      <c r="BB36" s="23">
        <f t="shared" si="14"/>
        <v>0</v>
      </c>
      <c r="BC36" s="278">
        <f t="shared" si="15"/>
        <v>0</v>
      </c>
      <c r="BD36" s="39">
        <f t="shared" si="16"/>
        <v>0</v>
      </c>
      <c r="BE36" s="25">
        <f t="shared" si="17"/>
        <v>0</v>
      </c>
      <c r="BF36" s="26">
        <f t="shared" si="18"/>
        <v>0</v>
      </c>
      <c r="BG36" s="25">
        <f>IFERROR(INDEX('Month-1'!$F$3:$F$53,MATCH($B36,'Month-1'!$B$3:$B$53,0)),0)</f>
        <v>0</v>
      </c>
      <c r="BH36" s="26">
        <f t="shared" si="19"/>
        <v>0</v>
      </c>
    </row>
    <row r="37" spans="2:60" x14ac:dyDescent="0.2">
      <c r="B37" s="71"/>
      <c r="C37" s="18"/>
      <c r="D37" s="18"/>
      <c r="E37" s="307"/>
      <c r="F37" s="307"/>
      <c r="G37" s="25" t="str">
        <f>IFERROR(IF(VLOOKUP($B37,'Month-1'!$B$3:$D$53,2,0)=0,"",VLOOKUP($B37,'Month-1'!$B$3:$D$53,2,0)),"")</f>
        <v/>
      </c>
      <c r="H37" s="26" t="str">
        <f>IFERROR(IF(VLOOKUP($B37,'Month-1'!$B$3:$D$53,3,0)=0,"",VLOOKUP($B38,'Month-1'!$B$3:$D$53,3,0)),"")</f>
        <v/>
      </c>
      <c r="I37" s="24"/>
      <c r="J37" s="18"/>
      <c r="K37" s="18"/>
      <c r="L37" s="18"/>
      <c r="M37" s="18"/>
      <c r="N37" s="18"/>
      <c r="O37" s="18"/>
      <c r="P37" s="355"/>
      <c r="Q37" s="355"/>
      <c r="R37" s="18"/>
      <c r="S37" s="18"/>
      <c r="T37" s="355"/>
      <c r="U37" s="355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355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26"/>
      <c r="AX37" s="42">
        <f t="shared" si="12"/>
        <v>0</v>
      </c>
      <c r="AY37" s="23" cm="1">
        <f t="array" ref="AY37">SUM(COUNTIFS(I37:AV37,{"R1","R2","R-CICU"},$I$2:$AV$2,"&lt;5",$I$1:$AV$1,"&lt;&gt;Y"))</f>
        <v>0</v>
      </c>
      <c r="AZ37" s="23">
        <f t="shared" si="13"/>
        <v>0</v>
      </c>
      <c r="BA37" s="23" cm="1">
        <f t="array" ref="BA37">SUM(COUNTIFS(I37:AV37,{"R1","R2","R-CICU"},$I$2:$AV$2,"5",$I$1:$AV$1,"&lt;&gt;Y"))</f>
        <v>0</v>
      </c>
      <c r="BB37" s="23">
        <f t="shared" si="14"/>
        <v>0</v>
      </c>
      <c r="BC37" s="278">
        <f t="shared" si="15"/>
        <v>0</v>
      </c>
      <c r="BD37" s="39">
        <f t="shared" si="16"/>
        <v>0</v>
      </c>
      <c r="BE37" s="25">
        <f t="shared" si="17"/>
        <v>0</v>
      </c>
      <c r="BF37" s="26">
        <f t="shared" si="18"/>
        <v>0</v>
      </c>
      <c r="BG37" s="25">
        <f>IFERROR(INDEX('Month-1'!$F$3:$F$53,MATCH($B37,'Month-1'!$B$3:$B$53,0)),0)</f>
        <v>0</v>
      </c>
      <c r="BH37" s="26">
        <f t="shared" si="19"/>
        <v>0</v>
      </c>
    </row>
    <row r="38" spans="2:60" x14ac:dyDescent="0.2">
      <c r="B38" s="71"/>
      <c r="C38" s="18"/>
      <c r="D38" s="18"/>
      <c r="E38" s="307"/>
      <c r="F38" s="307"/>
      <c r="G38" s="25" t="str">
        <f>IFERROR(IF(VLOOKUP($B38,'Month-1'!$B$3:$D$53,2,0)=0,"",VLOOKUP($B38,'Month-1'!$B$3:$D$53,2,0)),"")</f>
        <v/>
      </c>
      <c r="H38" s="26" t="str">
        <f>IFERROR(IF(VLOOKUP($B38,'Month-1'!$B$3:$D$53,3,0)=0,"",VLOOKUP($B39,'Month-1'!$B$3:$D$53,3,0)),"")</f>
        <v/>
      </c>
      <c r="I38" s="24"/>
      <c r="J38" s="18"/>
      <c r="K38" s="18"/>
      <c r="L38" s="18"/>
      <c r="M38" s="18"/>
      <c r="N38" s="18"/>
      <c r="O38" s="18"/>
      <c r="P38" s="355"/>
      <c r="Q38" s="355"/>
      <c r="R38" s="355"/>
      <c r="S38" s="355"/>
      <c r="T38" s="355"/>
      <c r="U38" s="355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355"/>
      <c r="AI38" s="18"/>
      <c r="AJ38" s="18"/>
      <c r="AK38" s="18"/>
      <c r="AL38" s="18"/>
      <c r="AM38" s="18"/>
      <c r="AN38" s="355"/>
      <c r="AO38" s="355"/>
      <c r="AP38" s="355"/>
      <c r="AQ38" s="355"/>
      <c r="AR38" s="355"/>
      <c r="AS38" s="355"/>
      <c r="AT38" s="355"/>
      <c r="AU38" s="355"/>
      <c r="AV38" s="357"/>
      <c r="AX38" s="42">
        <f t="shared" si="12"/>
        <v>0</v>
      </c>
      <c r="AY38" s="23" cm="1">
        <f t="array" ref="AY38">SUM(COUNTIFS(I38:AV38,{"R1","R2","R-CICU"},$I$2:$AV$2,"&lt;5",$I$1:$AV$1,"&lt;&gt;Y"))</f>
        <v>0</v>
      </c>
      <c r="AZ38" s="23">
        <f t="shared" si="13"/>
        <v>0</v>
      </c>
      <c r="BA38" s="23" cm="1">
        <f t="array" ref="BA38">SUM(COUNTIFS(I38:AV38,{"R1","R2","R-CICU"},$I$2:$AV$2,"5",$I$1:$AV$1,"&lt;&gt;Y"))</f>
        <v>0</v>
      </c>
      <c r="BB38" s="23">
        <f t="shared" si="14"/>
        <v>0</v>
      </c>
      <c r="BC38" s="278">
        <f t="shared" si="15"/>
        <v>0</v>
      </c>
      <c r="BD38" s="39">
        <f t="shared" si="16"/>
        <v>0</v>
      </c>
      <c r="BE38" s="25">
        <f t="shared" si="17"/>
        <v>0</v>
      </c>
      <c r="BF38" s="26">
        <f t="shared" si="18"/>
        <v>0</v>
      </c>
      <c r="BG38" s="25">
        <f>IFERROR(INDEX('Month-1'!$F$3:$F$53,MATCH($B38,'Month-1'!$B$3:$B$53,0)),0)</f>
        <v>0</v>
      </c>
      <c r="BH38" s="26">
        <f t="shared" si="19"/>
        <v>0</v>
      </c>
    </row>
    <row r="39" spans="2:60" x14ac:dyDescent="0.2">
      <c r="B39" s="71"/>
      <c r="C39" s="18"/>
      <c r="D39" s="18"/>
      <c r="E39" s="307"/>
      <c r="F39" s="307"/>
      <c r="G39" s="25" t="str">
        <f>IFERROR(IF(VLOOKUP($B39,'Month-1'!$B$3:$D$53,2,0)=0,"",VLOOKUP($B39,'Month-1'!$B$3:$D$53,2,0)),"")</f>
        <v/>
      </c>
      <c r="H39" s="26" t="str">
        <f>IFERROR(IF(VLOOKUP($B39,'Month-1'!$B$3:$D$53,3,0)=0,"",VLOOKUP($B40,'Month-1'!$B$3:$D$53,3,0)),"")</f>
        <v/>
      </c>
      <c r="I39" s="24"/>
      <c r="J39" s="18"/>
      <c r="K39" s="18"/>
      <c r="L39" s="18"/>
      <c r="M39" s="355"/>
      <c r="N39" s="18"/>
      <c r="O39" s="355"/>
      <c r="P39" s="355"/>
      <c r="Q39" s="355"/>
      <c r="R39" s="355"/>
      <c r="S39" s="355"/>
      <c r="T39" s="18"/>
      <c r="U39" s="18"/>
      <c r="V39" s="18"/>
      <c r="W39" s="18"/>
      <c r="X39" s="18"/>
      <c r="Y39" s="355"/>
      <c r="Z39" s="355"/>
      <c r="AA39" s="355"/>
      <c r="AB39" s="355"/>
      <c r="AC39" s="18"/>
      <c r="AD39" s="355"/>
      <c r="AE39" s="18"/>
      <c r="AF39" s="18"/>
      <c r="AG39" s="355"/>
      <c r="AH39" s="355"/>
      <c r="AI39" s="18"/>
      <c r="AJ39" s="18"/>
      <c r="AK39" s="355"/>
      <c r="AL39" s="355"/>
      <c r="AM39" s="355"/>
      <c r="AN39" s="18"/>
      <c r="AO39" s="18"/>
      <c r="AP39" s="18"/>
      <c r="AQ39" s="18"/>
      <c r="AR39" s="18"/>
      <c r="AS39" s="18"/>
      <c r="AT39" s="18"/>
      <c r="AU39" s="18"/>
      <c r="AV39" s="26"/>
      <c r="AX39" s="42">
        <f t="shared" si="12"/>
        <v>0</v>
      </c>
      <c r="AY39" s="23" cm="1">
        <f t="array" ref="AY39">SUM(COUNTIFS(I39:AV39,{"R1","R2","R-CICU"},$I$2:$AV$2,"&lt;5",$I$1:$AV$1,"&lt;&gt;Y"))</f>
        <v>0</v>
      </c>
      <c r="AZ39" s="23">
        <f t="shared" si="13"/>
        <v>0</v>
      </c>
      <c r="BA39" s="23" cm="1">
        <f t="array" ref="BA39">SUM(COUNTIFS(I39:AV39,{"R1","R2","R-CICU"},$I$2:$AV$2,"5",$I$1:$AV$1,"&lt;&gt;Y"))</f>
        <v>0</v>
      </c>
      <c r="BB39" s="23">
        <f t="shared" si="14"/>
        <v>0</v>
      </c>
      <c r="BC39" s="278">
        <f t="shared" si="15"/>
        <v>0</v>
      </c>
      <c r="BD39" s="39">
        <f t="shared" si="16"/>
        <v>0</v>
      </c>
      <c r="BE39" s="25">
        <f t="shared" si="17"/>
        <v>0</v>
      </c>
      <c r="BF39" s="26">
        <f t="shared" si="18"/>
        <v>0</v>
      </c>
      <c r="BG39" s="25">
        <f>IFERROR(INDEX('Month-1'!$F$3:$F$53,MATCH($B39,'Month-1'!$B$3:$B$53,0)),0)</f>
        <v>0</v>
      </c>
      <c r="BH39" s="26">
        <f t="shared" si="19"/>
        <v>0</v>
      </c>
    </row>
    <row r="40" spans="2:60" x14ac:dyDescent="0.2">
      <c r="B40" s="71"/>
      <c r="C40" s="18"/>
      <c r="D40" s="18"/>
      <c r="E40" s="307"/>
      <c r="F40" s="307"/>
      <c r="G40" s="25" t="str">
        <f>IFERROR(IF(VLOOKUP($B40,'Month-1'!$B$3:$D$53,2,0)=0,"",VLOOKUP($B40,'Month-1'!$B$3:$D$53,2,0)),"")</f>
        <v/>
      </c>
      <c r="H40" s="26" t="str">
        <f>IFERROR(IF(VLOOKUP($B40,'Month-1'!$B$3:$D$53,3,0)=0,"",VLOOKUP($B41,'Month-1'!$B$3:$D$53,3,0)),"")</f>
        <v/>
      </c>
      <c r="I40" s="24"/>
      <c r="J40" s="18"/>
      <c r="K40" s="355"/>
      <c r="L40" s="355"/>
      <c r="M40" s="355"/>
      <c r="N40" s="18"/>
      <c r="O40" s="18"/>
      <c r="P40" s="355"/>
      <c r="Q40" s="18"/>
      <c r="R40" s="18"/>
      <c r="S40" s="355"/>
      <c r="T40" s="18"/>
      <c r="U40" s="18"/>
      <c r="V40" s="18"/>
      <c r="W40" s="18"/>
      <c r="X40" s="18"/>
      <c r="Y40" s="18"/>
      <c r="Z40" s="18"/>
      <c r="AA40" s="355"/>
      <c r="AB40" s="355"/>
      <c r="AC40" s="355"/>
      <c r="AD40" s="355"/>
      <c r="AE40" s="18"/>
      <c r="AF40" s="18"/>
      <c r="AG40" s="355"/>
      <c r="AH40" s="355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26"/>
      <c r="AX40" s="42">
        <f t="shared" si="12"/>
        <v>0</v>
      </c>
      <c r="AY40" s="23" cm="1">
        <f t="array" ref="AY40">SUM(COUNTIFS(I40:AV40,{"R1","R2","R-CICU"},$I$2:$AV$2,"&lt;5",$I$1:$AV$1,"&lt;&gt;Y"))</f>
        <v>0</v>
      </c>
      <c r="AZ40" s="23">
        <f t="shared" si="13"/>
        <v>0</v>
      </c>
      <c r="BA40" s="23" cm="1">
        <f t="array" ref="BA40">SUM(COUNTIFS(I40:AV40,{"R1","R2","R-CICU"},$I$2:$AV$2,"5",$I$1:$AV$1,"&lt;&gt;Y"))</f>
        <v>0</v>
      </c>
      <c r="BB40" s="23">
        <f t="shared" si="14"/>
        <v>0</v>
      </c>
      <c r="BC40" s="278">
        <f t="shared" si="15"/>
        <v>0</v>
      </c>
      <c r="BD40" s="39">
        <f t="shared" si="16"/>
        <v>0</v>
      </c>
      <c r="BE40" s="25">
        <f t="shared" si="17"/>
        <v>0</v>
      </c>
      <c r="BF40" s="26">
        <f t="shared" si="18"/>
        <v>0</v>
      </c>
      <c r="BG40" s="25">
        <f>IFERROR(INDEX('Month-1'!$F$3:$F$53,MATCH($B40,'Month-1'!$B$3:$B$53,0)),0)</f>
        <v>0</v>
      </c>
      <c r="BH40" s="26">
        <f t="shared" si="19"/>
        <v>0</v>
      </c>
    </row>
    <row r="41" spans="2:60" x14ac:dyDescent="0.2">
      <c r="B41" s="71"/>
      <c r="C41" s="18"/>
      <c r="D41" s="18"/>
      <c r="E41" s="307"/>
      <c r="F41" s="307"/>
      <c r="G41" s="25" t="str">
        <f>IFERROR(IF(VLOOKUP($B41,'Month-1'!$B$3:$D$53,2,0)=0,"",VLOOKUP($B41,'Month-1'!$B$3:$D$53,2,0)),"")</f>
        <v/>
      </c>
      <c r="H41" s="26" t="str">
        <f>IFERROR(IF(VLOOKUP($B41,'Month-1'!$B$3:$D$53,3,0)=0,"",VLOOKUP(#REF!,'Month-1'!$B$3:$D$53,3,0)),"")</f>
        <v/>
      </c>
      <c r="I41" s="24"/>
      <c r="J41" s="18"/>
      <c r="K41" s="355"/>
      <c r="L41" s="355"/>
      <c r="M41" s="18"/>
      <c r="N41" s="18"/>
      <c r="O41" s="18"/>
      <c r="P41" s="18"/>
      <c r="Q41" s="18"/>
      <c r="R41" s="355"/>
      <c r="S41" s="18"/>
      <c r="T41" s="18"/>
      <c r="U41" s="355"/>
      <c r="V41" s="355"/>
      <c r="W41" s="18"/>
      <c r="X41" s="18"/>
      <c r="Y41" s="355"/>
      <c r="Z41" s="18"/>
      <c r="AA41" s="355"/>
      <c r="AB41" s="355"/>
      <c r="AC41" s="18"/>
      <c r="AD41" s="18"/>
      <c r="AE41" s="18"/>
      <c r="AF41" s="18"/>
      <c r="AG41" s="18"/>
      <c r="AH41" s="18"/>
      <c r="AI41" s="355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26"/>
      <c r="AX41" s="42">
        <f t="shared" si="12"/>
        <v>0</v>
      </c>
      <c r="AY41" s="23" cm="1">
        <f t="array" ref="AY41">SUM(COUNTIFS(I41:AV41,{"R1","R2","R-CICU"},$I$2:$AV$2,"&lt;5",$I$1:$AV$1,"&lt;&gt;Y"))</f>
        <v>0</v>
      </c>
      <c r="AZ41" s="23">
        <f t="shared" si="13"/>
        <v>0</v>
      </c>
      <c r="BA41" s="23" cm="1">
        <f t="array" ref="BA41">SUM(COUNTIFS(I41:AV41,{"R1","R2","R-CICU"},$I$2:$AV$2,"5",$I$1:$AV$1,"&lt;&gt;Y"))</f>
        <v>0</v>
      </c>
      <c r="BB41" s="23">
        <f t="shared" si="14"/>
        <v>0</v>
      </c>
      <c r="BC41" s="278">
        <f t="shared" si="15"/>
        <v>0</v>
      </c>
      <c r="BD41" s="39">
        <f t="shared" si="16"/>
        <v>0</v>
      </c>
      <c r="BE41" s="25">
        <f t="shared" si="17"/>
        <v>0</v>
      </c>
      <c r="BF41" s="26">
        <f t="shared" si="18"/>
        <v>0</v>
      </c>
      <c r="BG41" s="25">
        <f>IFERROR(INDEX('Month-1'!$F$3:$F$53,MATCH($B41,'Month-1'!$B$3:$B$53,0)),0)</f>
        <v>0</v>
      </c>
      <c r="BH41" s="26">
        <f t="shared" si="19"/>
        <v>0</v>
      </c>
    </row>
    <row r="42" spans="2:60" x14ac:dyDescent="0.2">
      <c r="B42" s="71"/>
      <c r="C42" s="18"/>
      <c r="D42" s="18"/>
      <c r="E42" s="307"/>
      <c r="F42" s="307"/>
      <c r="G42" s="25" t="str">
        <f>IFERROR(IF(VLOOKUP($B42,'Month-1'!$B$3:$D$53,2,0)=0,"",VLOOKUP($B42,'Month-1'!$B$3:$D$53,2,0)),"")</f>
        <v/>
      </c>
      <c r="H42" s="26" t="str">
        <f>IFERROR(IF(VLOOKUP($B42,'Month-1'!$B$3:$D$53,3,0)=0,"",VLOOKUP($B43,'Month-1'!$B$3:$D$53,3,0)),"")</f>
        <v/>
      </c>
      <c r="I42" s="364"/>
      <c r="J42" s="18"/>
      <c r="K42" s="355"/>
      <c r="L42" s="18"/>
      <c r="M42" s="18"/>
      <c r="N42" s="355"/>
      <c r="O42" s="355"/>
      <c r="P42" s="18"/>
      <c r="Q42" s="18"/>
      <c r="R42" s="355"/>
      <c r="S42" s="18"/>
      <c r="T42" s="355"/>
      <c r="U42" s="355"/>
      <c r="V42" s="18"/>
      <c r="W42" s="18"/>
      <c r="X42" s="18"/>
      <c r="Y42" s="355"/>
      <c r="Z42" s="18"/>
      <c r="AA42" s="355"/>
      <c r="AB42" s="355"/>
      <c r="AC42" s="355"/>
      <c r="AD42" s="355"/>
      <c r="AE42" s="355"/>
      <c r="AF42" s="355"/>
      <c r="AG42" s="355"/>
      <c r="AH42" s="355"/>
      <c r="AI42" s="355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26"/>
      <c r="AX42" s="42">
        <f t="shared" si="12"/>
        <v>0</v>
      </c>
      <c r="AY42" s="23" cm="1">
        <f t="array" ref="AY42">SUM(COUNTIFS(I42:AV42,{"R1","R2","R-CICU"},$I$2:$AV$2,"&lt;5",$I$1:$AV$1,"&lt;&gt;Y"))</f>
        <v>0</v>
      </c>
      <c r="AZ42" s="23">
        <f t="shared" si="13"/>
        <v>0</v>
      </c>
      <c r="BA42" s="23" cm="1">
        <f t="array" ref="BA42">SUM(COUNTIFS(I42:AV42,{"R1","R2","R-CICU"},$I$2:$AV$2,"5",$I$1:$AV$1,"&lt;&gt;Y"))</f>
        <v>0</v>
      </c>
      <c r="BB42" s="23">
        <f t="shared" si="14"/>
        <v>0</v>
      </c>
      <c r="BC42" s="278">
        <f t="shared" si="15"/>
        <v>0</v>
      </c>
      <c r="BD42" s="39">
        <f t="shared" si="16"/>
        <v>0</v>
      </c>
      <c r="BE42" s="25">
        <f t="shared" si="17"/>
        <v>0</v>
      </c>
      <c r="BF42" s="26">
        <f t="shared" si="18"/>
        <v>0</v>
      </c>
      <c r="BG42" s="25">
        <f>IFERROR(INDEX('Month-1'!$F$3:$F$53,MATCH($B42,'Month-1'!$B$3:$B$53,0)),0)</f>
        <v>0</v>
      </c>
      <c r="BH42" s="26">
        <f t="shared" si="19"/>
        <v>0</v>
      </c>
    </row>
    <row r="43" spans="2:60" x14ac:dyDescent="0.2">
      <c r="B43" s="71"/>
      <c r="C43" s="18"/>
      <c r="D43" s="18"/>
      <c r="E43" s="307"/>
      <c r="F43" s="307"/>
      <c r="G43" s="25" t="str">
        <f>IFERROR(IF(VLOOKUP($B43,'Month-1'!$B$3:$D$53,2,0)=0,"",VLOOKUP($B43,'Month-1'!$B$3:$D$53,2,0)),"")</f>
        <v/>
      </c>
      <c r="H43" s="26" t="str">
        <f>IFERROR(IF(VLOOKUP($B43,'Month-1'!$B$3:$D$53,3,0)=0,"",VLOOKUP($B44,'Month-1'!$B$3:$D$53,3,0)),"")</f>
        <v/>
      </c>
      <c r="I43" s="24"/>
      <c r="J43" s="355"/>
      <c r="K43" s="355"/>
      <c r="L43" s="355"/>
      <c r="M43" s="355"/>
      <c r="N43" s="355"/>
      <c r="O43" s="355"/>
      <c r="P43" s="355"/>
      <c r="Q43" s="355"/>
      <c r="R43" s="355"/>
      <c r="S43" s="18"/>
      <c r="T43" s="355"/>
      <c r="U43" s="18"/>
      <c r="V43" s="18"/>
      <c r="W43" s="18"/>
      <c r="X43" s="355"/>
      <c r="Y43" s="355"/>
      <c r="Z43" s="355"/>
      <c r="AA43" s="355"/>
      <c r="AB43" s="18"/>
      <c r="AC43" s="18"/>
      <c r="AD43" s="18"/>
      <c r="AE43" s="355"/>
      <c r="AF43" s="18"/>
      <c r="AG43" s="355"/>
      <c r="AH43" s="18"/>
      <c r="AI43" s="355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26"/>
      <c r="AX43" s="42">
        <f t="shared" si="12"/>
        <v>0</v>
      </c>
      <c r="AY43" s="23" cm="1">
        <f t="array" ref="AY43">SUM(COUNTIFS(I43:AV43,{"R1","R2","R-CICU"},$I$2:$AV$2,"&lt;5",$I$1:$AV$1,"&lt;&gt;Y"))</f>
        <v>0</v>
      </c>
      <c r="AZ43" s="23">
        <f t="shared" si="13"/>
        <v>0</v>
      </c>
      <c r="BA43" s="23" cm="1">
        <f t="array" ref="BA43">SUM(COUNTIFS(I43:AV43,{"R1","R2","R-CICU"},$I$2:$AV$2,"5",$I$1:$AV$1,"&lt;&gt;Y"))</f>
        <v>0</v>
      </c>
      <c r="BB43" s="23">
        <f t="shared" si="14"/>
        <v>0</v>
      </c>
      <c r="BC43" s="278">
        <f t="shared" si="15"/>
        <v>0</v>
      </c>
      <c r="BD43" s="39">
        <f t="shared" si="16"/>
        <v>0</v>
      </c>
      <c r="BE43" s="25">
        <f t="shared" si="17"/>
        <v>0</v>
      </c>
      <c r="BF43" s="26">
        <f t="shared" si="18"/>
        <v>0</v>
      </c>
      <c r="BG43" s="25">
        <f>IFERROR(INDEX('Month-1'!$F$3:$F$53,MATCH($B43,'Month-1'!$B$3:$B$53,0)),0)</f>
        <v>0</v>
      </c>
      <c r="BH43" s="26">
        <f t="shared" si="19"/>
        <v>0</v>
      </c>
    </row>
    <row r="44" spans="2:60" x14ac:dyDescent="0.2">
      <c r="B44" s="71"/>
      <c r="C44" s="18"/>
      <c r="D44" s="18"/>
      <c r="E44" s="307"/>
      <c r="F44" s="307"/>
      <c r="G44" s="25" t="str">
        <f>IFERROR(IF(VLOOKUP($B44,'Month-1'!$B$3:$D$53,2,0)=0,"",VLOOKUP($B44,'Month-1'!$B$3:$D$53,2,0)),"")</f>
        <v/>
      </c>
      <c r="H44" s="26" t="str">
        <f>IFERROR(IF(VLOOKUP($B44,'Month-1'!$B$3:$D$53,3,0)=0,"",VLOOKUP($B45,'Month-1'!$B$3:$D$53,3,0)),"")</f>
        <v/>
      </c>
      <c r="I44" s="24"/>
      <c r="J44" s="18"/>
      <c r="K44" s="18"/>
      <c r="L44" s="355"/>
      <c r="M44" s="18"/>
      <c r="N44" s="18"/>
      <c r="O44" s="18"/>
      <c r="P44" s="18"/>
      <c r="Q44" s="18"/>
      <c r="R44" s="355"/>
      <c r="S44" s="18"/>
      <c r="T44" s="18"/>
      <c r="U44" s="355"/>
      <c r="V44" s="355"/>
      <c r="W44" s="18"/>
      <c r="X44" s="18"/>
      <c r="Y44" s="18"/>
      <c r="Z44" s="355"/>
      <c r="AA44" s="355"/>
      <c r="AB44" s="355"/>
      <c r="AC44" s="18"/>
      <c r="AD44" s="355"/>
      <c r="AE44" s="355"/>
      <c r="AF44" s="355"/>
      <c r="AG44" s="355"/>
      <c r="AH44" s="18"/>
      <c r="AI44" s="18"/>
      <c r="AJ44" s="18"/>
      <c r="AK44" s="18"/>
      <c r="AL44" s="18"/>
      <c r="AM44" s="18"/>
      <c r="AN44" s="355"/>
      <c r="AO44" s="355"/>
      <c r="AP44" s="355"/>
      <c r="AQ44" s="355"/>
      <c r="AR44" s="355"/>
      <c r="AS44" s="355"/>
      <c r="AT44" s="355"/>
      <c r="AU44" s="355"/>
      <c r="AV44" s="357"/>
      <c r="AX44" s="42">
        <f t="shared" si="12"/>
        <v>0</v>
      </c>
      <c r="AY44" s="23" cm="1">
        <f t="array" ref="AY44">SUM(COUNTIFS(I44:AV44,{"R1","R2","R-CICU"},$I$2:$AV$2,"&lt;5",$I$1:$AV$1,"&lt;&gt;Y"))</f>
        <v>0</v>
      </c>
      <c r="AZ44" s="23">
        <f t="shared" si="13"/>
        <v>0</v>
      </c>
      <c r="BA44" s="23" cm="1">
        <f t="array" ref="BA44">SUM(COUNTIFS(I44:AV44,{"R1","R2","R-CICU"},$I$2:$AV$2,"5",$I$1:$AV$1,"&lt;&gt;Y"))</f>
        <v>0</v>
      </c>
      <c r="BB44" s="23">
        <f t="shared" si="14"/>
        <v>0</v>
      </c>
      <c r="BC44" s="278">
        <f t="shared" si="15"/>
        <v>0</v>
      </c>
      <c r="BD44" s="39">
        <f t="shared" si="16"/>
        <v>0</v>
      </c>
      <c r="BE44" s="25">
        <f t="shared" si="17"/>
        <v>0</v>
      </c>
      <c r="BF44" s="26">
        <f t="shared" si="18"/>
        <v>0</v>
      </c>
      <c r="BG44" s="25">
        <f>IFERROR(INDEX('Month-1'!$F$3:$F$53,MATCH($B44,'Month-1'!$B$3:$B$53,0)),0)</f>
        <v>0</v>
      </c>
      <c r="BH44" s="26">
        <f t="shared" si="19"/>
        <v>0</v>
      </c>
    </row>
    <row r="45" spans="2:60" x14ac:dyDescent="0.2">
      <c r="B45" s="71"/>
      <c r="C45" s="18"/>
      <c r="D45" s="18"/>
      <c r="E45" s="307"/>
      <c r="F45" s="307"/>
      <c r="G45" s="25" t="str">
        <f>IFERROR(IF(VLOOKUP($B45,'Month-1'!$B$3:$D$53,2,0)=0,"",VLOOKUP($B45,'Month-1'!$B$3:$D$53,2,0)),"")</f>
        <v/>
      </c>
      <c r="H45" s="26" t="str">
        <f>IFERROR(IF(VLOOKUP($B45,'Month-1'!$B$3:$D$53,3,0)=0,"",VLOOKUP($B46,'Month-1'!$B$3:$D$53,3,0)),"")</f>
        <v/>
      </c>
      <c r="I45" s="24"/>
      <c r="J45" s="18"/>
      <c r="K45" s="355"/>
      <c r="L45" s="355"/>
      <c r="M45" s="355"/>
      <c r="N45" s="355"/>
      <c r="O45" s="355"/>
      <c r="P45" s="18"/>
      <c r="Q45" s="18"/>
      <c r="R45" s="18"/>
      <c r="S45" s="18"/>
      <c r="T45" s="18"/>
      <c r="U45" s="355"/>
      <c r="V45" s="355"/>
      <c r="W45" s="18"/>
      <c r="X45" s="355"/>
      <c r="Y45" s="18"/>
      <c r="Z45" s="18"/>
      <c r="AA45" s="18"/>
      <c r="AB45" s="18"/>
      <c r="AC45" s="18"/>
      <c r="AD45" s="18"/>
      <c r="AE45" s="18"/>
      <c r="AF45" s="18"/>
      <c r="AG45" s="355"/>
      <c r="AH45" s="18"/>
      <c r="AI45" s="355"/>
      <c r="AJ45" s="18"/>
      <c r="AK45" s="18"/>
      <c r="AL45" s="18"/>
      <c r="AM45" s="18"/>
      <c r="AN45" s="355"/>
      <c r="AO45" s="355"/>
      <c r="AP45" s="355"/>
      <c r="AQ45" s="355"/>
      <c r="AR45" s="355"/>
      <c r="AS45" s="355"/>
      <c r="AT45" s="355"/>
      <c r="AU45" s="355"/>
      <c r="AV45" s="357"/>
      <c r="AX45" s="42">
        <f t="shared" si="12"/>
        <v>0</v>
      </c>
      <c r="AY45" s="23" cm="1">
        <f t="array" ref="AY45">SUM(COUNTIFS(I45:AV45,{"R1","R2","R-CICU"},$I$2:$AV$2,"&lt;5",$I$1:$AV$1,"&lt;&gt;Y"))</f>
        <v>0</v>
      </c>
      <c r="AZ45" s="23">
        <f t="shared" si="13"/>
        <v>0</v>
      </c>
      <c r="BA45" s="23" cm="1">
        <f t="array" ref="BA45">SUM(COUNTIFS(I45:AV45,{"R1","R2","R-CICU"},$I$2:$AV$2,"5",$I$1:$AV$1,"&lt;&gt;Y"))</f>
        <v>0</v>
      </c>
      <c r="BB45" s="23">
        <f t="shared" si="14"/>
        <v>0</v>
      </c>
      <c r="BC45" s="278">
        <f t="shared" si="15"/>
        <v>0</v>
      </c>
      <c r="BD45" s="39">
        <f t="shared" si="16"/>
        <v>0</v>
      </c>
      <c r="BE45" s="25">
        <f t="shared" si="17"/>
        <v>0</v>
      </c>
      <c r="BF45" s="26">
        <f t="shared" si="18"/>
        <v>0</v>
      </c>
      <c r="BG45" s="25">
        <f>IFERROR(INDEX('Month-1'!$F$3:$F$53,MATCH($B45,'Month-1'!$B$3:$B$53,0)),0)</f>
        <v>0</v>
      </c>
      <c r="BH45" s="26">
        <f t="shared" si="19"/>
        <v>0</v>
      </c>
    </row>
    <row r="46" spans="2:60" x14ac:dyDescent="0.2">
      <c r="B46" s="71"/>
      <c r="C46" s="18"/>
      <c r="D46" s="18"/>
      <c r="E46" s="307"/>
      <c r="F46" s="307"/>
      <c r="G46" s="25" t="str">
        <f>IFERROR(IF(VLOOKUP($B46,'Month-1'!$B$3:$D$53,2,0)=0,"",VLOOKUP($B46,'Month-1'!$B$3:$D$53,2,0)),"")</f>
        <v/>
      </c>
      <c r="H46" s="26" t="str">
        <f>IFERROR(IF(VLOOKUP($B46,'Month-1'!$B$3:$D$53,3,0)=0,"",VLOOKUP($B47,'Month-1'!$B$3:$D$53,3,0)),"")</f>
        <v/>
      </c>
      <c r="I46" s="24"/>
      <c r="J46" s="18"/>
      <c r="K46" s="355"/>
      <c r="L46" s="355"/>
      <c r="M46" s="355"/>
      <c r="N46" s="355"/>
      <c r="O46" s="355"/>
      <c r="P46" s="18"/>
      <c r="Q46" s="18"/>
      <c r="R46" s="18"/>
      <c r="S46" s="18"/>
      <c r="T46" s="18"/>
      <c r="U46" s="355"/>
      <c r="V46" s="355"/>
      <c r="W46" s="18"/>
      <c r="X46" s="355"/>
      <c r="Y46" s="18"/>
      <c r="Z46" s="18"/>
      <c r="AA46" s="18"/>
      <c r="AB46" s="18"/>
      <c r="AC46" s="18"/>
      <c r="AD46" s="18"/>
      <c r="AE46" s="18"/>
      <c r="AF46" s="18"/>
      <c r="AG46" s="355"/>
      <c r="AH46" s="18"/>
      <c r="AI46" s="355"/>
      <c r="AJ46" s="18"/>
      <c r="AK46" s="18"/>
      <c r="AL46" s="18"/>
      <c r="AM46" s="18"/>
      <c r="AN46" s="355"/>
      <c r="AO46" s="355"/>
      <c r="AP46" s="355"/>
      <c r="AQ46" s="355"/>
      <c r="AR46" s="355"/>
      <c r="AS46" s="355"/>
      <c r="AT46" s="355"/>
      <c r="AU46" s="355"/>
      <c r="AV46" s="357"/>
      <c r="AX46" s="42">
        <f t="shared" si="12"/>
        <v>0</v>
      </c>
      <c r="AY46" s="23" cm="1">
        <f t="array" ref="AY46">SUM(COUNTIFS(I46:AV46,{"R1","R2","R-CICU"},$I$2:$AV$2,"&lt;5",$I$1:$AV$1,"&lt;&gt;Y"))</f>
        <v>0</v>
      </c>
      <c r="AZ46" s="23">
        <f t="shared" si="13"/>
        <v>0</v>
      </c>
      <c r="BA46" s="23" cm="1">
        <f t="array" ref="BA46">SUM(COUNTIFS(I46:AV46,{"R1","R2","R-CICU"},$I$2:$AV$2,"5",$I$1:$AV$1,"&lt;&gt;Y"))</f>
        <v>0</v>
      </c>
      <c r="BB46" s="23">
        <f t="shared" si="14"/>
        <v>0</v>
      </c>
      <c r="BC46" s="278">
        <f t="shared" si="15"/>
        <v>0</v>
      </c>
      <c r="BD46" s="39">
        <f t="shared" si="16"/>
        <v>0</v>
      </c>
      <c r="BE46" s="25">
        <f t="shared" si="17"/>
        <v>0</v>
      </c>
      <c r="BF46" s="26">
        <f t="shared" si="18"/>
        <v>0</v>
      </c>
      <c r="BG46" s="25">
        <f>IFERROR(INDEX('Month-1'!$F$3:$F$53,MATCH($B46,'Month-1'!$B$3:$B$53,0)),0)</f>
        <v>0</v>
      </c>
      <c r="BH46" s="26">
        <f t="shared" si="19"/>
        <v>0</v>
      </c>
    </row>
    <row r="47" spans="2:60" x14ac:dyDescent="0.2">
      <c r="B47" s="71"/>
      <c r="C47" s="18"/>
      <c r="D47" s="18"/>
      <c r="E47" s="307"/>
      <c r="F47" s="307"/>
      <c r="G47" s="25" t="str">
        <f>IFERROR(IF(VLOOKUP($B47,'Month-1'!$B$3:$D$53,2,0)=0,"",VLOOKUP($B47,'Month-1'!$B$3:$D$53,2,0)),"")</f>
        <v/>
      </c>
      <c r="H47" s="26" t="str">
        <f>IFERROR(IF(VLOOKUP($B47,'Month-1'!$B$3:$D$53,3,0)=0,"",VLOOKUP($B48,'Month-1'!$B$3:$D$53,3,0)),"")</f>
        <v/>
      </c>
      <c r="I47" s="24"/>
      <c r="J47" s="18"/>
      <c r="K47" s="355"/>
      <c r="L47" s="355"/>
      <c r="M47" s="355"/>
      <c r="N47" s="355"/>
      <c r="O47" s="355"/>
      <c r="P47" s="18"/>
      <c r="Q47" s="18"/>
      <c r="R47" s="18"/>
      <c r="S47" s="18"/>
      <c r="T47" s="18"/>
      <c r="U47" s="355"/>
      <c r="V47" s="355"/>
      <c r="W47" s="18"/>
      <c r="X47" s="355"/>
      <c r="Y47" s="18"/>
      <c r="Z47" s="18"/>
      <c r="AA47" s="18"/>
      <c r="AB47" s="18"/>
      <c r="AC47" s="18"/>
      <c r="AD47" s="18"/>
      <c r="AE47" s="18"/>
      <c r="AF47" s="18"/>
      <c r="AG47" s="355"/>
      <c r="AH47" s="18"/>
      <c r="AI47" s="355"/>
      <c r="AJ47" s="18"/>
      <c r="AK47" s="18"/>
      <c r="AL47" s="18"/>
      <c r="AM47" s="18"/>
      <c r="AN47" s="355"/>
      <c r="AO47" s="355"/>
      <c r="AP47" s="355"/>
      <c r="AQ47" s="355"/>
      <c r="AR47" s="355"/>
      <c r="AS47" s="355"/>
      <c r="AT47" s="355"/>
      <c r="AU47" s="355"/>
      <c r="AV47" s="357"/>
      <c r="AX47" s="42">
        <f t="shared" si="12"/>
        <v>0</v>
      </c>
      <c r="AY47" s="23" cm="1">
        <f t="array" ref="AY47">SUM(COUNTIFS(I47:AV47,{"R1","R2","R-CICU"},$I$2:$AV$2,"&lt;5",$I$1:$AV$1,"&lt;&gt;Y"))</f>
        <v>0</v>
      </c>
      <c r="AZ47" s="23">
        <f t="shared" si="13"/>
        <v>0</v>
      </c>
      <c r="BA47" s="23" cm="1">
        <f t="array" ref="BA47">SUM(COUNTIFS(I47:AV47,{"R1","R2","R-CICU"},$I$2:$AV$2,"5",$I$1:$AV$1,"&lt;&gt;Y"))</f>
        <v>0</v>
      </c>
      <c r="BB47" s="23">
        <f t="shared" si="14"/>
        <v>0</v>
      </c>
      <c r="BC47" s="278">
        <f t="shared" si="15"/>
        <v>0</v>
      </c>
      <c r="BD47" s="39">
        <f t="shared" si="16"/>
        <v>0</v>
      </c>
      <c r="BE47" s="25">
        <f t="shared" si="17"/>
        <v>0</v>
      </c>
      <c r="BF47" s="26">
        <f t="shared" si="18"/>
        <v>0</v>
      </c>
      <c r="BG47" s="25">
        <f>IFERROR(INDEX('Month-1'!$F$3:$F$53,MATCH($B47,'Month-1'!$B$3:$B$53,0)),0)</f>
        <v>0</v>
      </c>
      <c r="BH47" s="26">
        <f t="shared" si="19"/>
        <v>0</v>
      </c>
    </row>
    <row r="48" spans="2:60" x14ac:dyDescent="0.2">
      <c r="B48" s="71"/>
      <c r="C48" s="18"/>
      <c r="D48" s="18"/>
      <c r="E48" s="307"/>
      <c r="F48" s="307"/>
      <c r="G48" s="25" t="str">
        <f>IFERROR(IF(VLOOKUP($B48,'Month-1'!$B$3:$D$53,2,0)=0,"",VLOOKUP($B48,'Month-1'!$B$3:$D$53,2,0)),"")</f>
        <v/>
      </c>
      <c r="H48" s="26" t="str">
        <f>IFERROR(IF(VLOOKUP($B48,'Month-1'!$B$3:$D$53,3,0)=0,"",VLOOKUP($B49,'Month-1'!$B$3:$D$53,3,0)),"")</f>
        <v/>
      </c>
      <c r="I48" s="24"/>
      <c r="J48" s="18"/>
      <c r="K48" s="355"/>
      <c r="L48" s="355"/>
      <c r="M48" s="355"/>
      <c r="N48" s="355"/>
      <c r="O48" s="355"/>
      <c r="P48" s="18"/>
      <c r="Q48" s="18"/>
      <c r="R48" s="18"/>
      <c r="S48" s="18"/>
      <c r="T48" s="18"/>
      <c r="U48" s="355"/>
      <c r="V48" s="355"/>
      <c r="W48" s="18"/>
      <c r="X48" s="355"/>
      <c r="Y48" s="18"/>
      <c r="Z48" s="18"/>
      <c r="AA48" s="18"/>
      <c r="AB48" s="18"/>
      <c r="AC48" s="18"/>
      <c r="AD48" s="18"/>
      <c r="AE48" s="18"/>
      <c r="AF48" s="18"/>
      <c r="AG48" s="355"/>
      <c r="AH48" s="18"/>
      <c r="AI48" s="355"/>
      <c r="AJ48" s="18"/>
      <c r="AK48" s="18"/>
      <c r="AL48" s="18"/>
      <c r="AM48" s="18"/>
      <c r="AN48" s="355"/>
      <c r="AO48" s="355"/>
      <c r="AP48" s="355"/>
      <c r="AQ48" s="355"/>
      <c r="AR48" s="355"/>
      <c r="AS48" s="355"/>
      <c r="AT48" s="355"/>
      <c r="AU48" s="355"/>
      <c r="AV48" s="357"/>
      <c r="AX48" s="42">
        <f t="shared" si="12"/>
        <v>0</v>
      </c>
      <c r="AY48" s="23" cm="1">
        <f t="array" ref="AY48">SUM(COUNTIFS(I48:AV48,{"R1","R2","R-CICU"},$I$2:$AV$2,"&lt;5",$I$1:$AV$1,"&lt;&gt;Y"))</f>
        <v>0</v>
      </c>
      <c r="AZ48" s="23">
        <f t="shared" si="13"/>
        <v>0</v>
      </c>
      <c r="BA48" s="23" cm="1">
        <f t="array" ref="BA48">SUM(COUNTIFS(I48:AV48,{"R1","R2","R-CICU"},$I$2:$AV$2,"5",$I$1:$AV$1,"&lt;&gt;Y"))</f>
        <v>0</v>
      </c>
      <c r="BB48" s="23">
        <f t="shared" si="14"/>
        <v>0</v>
      </c>
      <c r="BC48" s="278">
        <f t="shared" si="15"/>
        <v>0</v>
      </c>
      <c r="BD48" s="39">
        <f t="shared" si="16"/>
        <v>0</v>
      </c>
      <c r="BE48" s="25">
        <f t="shared" si="17"/>
        <v>0</v>
      </c>
      <c r="BF48" s="26">
        <f t="shared" si="18"/>
        <v>0</v>
      </c>
      <c r="BG48" s="25">
        <f>IFERROR(INDEX('Month-1'!$F$3:$F$53,MATCH($B48,'Month-1'!$B$3:$B$53,0)),0)</f>
        <v>0</v>
      </c>
      <c r="BH48" s="26">
        <f t="shared" si="19"/>
        <v>0</v>
      </c>
    </row>
    <row r="49" spans="2:60" ht="16" thickBot="1" x14ac:dyDescent="0.25">
      <c r="B49" s="75"/>
      <c r="C49" s="34"/>
      <c r="D49" s="34"/>
      <c r="E49" s="308"/>
      <c r="F49" s="308"/>
      <c r="G49" s="33" t="str">
        <f>IFERROR(IF(VLOOKUP($B49,'Month-1'!$B$3:$D$53,2,0)=0,"",VLOOKUP($B49,'Month-1'!$B$3:$D$53,2,0)),"")</f>
        <v/>
      </c>
      <c r="H49" s="41" t="str">
        <f>IFERROR(IF(VLOOKUP($B49,'Month-1'!$B$3:$D$53,3,0)=0,"",VLOOKUP($B50,'Month-1'!$B$3:$D$53,3,0)),"")</f>
        <v/>
      </c>
      <c r="I49" s="38"/>
      <c r="J49" s="34"/>
      <c r="K49" s="358"/>
      <c r="L49" s="34"/>
      <c r="M49" s="358"/>
      <c r="N49" s="34"/>
      <c r="O49" s="34"/>
      <c r="P49" s="34"/>
      <c r="Q49" s="34"/>
      <c r="R49" s="358"/>
      <c r="S49" s="34"/>
      <c r="T49" s="34"/>
      <c r="U49" s="34"/>
      <c r="V49" s="34"/>
      <c r="W49" s="358"/>
      <c r="X49" s="358"/>
      <c r="Y49" s="358"/>
      <c r="Z49" s="34"/>
      <c r="AA49" s="34"/>
      <c r="AB49" s="358"/>
      <c r="AC49" s="34"/>
      <c r="AD49" s="34"/>
      <c r="AE49" s="358"/>
      <c r="AF49" s="358"/>
      <c r="AG49" s="358"/>
      <c r="AH49" s="34"/>
      <c r="AI49" s="34"/>
      <c r="AJ49" s="34"/>
      <c r="AK49" s="34"/>
      <c r="AL49" s="358"/>
      <c r="AM49" s="34"/>
      <c r="AN49" s="358"/>
      <c r="AO49" s="358"/>
      <c r="AP49" s="358"/>
      <c r="AQ49" s="358"/>
      <c r="AR49" s="358"/>
      <c r="AS49" s="358"/>
      <c r="AT49" s="358"/>
      <c r="AU49" s="358"/>
      <c r="AV49" s="359"/>
      <c r="AX49" s="49">
        <f t="shared" si="12"/>
        <v>0</v>
      </c>
      <c r="AY49" s="48" cm="1">
        <f t="array" ref="AY49">SUM(COUNTIFS(I49:AV49,{"R1","R2","R-CICU"},$I$2:$AV$2,"&lt;5",$I$1:$AV$1,"&lt;&gt;Y"))</f>
        <v>0</v>
      </c>
      <c r="AZ49" s="48">
        <f t="shared" si="13"/>
        <v>0</v>
      </c>
      <c r="BA49" s="48" cm="1">
        <f t="array" ref="BA49">SUM(COUNTIFS(I49:AV49,{"R1","R2","R-CICU"},$I$2:$AV$2,"5",$I$1:$AV$1,"&lt;&gt;Y"))</f>
        <v>0</v>
      </c>
      <c r="BB49" s="48">
        <f t="shared" si="14"/>
        <v>0</v>
      </c>
      <c r="BC49" s="279">
        <f t="shared" si="15"/>
        <v>0</v>
      </c>
      <c r="BD49" s="50">
        <f t="shared" si="16"/>
        <v>0</v>
      </c>
      <c r="BE49" s="33">
        <f t="shared" si="17"/>
        <v>0</v>
      </c>
      <c r="BF49" s="41">
        <f t="shared" si="18"/>
        <v>0</v>
      </c>
      <c r="BG49" s="33">
        <f>IFERROR(INDEX('Month-1'!$F$3:$F$53,MATCH($B49,'Month-1'!$B$3:$B$53,0)),0)</f>
        <v>0</v>
      </c>
      <c r="BH49" s="41">
        <f t="shared" si="19"/>
        <v>0</v>
      </c>
    </row>
    <row r="51" spans="2:60" ht="84" customHeight="1" x14ac:dyDescent="0.2">
      <c r="D51" s="3" t="s">
        <v>278</v>
      </c>
      <c r="I51" s="388" t="str">
        <f>IFERROR(INDEX($B$6:$B$49,MATCH($D51,I$6:I$49,0)), "")</f>
        <v/>
      </c>
      <c r="J51" s="388" t="str">
        <f>IFERROR(INDEX($B$6:$B$49,MATCH($D51,J$6:J$49,0)), "")</f>
        <v/>
      </c>
      <c r="K51" s="388" t="str">
        <f>IFERROR(INDEX($B$6:$B$49,MATCH($D51,K$6:K$49,0)), "")</f>
        <v/>
      </c>
      <c r="L51" s="388" t="str">
        <f>IFERROR(INDEX($B$6:$B$49,MATCH($D51,L$6:L$49,0)), "")</f>
        <v/>
      </c>
      <c r="M51" s="388" t="str">
        <f>IFERROR(INDEX($B$6:$B$49,MATCH($D51,M$6:M$49,0)), "")</f>
        <v/>
      </c>
      <c r="N51" s="388" t="str">
        <f>IFERROR(INDEX($B$6:$B$49,MATCH($D51,N$6:N$49,0)), "")</f>
        <v/>
      </c>
      <c r="O51" s="388" t="str">
        <f>IFERROR(INDEX($B$6:$B$49,MATCH($D51,O$6:O$49,0)), "")</f>
        <v/>
      </c>
      <c r="P51" s="388" t="str">
        <f>IFERROR(INDEX($B$6:$B$49,MATCH($D51,P$6:P$49,0)), "")</f>
        <v/>
      </c>
      <c r="Q51" s="388" t="str">
        <f>IFERROR(INDEX($B$6:$B$49,MATCH($D51,Q$6:Q$49,0)), "")</f>
        <v/>
      </c>
      <c r="R51" s="388" t="str">
        <f>IFERROR(INDEX($B$6:$B$49,MATCH($D51,R$6:R$49,0)), "")</f>
        <v/>
      </c>
      <c r="S51" s="388" t="str">
        <f>IFERROR(INDEX($B$6:$B$49,MATCH($D51,S$6:S$49,0)), "")</f>
        <v/>
      </c>
      <c r="T51" s="388" t="str">
        <f>IFERROR(INDEX($B$6:$B$49,MATCH($D51,T$6:T$49,0)), "")</f>
        <v/>
      </c>
      <c r="U51" s="388" t="str">
        <f>IFERROR(INDEX($B$6:$B$49,MATCH($D51,U$6:U$49,0)), "")</f>
        <v/>
      </c>
      <c r="V51" s="388" t="str">
        <f>IFERROR(INDEX($B$6:$B$49,MATCH($D51,V$6:V$49,0)), "")</f>
        <v/>
      </c>
      <c r="W51" s="388" t="str">
        <f>IFERROR(INDEX($B$6:$B$49,MATCH($D51,W$6:W$49,0)), "")</f>
        <v/>
      </c>
      <c r="X51" s="388" t="str">
        <f>IFERROR(INDEX($B$6:$B$49,MATCH($D51,X$6:X$49,0)), "")</f>
        <v/>
      </c>
      <c r="Y51" s="388" t="str">
        <f>IFERROR(INDEX($B$6:$B$49,MATCH($D51,Y$6:Y$49,0)), "")</f>
        <v/>
      </c>
      <c r="Z51" s="388" t="str">
        <f>IFERROR(INDEX($B$6:$B$49,MATCH($D51,Z$6:Z$49,0)), "")</f>
        <v/>
      </c>
      <c r="AA51" s="388" t="str">
        <f>IFERROR(INDEX($B$6:$B$49,MATCH($D51,AA$6:AA$49,0)), "")</f>
        <v/>
      </c>
      <c r="AB51" s="388" t="str">
        <f>IFERROR(INDEX($B$6:$B$49,MATCH($D51,AB$6:AB$49,0)), "")</f>
        <v/>
      </c>
      <c r="AC51" s="388" t="str">
        <f>IFERROR(INDEX($B$6:$B$49,MATCH($D51,AC$6:AC$49,0)), "")</f>
        <v/>
      </c>
      <c r="AD51" s="388" t="str">
        <f>IFERROR(INDEX($B$6:$B$49,MATCH($D51,AD$6:AD$49,0)), "")</f>
        <v/>
      </c>
      <c r="AE51" s="388" t="str">
        <f>IFERROR(INDEX($B$6:$B$49,MATCH($D51,AE$6:AE$49,0)), "")</f>
        <v/>
      </c>
      <c r="AF51" s="388" t="str">
        <f>IFERROR(INDEX($B$6:$B$49,MATCH($D51,AF$6:AF$49,0)), "")</f>
        <v/>
      </c>
      <c r="AG51" s="388" t="str">
        <f>IFERROR(INDEX($B$6:$B$49,MATCH($D51,AG$6:AG$49,0)), "")</f>
        <v/>
      </c>
      <c r="AH51" s="388" t="str">
        <f>IFERROR(INDEX($B$6:$B$49,MATCH($D51,AH$6:AH$49,0)), "")</f>
        <v/>
      </c>
      <c r="AI51" s="388" t="str">
        <f>IFERROR(INDEX($B$6:$B$49,MATCH($D51,AI$6:AI$49,0)), "")</f>
        <v/>
      </c>
      <c r="AJ51" s="388" t="str">
        <f>IFERROR(INDEX($B$6:$B$49,MATCH($D51,AJ$6:AJ$49,0)), "")</f>
        <v/>
      </c>
      <c r="AK51" s="388" t="str">
        <f>IFERROR(INDEX($B$6:$B$49,MATCH($D51,AK$6:AK$49,0)), "")</f>
        <v/>
      </c>
      <c r="AL51" s="388" t="str">
        <f>IFERROR(INDEX($B$6:$B$49,MATCH($D51,AL$6:AL$49,0)), "")</f>
        <v/>
      </c>
      <c r="AM51" s="388" t="str">
        <f>IFERROR(INDEX($B$6:$B$49,MATCH($D51,AM$6:AM$49,0)), "")</f>
        <v/>
      </c>
      <c r="AN51" s="388" t="str">
        <f>IFERROR(INDEX($B$6:$B$49,MATCH($D51,AN$6:AN$49,0)), "")</f>
        <v/>
      </c>
      <c r="AO51" s="388"/>
      <c r="AP51" s="388"/>
      <c r="AQ51" s="388"/>
      <c r="AR51" s="388"/>
      <c r="AS51" s="388" t="str">
        <f>IFERROR(INDEX($B$6:$B$49,MATCH($D51,AS$6:AS$49,0)), "")</f>
        <v/>
      </c>
      <c r="AT51" s="388" t="str">
        <f>IFERROR(INDEX($B$6:$B$49,MATCH($D51,AT$6:AT$49,0)), "")</f>
        <v/>
      </c>
      <c r="AU51" s="388" t="str">
        <f>IFERROR(INDEX($B$6:$B$49,MATCH($D51,AU$6:AU$49,0)), "")</f>
        <v/>
      </c>
      <c r="AV51" s="388" t="str">
        <f>IFERROR(INDEX($B$6:$B$49,MATCH($D51,AV$6:AV$49,0)), "")</f>
        <v/>
      </c>
    </row>
    <row r="52" spans="2:60" ht="84" customHeight="1" x14ac:dyDescent="0.2">
      <c r="D52" s="3" t="s">
        <v>279</v>
      </c>
      <c r="I52" s="388" t="str">
        <f>IFERROR(INDEX($B$6:$B$49,MATCH($D52,I$6:I$49,0)), "")</f>
        <v/>
      </c>
      <c r="J52" s="388" t="str">
        <f>IFERROR(INDEX($B$6:$B$49,MATCH($D52,J$6:J$49,0)), "")</f>
        <v/>
      </c>
      <c r="K52" s="388" t="str">
        <f>IFERROR(INDEX($B$6:$B$49,MATCH($D52,K$6:K$49,0)), "")</f>
        <v/>
      </c>
      <c r="L52" s="388" t="str">
        <f>IFERROR(INDEX($B$6:$B$49,MATCH($D52,L$6:L$49,0)), "")</f>
        <v/>
      </c>
      <c r="M52" s="388" t="str">
        <f>IFERROR(INDEX($B$6:$B$49,MATCH($D52,M$6:M$49,0)), "")</f>
        <v/>
      </c>
      <c r="N52" s="388" t="str">
        <f>IFERROR(INDEX($B$6:$B$49,MATCH($D52,N$6:N$49,0)), "")</f>
        <v/>
      </c>
      <c r="O52" s="388" t="str">
        <f>IFERROR(INDEX($B$6:$B$49,MATCH($D52,O$6:O$49,0)), "")</f>
        <v/>
      </c>
      <c r="P52" s="388" t="str">
        <f>IFERROR(INDEX($B$6:$B$49,MATCH($D52,P$6:P$49,0)), "")</f>
        <v/>
      </c>
      <c r="Q52" s="388" t="str">
        <f>IFERROR(INDEX($B$6:$B$49,MATCH($D52,Q$6:Q$49,0)), "")</f>
        <v/>
      </c>
      <c r="R52" s="388" t="str">
        <f>IFERROR(INDEX($B$6:$B$49,MATCH($D52,R$6:R$49,0)), "")</f>
        <v/>
      </c>
      <c r="S52" s="388" t="str">
        <f>IFERROR(INDEX($B$6:$B$49,MATCH($D52,S$6:S$49,0)), "")</f>
        <v/>
      </c>
      <c r="T52" s="388" t="str">
        <f>IFERROR(INDEX($B$6:$B$49,MATCH($D52,T$6:T$49,0)), "")</f>
        <v/>
      </c>
      <c r="U52" s="388" t="str">
        <f>IFERROR(INDEX($B$6:$B$49,MATCH($D52,U$6:U$49,0)), "")</f>
        <v/>
      </c>
      <c r="V52" s="388" t="str">
        <f>IFERROR(INDEX($B$6:$B$49,MATCH($D52,V$6:V$49,0)), "")</f>
        <v/>
      </c>
      <c r="W52" s="388" t="str">
        <f>IFERROR(INDEX($B$6:$B$49,MATCH($D52,W$6:W$49,0)), "")</f>
        <v/>
      </c>
      <c r="X52" s="388" t="str">
        <f>IFERROR(INDEX($B$6:$B$49,MATCH($D52,X$6:X$49,0)), "")</f>
        <v/>
      </c>
      <c r="Y52" s="388" t="str">
        <f>IFERROR(INDEX($B$6:$B$49,MATCH($D52,Y$6:Y$49,0)), "")</f>
        <v/>
      </c>
      <c r="Z52" s="388" t="str">
        <f>IFERROR(INDEX($B$6:$B$49,MATCH($D52,Z$6:Z$49,0)), "")</f>
        <v/>
      </c>
      <c r="AA52" s="388" t="str">
        <f>IFERROR(INDEX($B$6:$B$49,MATCH($D52,AA$6:AA$49,0)), "")</f>
        <v/>
      </c>
      <c r="AB52" s="388" t="str">
        <f>IFERROR(INDEX($B$6:$B$49,MATCH($D52,AB$6:AB$49,0)), "")</f>
        <v/>
      </c>
      <c r="AC52" s="388" t="str">
        <f>IFERROR(INDEX($B$6:$B$49,MATCH($D52,AC$6:AC$49,0)), "")</f>
        <v/>
      </c>
      <c r="AD52" s="388" t="str">
        <f>IFERROR(INDEX($B$6:$B$49,MATCH($D52,AD$6:AD$49,0)), "")</f>
        <v/>
      </c>
      <c r="AE52" s="388" t="str">
        <f>IFERROR(INDEX($B$6:$B$49,MATCH($D52,AE$6:AE$49,0)), "")</f>
        <v/>
      </c>
      <c r="AF52" s="388" t="str">
        <f>IFERROR(INDEX($B$6:$B$49,MATCH($D52,AF$6:AF$49,0)), "")</f>
        <v/>
      </c>
      <c r="AG52" s="388" t="str">
        <f>IFERROR(INDEX($B$6:$B$49,MATCH($D52,AG$6:AG$49,0)), "")</f>
        <v/>
      </c>
      <c r="AH52" s="388" t="str">
        <f>IFERROR(INDEX($B$6:$B$49,MATCH($D52,AH$6:AH$49,0)), "")</f>
        <v/>
      </c>
      <c r="AI52" s="388" t="str">
        <f>IFERROR(INDEX($B$6:$B$49,MATCH($D52,AI$6:AI$49,0)), "")</f>
        <v/>
      </c>
      <c r="AJ52" s="388" t="str">
        <f>IFERROR(INDEX($B$6:$B$49,MATCH($D52,AJ$6:AJ$49,0)), "")</f>
        <v/>
      </c>
      <c r="AK52" s="388" t="str">
        <f>IFERROR(INDEX($B$6:$B$49,MATCH($D52,AK$6:AK$49,0)), "")</f>
        <v/>
      </c>
      <c r="AL52" s="388" t="str">
        <f>IFERROR(INDEX($B$6:$B$49,MATCH($D52,AL$6:AL$49,0)), "")</f>
        <v/>
      </c>
      <c r="AM52" s="388" t="str">
        <f>IFERROR(INDEX($B$6:$B$49,MATCH($D52,AM$6:AM$49,0)), "")</f>
        <v/>
      </c>
      <c r="AN52" s="388" t="str">
        <f>IFERROR(INDEX($B$6:$B$49,MATCH($D52,AN$6:AN$49,0)), "")</f>
        <v/>
      </c>
      <c r="AO52" s="388"/>
      <c r="AP52" s="388"/>
      <c r="AQ52" s="388"/>
      <c r="AR52" s="388"/>
      <c r="AS52" s="388" t="str">
        <f>IFERROR(INDEX($B$6:$B$49,MATCH($D52,AS$6:AS$49,0)), "")</f>
        <v/>
      </c>
      <c r="AT52" s="388" t="str">
        <f>IFERROR(INDEX($B$6:$B$49,MATCH($D52,AT$6:AT$49,0)), "")</f>
        <v/>
      </c>
      <c r="AU52" s="388" t="str">
        <f>IFERROR(INDEX($B$6:$B$49,MATCH($D52,AU$6:AU$49,0)), "")</f>
        <v/>
      </c>
      <c r="AV52" s="388" t="str">
        <f>IFERROR(INDEX($B$6:$B$49,MATCH($D52,AV$6:AV$49,0)), "")</f>
        <v/>
      </c>
    </row>
    <row r="53" spans="2:60" ht="84" customHeight="1" x14ac:dyDescent="0.2">
      <c r="D53" s="3" t="s">
        <v>280</v>
      </c>
      <c r="I53" s="388" t="str">
        <f>IFERROR(INDEX($B$6:$B$49,MATCH($D53,I$6:I$49,0)), "")</f>
        <v/>
      </c>
      <c r="J53" s="388" t="str">
        <f>IFERROR(INDEX($B$6:$B$49,MATCH($D53,J$6:J$49,0)), "")</f>
        <v/>
      </c>
      <c r="K53" s="388" t="str">
        <f>IFERROR(INDEX($B$6:$B$49,MATCH($D53,K$6:K$49,0)), "")</f>
        <v/>
      </c>
      <c r="L53" s="388" t="str">
        <f>IFERROR(INDEX($B$6:$B$49,MATCH($D53,L$6:L$49,0)), "")</f>
        <v/>
      </c>
      <c r="M53" s="388" t="str">
        <f>IFERROR(INDEX($B$6:$B$49,MATCH($D53,M$6:M$49,0)), "")</f>
        <v/>
      </c>
      <c r="N53" s="388" t="str">
        <f>IFERROR(INDEX($B$6:$B$49,MATCH($D53,N$6:N$49,0)), "")</f>
        <v/>
      </c>
      <c r="O53" s="388" t="str">
        <f>IFERROR(INDEX($B$6:$B$49,MATCH($D53,O$6:O$49,0)), "")</f>
        <v/>
      </c>
      <c r="P53" s="388" t="str">
        <f>IFERROR(INDEX($B$6:$B$49,MATCH($D53,P$6:P$49,0)), "")</f>
        <v/>
      </c>
      <c r="Q53" s="388" t="str">
        <f>IFERROR(INDEX($B$6:$B$49,MATCH($D53,Q$6:Q$49,0)), "")</f>
        <v/>
      </c>
      <c r="R53" s="388" t="str">
        <f>IFERROR(INDEX($B$6:$B$49,MATCH($D53,R$6:R$49,0)), "")</f>
        <v/>
      </c>
      <c r="S53" s="388" t="str">
        <f>IFERROR(INDEX($B$6:$B$49,MATCH($D53,S$6:S$49,0)), "")</f>
        <v/>
      </c>
      <c r="T53" s="388" t="str">
        <f>IFERROR(INDEX($B$6:$B$49,MATCH($D53,T$6:T$49,0)), "")</f>
        <v/>
      </c>
      <c r="U53" s="388" t="str">
        <f>IFERROR(INDEX($B$6:$B$49,MATCH($D53,U$6:U$49,0)), "")</f>
        <v/>
      </c>
      <c r="V53" s="388" t="str">
        <f>IFERROR(INDEX($B$6:$B$49,MATCH($D53,V$6:V$49,0)), "")</f>
        <v/>
      </c>
      <c r="W53" s="388" t="str">
        <f>IFERROR(INDEX($B$6:$B$49,MATCH($D53,W$6:W$49,0)), "")</f>
        <v/>
      </c>
      <c r="X53" s="388" t="str">
        <f>IFERROR(INDEX($B$6:$B$49,MATCH($D53,X$6:X$49,0)), "")</f>
        <v/>
      </c>
      <c r="Y53" s="388" t="str">
        <f>IFERROR(INDEX($B$6:$B$49,MATCH($D53,Y$6:Y$49,0)), "")</f>
        <v/>
      </c>
      <c r="Z53" s="388" t="str">
        <f>IFERROR(INDEX($B$6:$B$49,MATCH($D53,Z$6:Z$49,0)), "")</f>
        <v/>
      </c>
      <c r="AA53" s="388" t="str">
        <f>IFERROR(INDEX($B$6:$B$49,MATCH($D53,AA$6:AA$49,0)), "")</f>
        <v/>
      </c>
      <c r="AB53" s="388" t="str">
        <f>IFERROR(INDEX($B$6:$B$49,MATCH($D53,AB$6:AB$49,0)), "")</f>
        <v/>
      </c>
      <c r="AC53" s="388" t="str">
        <f>IFERROR(INDEX($B$6:$B$49,MATCH($D53,AC$6:AC$49,0)), "")</f>
        <v/>
      </c>
      <c r="AD53" s="388" t="str">
        <f>IFERROR(INDEX($B$6:$B$49,MATCH($D53,AD$6:AD$49,0)), "")</f>
        <v/>
      </c>
      <c r="AE53" s="388" t="str">
        <f>IFERROR(INDEX($B$6:$B$49,MATCH($D53,AE$6:AE$49,0)), "")</f>
        <v/>
      </c>
      <c r="AF53" s="388" t="str">
        <f>IFERROR(INDEX($B$6:$B$49,MATCH($D53,AF$6:AF$49,0)), "")</f>
        <v/>
      </c>
      <c r="AG53" s="388" t="str">
        <f>IFERROR(INDEX($B$6:$B$49,MATCH($D53,AG$6:AG$49,0)), "")</f>
        <v/>
      </c>
      <c r="AH53" s="388" t="str">
        <f>IFERROR(INDEX($B$6:$B$49,MATCH($D53,AH$6:AH$49,0)), "")</f>
        <v/>
      </c>
      <c r="AI53" s="388" t="str">
        <f>IFERROR(INDEX($B$6:$B$49,MATCH($D53,AI$6:AI$49,0)), "")</f>
        <v/>
      </c>
      <c r="AJ53" s="388" t="str">
        <f>IFERROR(INDEX($B$6:$B$49,MATCH($D53,AJ$6:AJ$49,0)), "")</f>
        <v/>
      </c>
      <c r="AK53" s="388" t="str">
        <f>IFERROR(INDEX($B$6:$B$49,MATCH($D53,AK$6:AK$49,0)), "")</f>
        <v/>
      </c>
      <c r="AL53" s="388" t="str">
        <f>IFERROR(INDEX($B$6:$B$49,MATCH($D53,AL$6:AL$49,0)), "")</f>
        <v/>
      </c>
      <c r="AM53" s="388" t="str">
        <f>IFERROR(INDEX($B$6:$B$49,MATCH($D53,AM$6:AM$49,0)), "")</f>
        <v/>
      </c>
      <c r="AN53" s="388" t="str">
        <f>IFERROR(INDEX($B$6:$B$49,MATCH($D53,AN$6:AN$49,0)), "")</f>
        <v/>
      </c>
      <c r="AO53" s="388"/>
      <c r="AP53" s="388"/>
      <c r="AQ53" s="388"/>
      <c r="AR53" s="388"/>
      <c r="AS53" s="388" t="str">
        <f>IFERROR(INDEX($B$6:$B$49,MATCH($D53,AS$6:AS$49,0)), "")</f>
        <v/>
      </c>
      <c r="AT53" s="388" t="str">
        <f>IFERROR(INDEX($B$6:$B$49,MATCH($D53,AT$6:AT$49,0)), "")</f>
        <v/>
      </c>
      <c r="AU53" s="388" t="str">
        <f>IFERROR(INDEX($B$6:$B$49,MATCH($D53,AU$6:AU$49,0)), "")</f>
        <v/>
      </c>
      <c r="AV53" s="388" t="str">
        <f>IFERROR(INDEX($B$6:$B$49,MATCH($D53,AV$6:AV$49,0)), "")</f>
        <v/>
      </c>
    </row>
    <row r="54" spans="2:60" ht="84" customHeight="1" x14ac:dyDescent="0.2">
      <c r="D54" s="3" t="s">
        <v>297</v>
      </c>
      <c r="I54" s="388" t="str">
        <f>IFERROR(INDEX($B$6:$B$49,MATCH($D54,I$6:I$49,0)), "")</f>
        <v/>
      </c>
      <c r="J54" s="388" t="str">
        <f>IFERROR(INDEX($B$6:$B$49,MATCH($D54,J$6:J$49,0)), "")</f>
        <v/>
      </c>
      <c r="K54" s="388" t="str">
        <f>IFERROR(INDEX($B$6:$B$49,MATCH($D54,K$6:K$49,0)), "")</f>
        <v/>
      </c>
      <c r="L54" s="388" t="str">
        <f>IFERROR(INDEX($B$6:$B$49,MATCH($D54,L$6:L$49,0)), "")</f>
        <v/>
      </c>
      <c r="M54" s="388" t="str">
        <f>IFERROR(INDEX($B$6:$B$49,MATCH($D54,M$6:M$49,0)), "")</f>
        <v/>
      </c>
      <c r="N54" s="388" t="str">
        <f>IFERROR(INDEX($B$6:$B$49,MATCH($D54,N$6:N$49,0)), "")</f>
        <v/>
      </c>
      <c r="O54" s="388" t="str">
        <f>IFERROR(INDEX($B$6:$B$49,MATCH($D54,O$6:O$49,0)), "")</f>
        <v/>
      </c>
      <c r="P54" s="388" t="str">
        <f>IFERROR(INDEX($B$6:$B$49,MATCH($D54,P$6:P$49,0)), "")</f>
        <v/>
      </c>
      <c r="Q54" s="388" t="str">
        <f>IFERROR(INDEX($B$6:$B$49,MATCH($D54,Q$6:Q$49,0)), "")</f>
        <v/>
      </c>
      <c r="R54" s="388" t="str">
        <f>IFERROR(INDEX($B$6:$B$49,MATCH($D54,R$6:R$49,0)), "")</f>
        <v/>
      </c>
      <c r="S54" s="388" t="str">
        <f>IFERROR(INDEX($B$6:$B$49,MATCH($D54,S$6:S$49,0)), "")</f>
        <v/>
      </c>
      <c r="T54" s="388" t="str">
        <f>IFERROR(INDEX($B$6:$B$49,MATCH($D54,T$6:T$49,0)), "")</f>
        <v/>
      </c>
      <c r="U54" s="388" t="str">
        <f>IFERROR(INDEX($B$6:$B$49,MATCH($D54,U$6:U$49,0)), "")</f>
        <v/>
      </c>
      <c r="V54" s="388" t="str">
        <f>IFERROR(INDEX($B$6:$B$49,MATCH($D54,V$6:V$49,0)), "")</f>
        <v/>
      </c>
      <c r="W54" s="388" t="str">
        <f>IFERROR(INDEX($B$6:$B$49,MATCH($D54,W$6:W$49,0)), "")</f>
        <v/>
      </c>
      <c r="X54" s="388" t="str">
        <f>IFERROR(INDEX($B$6:$B$49,MATCH($D54,X$6:X$49,0)), "")</f>
        <v/>
      </c>
      <c r="Y54" s="388" t="str">
        <f>IFERROR(INDEX($B$6:$B$49,MATCH($D54,Y$6:Y$49,0)), "")</f>
        <v/>
      </c>
      <c r="Z54" s="388" t="str">
        <f>IFERROR(INDEX($B$6:$B$49,MATCH($D54,Z$6:Z$49,0)), "")</f>
        <v/>
      </c>
      <c r="AA54" s="388" t="str">
        <f>IFERROR(INDEX($B$6:$B$49,MATCH($D54,AA$6:AA$49,0)), "")</f>
        <v/>
      </c>
      <c r="AB54" s="388" t="str">
        <f>IFERROR(INDEX($B$6:$B$49,MATCH($D54,AB$6:AB$49,0)), "")</f>
        <v/>
      </c>
      <c r="AC54" s="388" t="str">
        <f>IFERROR(INDEX($B$6:$B$49,MATCH($D54,AC$6:AC$49,0)), "")</f>
        <v/>
      </c>
      <c r="AD54" s="388" t="str">
        <f>IFERROR(INDEX($B$6:$B$49,MATCH($D54,AD$6:AD$49,0)), "")</f>
        <v/>
      </c>
      <c r="AE54" s="388" t="str">
        <f>IFERROR(INDEX($B$6:$B$49,MATCH($D54,AE$6:AE$49,0)), "")</f>
        <v/>
      </c>
      <c r="AF54" s="388" t="str">
        <f>IFERROR(INDEX($B$6:$B$49,MATCH($D54,AF$6:AF$49,0)), "")</f>
        <v/>
      </c>
      <c r="AG54" s="388" t="str">
        <f>IFERROR(INDEX($B$6:$B$49,MATCH($D54,AG$6:AG$49,0)), "")</f>
        <v/>
      </c>
      <c r="AH54" s="388" t="str">
        <f>IFERROR(INDEX($B$6:$B$49,MATCH($D54,AH$6:AH$49,0)), "")</f>
        <v/>
      </c>
      <c r="AI54" s="388" t="str">
        <f>IFERROR(INDEX($B$6:$B$49,MATCH($D54,AI$6:AI$49,0)), "")</f>
        <v/>
      </c>
      <c r="AJ54" s="388" t="str">
        <f>IFERROR(INDEX($B$6:$B$49,MATCH($D54,AJ$6:AJ$49,0)), "")</f>
        <v/>
      </c>
      <c r="AK54" s="388" t="str">
        <f>IFERROR(INDEX($B$6:$B$49,MATCH($D54,AK$6:AK$49,0)), "")</f>
        <v/>
      </c>
      <c r="AL54" s="388" t="str">
        <f>IFERROR(INDEX($B$6:$B$49,MATCH($D54,AL$6:AL$49,0)), "")</f>
        <v/>
      </c>
      <c r="AM54" s="388" t="str">
        <f>IFERROR(INDEX($B$6:$B$49,MATCH($D54,AM$6:AM$49,0)), "")</f>
        <v/>
      </c>
      <c r="AN54" s="388" t="str">
        <f>IFERROR(INDEX($B$6:$B$49,MATCH($D54,AN$6:AN$49,0)), "")</f>
        <v/>
      </c>
      <c r="AO54" s="388"/>
      <c r="AP54" s="388"/>
      <c r="AQ54" s="388"/>
      <c r="AR54" s="388"/>
      <c r="AS54" s="388" t="str">
        <f>IFERROR(INDEX($B$6:$B$49,MATCH($D54,AS$6:AS$49,0)), "")</f>
        <v/>
      </c>
      <c r="AT54" s="388" t="str">
        <f>IFERROR(INDEX($B$6:$B$49,MATCH($D54,AT$6:AT$49,0)), "")</f>
        <v/>
      </c>
      <c r="AU54" s="388" t="str">
        <f>IFERROR(INDEX($B$6:$B$49,MATCH($D54,AU$6:AU$49,0)), "")</f>
        <v/>
      </c>
      <c r="AV54" s="388" t="str">
        <f>IFERROR(INDEX($B$6:$B$49,MATCH($D54,AV$6:AV$49,0)), "")</f>
        <v/>
      </c>
    </row>
    <row r="55" spans="2:60" ht="84" customHeight="1" x14ac:dyDescent="0.2">
      <c r="D55" s="3" t="s">
        <v>20</v>
      </c>
      <c r="I55" s="388" t="str">
        <f>IFERROR(INDEX($B$6:$B$49,MATCH($D55,I$6:I$49,0)), "")</f>
        <v/>
      </c>
      <c r="J55" s="388" t="str">
        <f>IFERROR(INDEX($B$6:$B$49,MATCH($D55,J$6:J$49,0)), "")</f>
        <v/>
      </c>
      <c r="K55" s="388" t="str">
        <f>IFERROR(INDEX($B$6:$B$49,MATCH($D55,K$6:K$49,0)), "")</f>
        <v/>
      </c>
      <c r="L55" s="388" t="str">
        <f>IFERROR(INDEX($B$6:$B$49,MATCH($D55,L$6:L$49,0)), "")</f>
        <v/>
      </c>
      <c r="M55" s="388" t="str">
        <f>IFERROR(INDEX($B$6:$B$49,MATCH($D55,M$6:M$49,0)), "")</f>
        <v/>
      </c>
      <c r="N55" s="388" t="str">
        <f>IFERROR(INDEX($B$6:$B$49,MATCH($D55,N$6:N$49,0)), "")</f>
        <v/>
      </c>
      <c r="O55" s="388" t="str">
        <f>IFERROR(INDEX($B$6:$B$49,MATCH($D55,O$6:O$49,0)), "")</f>
        <v/>
      </c>
      <c r="P55" s="388" t="str">
        <f>IFERROR(INDEX($B$6:$B$49,MATCH($D55,P$6:P$49,0)), "")</f>
        <v/>
      </c>
      <c r="Q55" s="388" t="str">
        <f>IFERROR(INDEX($B$6:$B$49,MATCH($D55,Q$6:Q$49,0)), "")</f>
        <v/>
      </c>
      <c r="R55" s="388" t="str">
        <f>IFERROR(INDEX($B$6:$B$49,MATCH($D55,R$6:R$49,0)), "")</f>
        <v/>
      </c>
      <c r="S55" s="388" t="str">
        <f>IFERROR(INDEX($B$6:$B$49,MATCH($D55,S$6:S$49,0)), "")</f>
        <v/>
      </c>
      <c r="T55" s="388" t="str">
        <f>IFERROR(INDEX($B$6:$B$49,MATCH($D55,T$6:T$49,0)), "")</f>
        <v/>
      </c>
      <c r="U55" s="388" t="str">
        <f>IFERROR(INDEX($B$6:$B$49,MATCH($D55,U$6:U$49,0)), "")</f>
        <v/>
      </c>
      <c r="V55" s="388" t="str">
        <f>IFERROR(INDEX($B$6:$B$49,MATCH($D55,V$6:V$49,0)), "")</f>
        <v/>
      </c>
      <c r="W55" s="388" t="str">
        <f>IFERROR(INDEX($B$6:$B$49,MATCH($D55,W$6:W$49,0)), "")</f>
        <v/>
      </c>
      <c r="X55" s="388" t="str">
        <f>IFERROR(INDEX($B$6:$B$49,MATCH($D55,X$6:X$49,0)), "")</f>
        <v/>
      </c>
      <c r="Y55" s="388" t="str">
        <f>IFERROR(INDEX($B$6:$B$49,MATCH($D55,Y$6:Y$49,0)), "")</f>
        <v/>
      </c>
      <c r="Z55" s="388" t="str">
        <f>IFERROR(INDEX($B$6:$B$49,MATCH($D55,Z$6:Z$49,0)), "")</f>
        <v/>
      </c>
      <c r="AA55" s="388" t="str">
        <f>IFERROR(INDEX($B$6:$B$49,MATCH($D55,AA$6:AA$49,0)), "")</f>
        <v/>
      </c>
      <c r="AB55" s="388" t="str">
        <f>IFERROR(INDEX($B$6:$B$49,MATCH($D55,AB$6:AB$49,0)), "")</f>
        <v/>
      </c>
      <c r="AC55" s="388" t="str">
        <f>IFERROR(INDEX($B$6:$B$49,MATCH($D55,AC$6:AC$49,0)), "")</f>
        <v/>
      </c>
      <c r="AD55" s="388" t="str">
        <f>IFERROR(INDEX($B$6:$B$49,MATCH($D55,AD$6:AD$49,0)), "")</f>
        <v/>
      </c>
      <c r="AE55" s="388" t="str">
        <f>IFERROR(INDEX($B$6:$B$49,MATCH($D55,AE$6:AE$49,0)), "")</f>
        <v/>
      </c>
      <c r="AF55" s="388" t="str">
        <f>IFERROR(INDEX($B$6:$B$49,MATCH($D55,AF$6:AF$49,0)), "")</f>
        <v/>
      </c>
      <c r="AG55" s="388" t="str">
        <f>IFERROR(INDEX($B$6:$B$49,MATCH($D55,AG$6:AG$49,0)), "")</f>
        <v/>
      </c>
      <c r="AH55" s="388" t="str">
        <f>IFERROR(INDEX($B$6:$B$49,MATCH($D55,AH$6:AH$49,0)), "")</f>
        <v/>
      </c>
      <c r="AI55" s="388" t="str">
        <f>IFERROR(INDEX($B$6:$B$49,MATCH($D55,AI$6:AI$49,0)), "")</f>
        <v/>
      </c>
      <c r="AJ55" s="388" t="str">
        <f>IFERROR(INDEX($B$6:$B$49,MATCH($D55,AJ$6:AJ$49,0)), "")</f>
        <v/>
      </c>
      <c r="AK55" s="388" t="str">
        <f>IFERROR(INDEX($B$6:$B$49,MATCH($D55,AK$6:AK$49,0)), "")</f>
        <v/>
      </c>
      <c r="AL55" s="388" t="str">
        <f>IFERROR(INDEX($B$6:$B$49,MATCH($D55,AL$6:AL$49,0)), "")</f>
        <v/>
      </c>
      <c r="AM55" s="388" t="str">
        <f>IFERROR(INDEX($B$6:$B$49,MATCH($D55,AM$6:AM$49,0)), "")</f>
        <v/>
      </c>
      <c r="AN55" s="388" t="str">
        <f>IFERROR(INDEX($B$6:$B$49,MATCH($D55,AN$6:AN$49,0)), "")</f>
        <v/>
      </c>
      <c r="AO55" s="388"/>
      <c r="AP55" s="388"/>
      <c r="AQ55" s="388"/>
      <c r="AR55" s="388"/>
      <c r="AS55" s="388" t="str">
        <f>IFERROR(INDEX($B$6:$B$49,MATCH($D55,AS$6:AS$49,0)), "")</f>
        <v/>
      </c>
      <c r="AT55" s="388" t="str">
        <f>IFERROR(INDEX($B$6:$B$49,MATCH($D55,AT$6:AT$49,0)), "")</f>
        <v/>
      </c>
      <c r="AU55" s="388" t="str">
        <f>IFERROR(INDEX($B$6:$B$49,MATCH($D55,AU$6:AU$49,0)), "")</f>
        <v/>
      </c>
      <c r="AV55" s="388" t="str">
        <f>IFERROR(INDEX($B$6:$B$49,MATCH($D55,AV$6:AV$49,0)), "")</f>
        <v/>
      </c>
    </row>
    <row r="56" spans="2:60" ht="84" customHeight="1" x14ac:dyDescent="0.2">
      <c r="D56" s="3" t="s">
        <v>21</v>
      </c>
      <c r="I56" s="388" t="str">
        <f>IFERROR(INDEX($B$6:$B$49,MATCH($D56,I$6:I$49,0)), "")</f>
        <v/>
      </c>
      <c r="J56" s="388" t="str">
        <f>IFERROR(INDEX($B$6:$B$49,MATCH($D56,J$6:J$49,0)), "")</f>
        <v/>
      </c>
      <c r="K56" s="388" t="str">
        <f>IFERROR(INDEX($B$6:$B$49,MATCH($D56,K$6:K$49,0)), "")</f>
        <v/>
      </c>
      <c r="L56" s="388" t="str">
        <f>IFERROR(INDEX($B$6:$B$49,MATCH($D56,L$6:L$49,0)), "")</f>
        <v/>
      </c>
      <c r="M56" s="388" t="str">
        <f>IFERROR(INDEX($B$6:$B$49,MATCH($D56,M$6:M$49,0)), "")</f>
        <v/>
      </c>
      <c r="N56" s="388" t="str">
        <f>IFERROR(INDEX($B$6:$B$49,MATCH($D56,N$6:N$49,0)), "")</f>
        <v/>
      </c>
      <c r="O56" s="388" t="str">
        <f>IFERROR(INDEX($B$6:$B$49,MATCH($D56,O$6:O$49,0)), "")</f>
        <v/>
      </c>
      <c r="P56" s="388" t="str">
        <f>IFERROR(INDEX($B$6:$B$49,MATCH($D56,P$6:P$49,0)), "")</f>
        <v/>
      </c>
      <c r="Q56" s="388" t="str">
        <f>IFERROR(INDEX($B$6:$B$49,MATCH($D56,Q$6:Q$49,0)), "")</f>
        <v/>
      </c>
      <c r="R56" s="388" t="str">
        <f>IFERROR(INDEX($B$6:$B$49,MATCH($D56,R$6:R$49,0)), "")</f>
        <v/>
      </c>
      <c r="S56" s="388" t="str">
        <f>IFERROR(INDEX($B$6:$B$49,MATCH($D56,S$6:S$49,0)), "")</f>
        <v/>
      </c>
      <c r="T56" s="388" t="str">
        <f>IFERROR(INDEX($B$6:$B$49,MATCH($D56,T$6:T$49,0)), "")</f>
        <v/>
      </c>
      <c r="U56" s="388" t="str">
        <f>IFERROR(INDEX($B$6:$B$49,MATCH($D56,U$6:U$49,0)), "")</f>
        <v/>
      </c>
      <c r="V56" s="388" t="str">
        <f>IFERROR(INDEX($B$6:$B$49,MATCH($D56,V$6:V$49,0)), "")</f>
        <v/>
      </c>
      <c r="W56" s="388" t="str">
        <f>IFERROR(INDEX($B$6:$B$49,MATCH($D56,W$6:W$49,0)), "")</f>
        <v/>
      </c>
      <c r="X56" s="388" t="str">
        <f>IFERROR(INDEX($B$6:$B$49,MATCH($D56,X$6:X$49,0)), "")</f>
        <v/>
      </c>
      <c r="Y56" s="388" t="str">
        <f>IFERROR(INDEX($B$6:$B$49,MATCH($D56,Y$6:Y$49,0)), "")</f>
        <v/>
      </c>
      <c r="Z56" s="388" t="str">
        <f>IFERROR(INDEX($B$6:$B$49,MATCH($D56,Z$6:Z$49,0)), "")</f>
        <v/>
      </c>
      <c r="AA56" s="388" t="str">
        <f>IFERROR(INDEX($B$6:$B$49,MATCH($D56,AA$6:AA$49,0)), "")</f>
        <v/>
      </c>
      <c r="AB56" s="388" t="str">
        <f>IFERROR(INDEX($B$6:$B$49,MATCH($D56,AB$6:AB$49,0)), "")</f>
        <v/>
      </c>
      <c r="AC56" s="388" t="str">
        <f>IFERROR(INDEX($B$6:$B$49,MATCH($D56,AC$6:AC$49,0)), "")</f>
        <v/>
      </c>
      <c r="AD56" s="388" t="str">
        <f>IFERROR(INDEX($B$6:$B$49,MATCH($D56,AD$6:AD$49,0)), "")</f>
        <v/>
      </c>
      <c r="AE56" s="388" t="str">
        <f>IFERROR(INDEX($B$6:$B$49,MATCH($D56,AE$6:AE$49,0)), "")</f>
        <v/>
      </c>
      <c r="AF56" s="388" t="str">
        <f>IFERROR(INDEX($B$6:$B$49,MATCH($D56,AF$6:AF$49,0)), "")</f>
        <v/>
      </c>
      <c r="AG56" s="388" t="str">
        <f>IFERROR(INDEX($B$6:$B$49,MATCH($D56,AG$6:AG$49,0)), "")</f>
        <v/>
      </c>
      <c r="AH56" s="388" t="str">
        <f>IFERROR(INDEX($B$6:$B$49,MATCH($D56,AH$6:AH$49,0)), "")</f>
        <v/>
      </c>
      <c r="AI56" s="388" t="str">
        <f>IFERROR(INDEX($B$6:$B$49,MATCH($D56,AI$6:AI$49,0)), "")</f>
        <v/>
      </c>
      <c r="AJ56" s="388" t="str">
        <f>IFERROR(INDEX($B$6:$B$49,MATCH($D56,AJ$6:AJ$49,0)), "")</f>
        <v/>
      </c>
      <c r="AK56" s="388" t="str">
        <f>IFERROR(INDEX($B$6:$B$49,MATCH($D56,AK$6:AK$49,0)), "")</f>
        <v/>
      </c>
      <c r="AL56" s="388" t="str">
        <f>IFERROR(INDEX($B$6:$B$49,MATCH($D56,AL$6:AL$49,0)), "")</f>
        <v/>
      </c>
      <c r="AM56" s="388" t="str">
        <f>IFERROR(INDEX($B$6:$B$49,MATCH($D56,AM$6:AM$49,0)), "")</f>
        <v/>
      </c>
      <c r="AN56" s="388" t="str">
        <f>IFERROR(INDEX($B$6:$B$49,MATCH($D56,AN$6:AN$49,0)), "")</f>
        <v/>
      </c>
      <c r="AO56" s="388"/>
      <c r="AP56" s="388"/>
      <c r="AQ56" s="388"/>
      <c r="AR56" s="388"/>
      <c r="AS56" s="388" t="str">
        <f>IFERROR(INDEX($B$6:$B$49,MATCH($D56,AS$6:AS$49,0)), "")</f>
        <v/>
      </c>
      <c r="AT56" s="388" t="str">
        <f>IFERROR(INDEX($B$6:$B$49,MATCH($D56,AT$6:AT$49,0)), "")</f>
        <v/>
      </c>
      <c r="AU56" s="388" t="str">
        <f>IFERROR(INDEX($B$6:$B$49,MATCH($D56,AU$6:AU$49,0)), "")</f>
        <v/>
      </c>
      <c r="AV56" s="388" t="str">
        <f>IFERROR(INDEX($B$6:$B$49,MATCH($D56,AV$6:AV$49,0)), "")</f>
        <v/>
      </c>
    </row>
    <row r="58" spans="2:60" x14ac:dyDescent="0.2">
      <c r="B58" s="3" t="s">
        <v>49</v>
      </c>
    </row>
    <row r="59" spans="2:60" x14ac:dyDescent="0.2">
      <c r="B59" s="333" t="s">
        <v>244</v>
      </c>
      <c r="D59" s="327" t="s">
        <v>213</v>
      </c>
      <c r="E59" s="327"/>
      <c r="F59" s="327"/>
      <c r="G59" s="327"/>
      <c r="H59" s="327"/>
    </row>
    <row r="60" spans="2:60" x14ac:dyDescent="0.2">
      <c r="B60" s="334" t="s">
        <v>291</v>
      </c>
      <c r="D60" s="327" t="s">
        <v>292</v>
      </c>
      <c r="E60" s="327"/>
      <c r="F60" s="327"/>
      <c r="G60" s="327"/>
      <c r="H60" s="327"/>
    </row>
    <row r="61" spans="2:60" x14ac:dyDescent="0.2">
      <c r="B61" s="335" t="s">
        <v>243</v>
      </c>
      <c r="D61" s="327" t="s">
        <v>269</v>
      </c>
      <c r="E61" s="327"/>
      <c r="F61" s="327"/>
      <c r="G61" s="327"/>
      <c r="H61" s="327"/>
    </row>
    <row r="62" spans="2:60" x14ac:dyDescent="0.2">
      <c r="B62" s="375" t="s">
        <v>267</v>
      </c>
      <c r="D62" s="3" t="s">
        <v>293</v>
      </c>
    </row>
    <row r="63" spans="2:60" x14ac:dyDescent="0.2">
      <c r="B63" s="376" t="s">
        <v>268</v>
      </c>
      <c r="D63" s="3" t="s">
        <v>294</v>
      </c>
    </row>
    <row r="64" spans="2:60" x14ac:dyDescent="0.2">
      <c r="B64" s="17" t="s">
        <v>247</v>
      </c>
      <c r="D64" s="3" t="s">
        <v>262</v>
      </c>
    </row>
    <row r="65" spans="2:8" x14ac:dyDescent="0.2">
      <c r="B65" s="336" t="s">
        <v>212</v>
      </c>
      <c r="D65" s="327" t="s">
        <v>215</v>
      </c>
      <c r="E65" s="327"/>
      <c r="F65" s="327"/>
      <c r="G65" s="327"/>
      <c r="H65" s="327"/>
    </row>
    <row r="66" spans="2:8" x14ac:dyDescent="0.2">
      <c r="C66" s="3"/>
    </row>
    <row r="68" spans="2:8" x14ac:dyDescent="0.2">
      <c r="B68" s="3" t="s">
        <v>295</v>
      </c>
    </row>
    <row r="69" spans="2:8" ht="48" x14ac:dyDescent="0.2">
      <c r="B69" s="387" t="s">
        <v>296</v>
      </c>
    </row>
  </sheetData>
  <mergeCells count="4">
    <mergeCell ref="BE3:BF4"/>
    <mergeCell ref="BG3:BH4"/>
    <mergeCell ref="G4:H4"/>
    <mergeCell ref="AX3:BD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5D6A-7E78-8B4F-9280-A18E1C86E927}">
  <dimension ref="B1:P53"/>
  <sheetViews>
    <sheetView showGridLines="0" zoomScale="70" zoomScaleNormal="82" workbookViewId="0">
      <selection activeCell="C3" sqref="C3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6" width="10.83203125" style="1" customWidth="1"/>
    <col min="7" max="16384" width="10.83203125" style="1"/>
  </cols>
  <sheetData>
    <row r="1" spans="2:16" ht="21" customHeight="1" thickBot="1" x14ac:dyDescent="0.25">
      <c r="B1" s="332" t="s">
        <v>272</v>
      </c>
      <c r="C1" s="354"/>
      <c r="D1" s="354"/>
    </row>
    <row r="2" spans="2:16" x14ac:dyDescent="0.2">
      <c r="B2" s="230" t="s">
        <v>250</v>
      </c>
      <c r="C2" s="58">
        <f>Month!I5-2</f>
        <v>46117</v>
      </c>
      <c r="D2" s="290">
        <f>Month!I5-1</f>
        <v>46118</v>
      </c>
      <c r="E2" s="66" t="s">
        <v>171</v>
      </c>
      <c r="F2" s="66" t="s">
        <v>172</v>
      </c>
      <c r="G2" s="5"/>
      <c r="H2" s="5"/>
      <c r="I2" s="5"/>
      <c r="J2" s="5"/>
      <c r="K2" s="5"/>
      <c r="L2" s="5"/>
      <c r="M2" s="5"/>
      <c r="N2" s="5"/>
      <c r="O2" s="5"/>
      <c r="P2" s="5"/>
    </row>
    <row r="3" spans="2:16" x14ac:dyDescent="0.2">
      <c r="B3" s="377"/>
      <c r="C3" s="2"/>
      <c r="D3" s="378"/>
      <c r="E3" s="2"/>
      <c r="F3" s="2"/>
    </row>
    <row r="4" spans="2:16" x14ac:dyDescent="0.2">
      <c r="B4" s="377"/>
      <c r="C4" s="2"/>
      <c r="D4" s="378"/>
      <c r="E4" s="2"/>
      <c r="F4" s="2"/>
    </row>
    <row r="5" spans="2:16" x14ac:dyDescent="0.2">
      <c r="B5" s="377"/>
      <c r="C5" s="2"/>
      <c r="D5" s="378"/>
      <c r="E5" s="2"/>
      <c r="F5" s="2"/>
    </row>
    <row r="6" spans="2:16" x14ac:dyDescent="0.2">
      <c r="B6" s="377"/>
      <c r="C6" s="2"/>
      <c r="D6" s="378"/>
      <c r="E6" s="2"/>
      <c r="F6" s="2"/>
    </row>
    <row r="7" spans="2:16" x14ac:dyDescent="0.2">
      <c r="B7" s="377"/>
      <c r="C7" s="2"/>
      <c r="D7" s="378"/>
      <c r="E7" s="2"/>
      <c r="F7" s="2"/>
    </row>
    <row r="8" spans="2:16" x14ac:dyDescent="0.2">
      <c r="B8" s="377"/>
      <c r="C8" s="2"/>
      <c r="D8" s="378"/>
      <c r="E8" s="2"/>
      <c r="F8" s="2"/>
    </row>
    <row r="9" spans="2:16" x14ac:dyDescent="0.2">
      <c r="B9" s="377"/>
      <c r="C9" s="2"/>
      <c r="D9" s="378"/>
      <c r="E9" s="2"/>
      <c r="F9" s="2"/>
    </row>
    <row r="10" spans="2:16" x14ac:dyDescent="0.2">
      <c r="B10" s="377"/>
      <c r="C10" s="2"/>
      <c r="D10" s="378"/>
      <c r="E10" s="2"/>
      <c r="F10" s="2"/>
    </row>
    <row r="11" spans="2:16" x14ac:dyDescent="0.2">
      <c r="B11" s="377"/>
      <c r="C11" s="2"/>
      <c r="D11" s="378"/>
      <c r="E11" s="2"/>
      <c r="F11" s="2"/>
    </row>
    <row r="12" spans="2:16" x14ac:dyDescent="0.2">
      <c r="B12" s="377"/>
      <c r="C12" s="2"/>
      <c r="D12" s="378"/>
      <c r="E12" s="2"/>
      <c r="F12" s="2"/>
    </row>
    <row r="13" spans="2:16" x14ac:dyDescent="0.2">
      <c r="B13" s="377"/>
      <c r="C13" s="2"/>
      <c r="D13" s="378"/>
      <c r="E13" s="2"/>
      <c r="F13" s="2"/>
    </row>
    <row r="14" spans="2:16" x14ac:dyDescent="0.2">
      <c r="B14" s="377"/>
      <c r="C14" s="2"/>
      <c r="D14" s="378"/>
      <c r="E14" s="2"/>
      <c r="F14" s="2"/>
    </row>
    <row r="15" spans="2:16" x14ac:dyDescent="0.2">
      <c r="B15" s="377"/>
      <c r="C15" s="2"/>
      <c r="D15" s="378"/>
      <c r="E15" s="2"/>
      <c r="F15" s="2"/>
    </row>
    <row r="16" spans="2:16" x14ac:dyDescent="0.2">
      <c r="B16" s="377"/>
      <c r="C16" s="2"/>
      <c r="D16" s="378"/>
      <c r="E16" s="2"/>
      <c r="F16" s="2"/>
    </row>
    <row r="17" spans="2:6" x14ac:dyDescent="0.2">
      <c r="B17" s="377"/>
      <c r="C17" s="2"/>
      <c r="D17" s="378"/>
      <c r="E17" s="2"/>
      <c r="F17" s="2"/>
    </row>
    <row r="18" spans="2:6" x14ac:dyDescent="0.2">
      <c r="B18" s="377"/>
      <c r="C18" s="2"/>
      <c r="D18" s="378"/>
      <c r="E18" s="2"/>
      <c r="F18" s="2"/>
    </row>
    <row r="19" spans="2:6" x14ac:dyDescent="0.2">
      <c r="B19" s="377"/>
      <c r="C19" s="2"/>
      <c r="D19" s="378"/>
      <c r="E19" s="2"/>
      <c r="F19" s="2"/>
    </row>
    <row r="20" spans="2:6" x14ac:dyDescent="0.2">
      <c r="B20" s="377"/>
      <c r="C20" s="2"/>
      <c r="D20" s="378"/>
      <c r="E20" s="2"/>
      <c r="F20" s="2"/>
    </row>
    <row r="21" spans="2:6" x14ac:dyDescent="0.2">
      <c r="B21" s="377"/>
      <c r="C21" s="2"/>
      <c r="D21" s="378"/>
      <c r="E21" s="2"/>
      <c r="F21" s="2"/>
    </row>
    <row r="22" spans="2:6" x14ac:dyDescent="0.2">
      <c r="B22" s="377"/>
      <c r="C22" s="2"/>
      <c r="D22" s="378"/>
      <c r="E22" s="2"/>
      <c r="F22" s="2"/>
    </row>
    <row r="23" spans="2:6" x14ac:dyDescent="0.2">
      <c r="B23" s="377"/>
      <c r="C23" s="2"/>
      <c r="D23" s="378"/>
      <c r="E23" s="2"/>
      <c r="F23" s="2"/>
    </row>
    <row r="24" spans="2:6" x14ac:dyDescent="0.2">
      <c r="B24" s="377"/>
      <c r="C24" s="2"/>
      <c r="D24" s="378"/>
      <c r="E24" s="2"/>
      <c r="F24" s="2"/>
    </row>
    <row r="25" spans="2:6" x14ac:dyDescent="0.2">
      <c r="B25" s="377"/>
      <c r="C25" s="2"/>
      <c r="D25" s="378"/>
      <c r="E25" s="2"/>
      <c r="F25" s="2"/>
    </row>
    <row r="26" spans="2:6" x14ac:dyDescent="0.2">
      <c r="B26" s="377"/>
      <c r="C26" s="2"/>
      <c r="D26" s="378"/>
      <c r="E26" s="2"/>
      <c r="F26" s="2"/>
    </row>
    <row r="27" spans="2:6" x14ac:dyDescent="0.2">
      <c r="B27" s="377"/>
      <c r="C27" s="2"/>
      <c r="D27" s="378"/>
      <c r="E27" s="2"/>
      <c r="F27" s="2"/>
    </row>
    <row r="28" spans="2:6" x14ac:dyDescent="0.2">
      <c r="B28" s="377"/>
      <c r="C28" s="2"/>
      <c r="D28" s="378"/>
      <c r="E28" s="2"/>
      <c r="F28" s="2"/>
    </row>
    <row r="29" spans="2:6" x14ac:dyDescent="0.2">
      <c r="B29" s="377"/>
      <c r="C29" s="2"/>
      <c r="D29" s="378"/>
      <c r="E29" s="2"/>
      <c r="F29" s="2"/>
    </row>
    <row r="30" spans="2:6" x14ac:dyDescent="0.2">
      <c r="B30" s="377"/>
      <c r="C30" s="2"/>
      <c r="D30" s="378"/>
      <c r="E30" s="2"/>
      <c r="F30" s="2"/>
    </row>
    <row r="31" spans="2:6" x14ac:dyDescent="0.2">
      <c r="B31" s="377"/>
      <c r="C31" s="2"/>
      <c r="D31" s="378"/>
      <c r="E31" s="2"/>
      <c r="F31" s="2"/>
    </row>
    <row r="32" spans="2:6" x14ac:dyDescent="0.2">
      <c r="B32" s="377"/>
      <c r="C32" s="2"/>
      <c r="D32" s="378"/>
      <c r="E32" s="2"/>
      <c r="F32" s="2"/>
    </row>
    <row r="33" spans="2:6" x14ac:dyDescent="0.2">
      <c r="B33" s="377"/>
      <c r="C33" s="2"/>
      <c r="D33" s="378"/>
      <c r="E33" s="2"/>
      <c r="F33" s="2"/>
    </row>
    <row r="34" spans="2:6" x14ac:dyDescent="0.2">
      <c r="B34" s="377"/>
      <c r="C34" s="2"/>
      <c r="D34" s="378"/>
      <c r="E34" s="2"/>
      <c r="F34" s="2"/>
    </row>
    <row r="35" spans="2:6" x14ac:dyDescent="0.2">
      <c r="B35" s="377"/>
      <c r="C35" s="2"/>
      <c r="D35" s="378"/>
      <c r="E35" s="2"/>
      <c r="F35" s="2"/>
    </row>
    <row r="36" spans="2:6" x14ac:dyDescent="0.2">
      <c r="B36" s="377"/>
      <c r="C36" s="2"/>
      <c r="D36" s="378"/>
      <c r="E36" s="2"/>
      <c r="F36" s="2"/>
    </row>
    <row r="37" spans="2:6" x14ac:dyDescent="0.2">
      <c r="B37" s="377"/>
      <c r="C37" s="2"/>
      <c r="D37" s="378"/>
      <c r="E37" s="2"/>
      <c r="F37" s="2"/>
    </row>
    <row r="38" spans="2:6" x14ac:dyDescent="0.2">
      <c r="B38" s="377"/>
      <c r="C38" s="2"/>
      <c r="D38" s="378"/>
      <c r="E38" s="2"/>
      <c r="F38" s="2"/>
    </row>
    <row r="39" spans="2:6" x14ac:dyDescent="0.2">
      <c r="B39" s="377"/>
      <c r="C39" s="2"/>
      <c r="D39" s="378"/>
      <c r="E39" s="2"/>
      <c r="F39" s="2"/>
    </row>
    <row r="40" spans="2:6" x14ac:dyDescent="0.2">
      <c r="B40" s="377"/>
      <c r="C40" s="2"/>
      <c r="D40" s="378"/>
      <c r="E40" s="2"/>
      <c r="F40" s="2"/>
    </row>
    <row r="41" spans="2:6" x14ac:dyDescent="0.2">
      <c r="B41" s="377"/>
      <c r="C41" s="2"/>
      <c r="D41" s="378"/>
      <c r="E41" s="2"/>
      <c r="F41" s="2"/>
    </row>
    <row r="42" spans="2:6" x14ac:dyDescent="0.2">
      <c r="B42" s="377"/>
      <c r="C42" s="2"/>
      <c r="D42" s="378"/>
      <c r="E42" s="2"/>
      <c r="F42" s="2"/>
    </row>
    <row r="43" spans="2:6" x14ac:dyDescent="0.2">
      <c r="B43" s="377"/>
      <c r="C43" s="2"/>
      <c r="D43" s="378"/>
      <c r="E43" s="2"/>
      <c r="F43" s="2"/>
    </row>
    <row r="44" spans="2:6" x14ac:dyDescent="0.2">
      <c r="B44" s="377"/>
      <c r="C44" s="2"/>
      <c r="D44" s="378"/>
      <c r="E44" s="2"/>
      <c r="F44" s="2"/>
    </row>
    <row r="45" spans="2:6" x14ac:dyDescent="0.2">
      <c r="B45" s="377"/>
      <c r="C45" s="2"/>
      <c r="D45" s="378"/>
      <c r="E45" s="2"/>
      <c r="F45" s="2"/>
    </row>
    <row r="46" spans="2:6" x14ac:dyDescent="0.2">
      <c r="B46" s="377"/>
      <c r="C46" s="2"/>
      <c r="D46" s="378"/>
      <c r="E46" s="2"/>
      <c r="F46" s="2"/>
    </row>
    <row r="47" spans="2:6" x14ac:dyDescent="0.2">
      <c r="B47" s="377"/>
      <c r="C47" s="2"/>
      <c r="D47" s="378"/>
      <c r="E47" s="2"/>
      <c r="F47" s="2"/>
    </row>
    <row r="48" spans="2:6" x14ac:dyDescent="0.2">
      <c r="B48" s="377"/>
      <c r="C48" s="2"/>
      <c r="D48" s="378"/>
      <c r="E48" s="2"/>
      <c r="F48" s="2"/>
    </row>
    <row r="49" spans="2:6" x14ac:dyDescent="0.2">
      <c r="B49" s="377"/>
      <c r="C49" s="2"/>
      <c r="D49" s="378"/>
      <c r="E49" s="2"/>
      <c r="F49" s="2"/>
    </row>
    <row r="50" spans="2:6" x14ac:dyDescent="0.2">
      <c r="B50" s="377"/>
      <c r="C50" s="2"/>
      <c r="D50" s="378"/>
      <c r="E50" s="2"/>
      <c r="F50" s="2"/>
    </row>
    <row r="51" spans="2:6" x14ac:dyDescent="0.2">
      <c r="B51" s="377"/>
      <c r="C51" s="2"/>
      <c r="D51" s="378"/>
      <c r="E51" s="2"/>
      <c r="F51" s="2"/>
    </row>
    <row r="52" spans="2:6" x14ac:dyDescent="0.2">
      <c r="B52" s="377"/>
      <c r="C52" s="2"/>
      <c r="D52" s="378"/>
      <c r="E52" s="2"/>
      <c r="F52" s="2"/>
    </row>
    <row r="53" spans="2:6" ht="16" customHeight="1" thickBot="1" x14ac:dyDescent="0.25">
      <c r="B53" s="379"/>
      <c r="C53" s="380"/>
      <c r="D53" s="381"/>
      <c r="E53" s="380"/>
      <c r="F53" s="380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J43"/>
  <sheetViews>
    <sheetView showGridLines="0" zoomScale="57" zoomScaleNormal="76" workbookViewId="0">
      <selection activeCell="D16" sqref="D16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8" width="18.6640625" customWidth="1"/>
    <col min="9" max="9" width="27.1640625" bestFit="1" customWidth="1"/>
    <col min="10" max="10" width="49.1640625" bestFit="1" customWidth="1"/>
  </cols>
  <sheetData>
    <row r="1" spans="1:10" ht="20" customHeight="1" thickBot="1" x14ac:dyDescent="0.25">
      <c r="A1" s="396" t="s">
        <v>264</v>
      </c>
      <c r="B1" s="397"/>
      <c r="C1" s="402" t="s">
        <v>270</v>
      </c>
      <c r="D1" s="403"/>
      <c r="E1" s="403"/>
      <c r="F1" s="403"/>
      <c r="G1" s="403"/>
      <c r="H1" s="403"/>
      <c r="I1" s="367"/>
      <c r="J1" s="367"/>
    </row>
    <row r="2" spans="1:10" ht="15" customHeight="1" x14ac:dyDescent="0.2">
      <c r="A2" s="398"/>
      <c r="B2" s="399"/>
      <c r="C2" s="365" t="s">
        <v>278</v>
      </c>
      <c r="D2" s="366" t="s">
        <v>279</v>
      </c>
      <c r="E2" s="366" t="s">
        <v>280</v>
      </c>
      <c r="F2" s="366" t="s">
        <v>266</v>
      </c>
      <c r="G2" s="366" t="s">
        <v>20</v>
      </c>
      <c r="H2" s="366" t="s">
        <v>21</v>
      </c>
      <c r="I2" s="367"/>
      <c r="J2" s="367"/>
    </row>
    <row r="3" spans="1:10" s="1" customFormat="1" ht="15" customHeight="1" thickBot="1" x14ac:dyDescent="0.25">
      <c r="A3" s="400"/>
      <c r="B3" s="401"/>
      <c r="C3" s="368"/>
      <c r="D3" s="369"/>
      <c r="E3" s="369"/>
      <c r="F3" s="369"/>
      <c r="G3" s="369" t="s">
        <v>271</v>
      </c>
      <c r="H3" s="369" t="s">
        <v>271</v>
      </c>
    </row>
    <row r="4" spans="1:10" s="1" customFormat="1" ht="20" customHeight="1" thickBot="1" x14ac:dyDescent="0.25">
      <c r="A4" s="370">
        <f>Month!I5</f>
        <v>46119</v>
      </c>
      <c r="B4" s="371" t="str">
        <f>TEXT(WEEKDAY(A4), "dddd")</f>
        <v>Tuesday</v>
      </c>
      <c r="C4" s="372" t="str">
        <f>IFERROR(INDEX(Month!$B$6:$B$49,MATCH(C$2,INDEX(Month!$I$6:$AV$49,0,MATCH($A4,Month!$I$5:$AV$5,0)),0)),"")</f>
        <v/>
      </c>
      <c r="D4" s="372" t="str">
        <f>IFERROR(INDEX(Month!$B$6:$B$49,MATCH(D$2,INDEX(Month!$I$6:$AV$49,0,MATCH($A4,Month!$I$5:$AV$5,0)),0)),"")</f>
        <v/>
      </c>
      <c r="E4" s="372" t="str">
        <f>IFERROR(INDEX(Month!$B$6:$B$49,MATCH(E$2,INDEX(Month!$I$6:$AV$49,0,MATCH($A4,Month!$I$5:$AV$5,0)),0)),"")</f>
        <v/>
      </c>
      <c r="F4" s="372" t="str">
        <f>IFERROR(INDEX(Month!$B$6:$B$49,MATCH(F$2,INDEX(Month!$I$6:$AV$49,0,MATCH($A4,Month!$I$5:$AV$5,0)),0)),"")</f>
        <v/>
      </c>
      <c r="G4" s="372" t="str">
        <f>IFERROR(INDEX(Month!$B$6:$B$49,MATCH(G$2,INDEX(Month!$I$6:$AV$49,0,MATCH($A4,Month!$I$5:$AV$5,0)),0)),"")</f>
        <v/>
      </c>
      <c r="H4" s="372" t="str">
        <f>IFERROR(INDEX(Month!$B$6:$B$49,MATCH(H$2,INDEX(Month!$I$6:$AV$49,0,MATCH($A4,Month!$I$5:$AV$5,0)),0)),"")</f>
        <v/>
      </c>
    </row>
    <row r="5" spans="1:10" ht="20" customHeight="1" thickBot="1" x14ac:dyDescent="0.25">
      <c r="A5" s="373">
        <f>A4+1</f>
        <v>46120</v>
      </c>
      <c r="B5" s="371" t="str">
        <f t="shared" ref="B5:B38" si="0">TEXT(WEEKDAY(A5), "dddd")</f>
        <v>Wednesday</v>
      </c>
      <c r="C5" s="372" t="str">
        <f>IFERROR(INDEX(Month!$B$6:$B$49,MATCH(C$2,INDEX(Month!$I$6:$AV$49,0,MATCH($A5,Month!$I$5:$AV$5,0)),0)),"")</f>
        <v/>
      </c>
      <c r="D5" s="372" t="str">
        <f>IFERROR(INDEX(Month!$B$6:$B$49,MATCH(D$2,INDEX(Month!$I$6:$AV$49,0,MATCH($A5,Month!$I$5:$AV$5,0)),0)),"")</f>
        <v/>
      </c>
      <c r="E5" s="372" t="str">
        <f>IFERROR(INDEX(Month!$B$6:$B$49,MATCH(E$2,INDEX(Month!$I$6:$AV$49,0,MATCH($A5,Month!$I$5:$AV$5,0)),0)),"")</f>
        <v/>
      </c>
      <c r="F5" s="372" t="str">
        <f>IFERROR(INDEX(Month!$B$6:$B$49,MATCH(F$2,INDEX(Month!$I$6:$AV$49,0,MATCH($A5,Month!$I$5:$AV$5,0)),0)),"")</f>
        <v/>
      </c>
      <c r="G5" s="372" t="str">
        <f>IFERROR(INDEX(Month!$B$6:$B$49,MATCH(G$2,INDEX(Month!$I$6:$AV$49,0,MATCH($A5,Month!$I$5:$AV$5,0)),0)),"")</f>
        <v/>
      </c>
      <c r="H5" s="372" t="str">
        <f>IFERROR(INDEX(Month!$B$6:$B$49,MATCH(H$2,INDEX(Month!$I$6:$AV$49,0,MATCH($A5,Month!$I$5:$AV$5,0)),0)),"")</f>
        <v/>
      </c>
    </row>
    <row r="6" spans="1:10" ht="20" customHeight="1" thickBot="1" x14ac:dyDescent="0.25">
      <c r="A6" s="373">
        <f t="shared" ref="A6:A43" si="1">A5+1</f>
        <v>46121</v>
      </c>
      <c r="B6" s="371" t="str">
        <f t="shared" si="0"/>
        <v>Thursday</v>
      </c>
      <c r="C6" s="372" t="str">
        <f>IFERROR(INDEX(Month!$B$6:$B$49,MATCH(C$2,INDEX(Month!$I$6:$AV$49,0,MATCH($A6,Month!$I$5:$AV$5,0)),0)),"")</f>
        <v/>
      </c>
      <c r="D6" s="372" t="str">
        <f>IFERROR(INDEX(Month!$B$6:$B$49,MATCH(D$2,INDEX(Month!$I$6:$AV$49,0,MATCH($A6,Month!$I$5:$AV$5,0)),0)),"")</f>
        <v/>
      </c>
      <c r="E6" s="372" t="str">
        <f>IFERROR(INDEX(Month!$B$6:$B$49,MATCH(E$2,INDEX(Month!$I$6:$AV$49,0,MATCH($A6,Month!$I$5:$AV$5,0)),0)),"")</f>
        <v/>
      </c>
      <c r="F6" s="372" t="str">
        <f>IFERROR(INDEX(Month!$B$6:$B$49,MATCH(F$2,INDEX(Month!$I$6:$AV$49,0,MATCH($A6,Month!$I$5:$AV$5,0)),0)),"")</f>
        <v/>
      </c>
      <c r="G6" s="372" t="str">
        <f>IFERROR(INDEX(Month!$B$6:$B$49,MATCH(G$2,INDEX(Month!$I$6:$AV$49,0,MATCH($A6,Month!$I$5:$AV$5,0)),0)),"")</f>
        <v/>
      </c>
      <c r="H6" s="372" t="str">
        <f>IFERROR(INDEX(Month!$B$6:$B$49,MATCH(H$2,INDEX(Month!$I$6:$AV$49,0,MATCH($A6,Month!$I$5:$AV$5,0)),0)),"")</f>
        <v/>
      </c>
    </row>
    <row r="7" spans="1:10" ht="20" customHeight="1" thickBot="1" x14ac:dyDescent="0.25">
      <c r="A7" s="373">
        <f t="shared" si="1"/>
        <v>46122</v>
      </c>
      <c r="B7" s="371" t="str">
        <f t="shared" si="0"/>
        <v>Friday</v>
      </c>
      <c r="C7" s="372" t="str">
        <f>IFERROR(INDEX(Month!$B$6:$B$49,MATCH(C$2,INDEX(Month!$I$6:$AV$49,0,MATCH($A7,Month!$I$5:$AV$5,0)),0)),"")</f>
        <v/>
      </c>
      <c r="D7" s="372" t="str">
        <f>IFERROR(INDEX(Month!$B$6:$B$49,MATCH(D$2,INDEX(Month!$I$6:$AV$49,0,MATCH($A7,Month!$I$5:$AV$5,0)),0)),"")</f>
        <v/>
      </c>
      <c r="E7" s="372" t="str">
        <f>IFERROR(INDEX(Month!$B$6:$B$49,MATCH(E$2,INDEX(Month!$I$6:$AV$49,0,MATCH($A7,Month!$I$5:$AV$5,0)),0)),"")</f>
        <v/>
      </c>
      <c r="F7" s="372" t="str">
        <f>IFERROR(INDEX(Month!$B$6:$B$49,MATCH(F$2,INDEX(Month!$I$6:$AV$49,0,MATCH($A7,Month!$I$5:$AV$5,0)),0)),"")</f>
        <v/>
      </c>
      <c r="G7" s="372" t="str">
        <f>IFERROR(INDEX(Month!$B$6:$B$49,MATCH(G$2,INDEX(Month!$I$6:$AV$49,0,MATCH($A7,Month!$I$5:$AV$5,0)),0)),"")</f>
        <v/>
      </c>
      <c r="H7" s="372" t="str">
        <f>IFERROR(INDEX(Month!$B$6:$B$49,MATCH(H$2,INDEX(Month!$I$6:$AV$49,0,MATCH($A7,Month!$I$5:$AV$5,0)),0)),"")</f>
        <v/>
      </c>
    </row>
    <row r="8" spans="1:10" ht="20" customHeight="1" thickBot="1" x14ac:dyDescent="0.25">
      <c r="A8" s="373">
        <f t="shared" si="1"/>
        <v>46123</v>
      </c>
      <c r="B8" s="371" t="str">
        <f t="shared" si="0"/>
        <v>Saturday</v>
      </c>
      <c r="C8" s="372" t="str">
        <f>IFERROR(INDEX(Month!$B$6:$B$49,MATCH(C$2,INDEX(Month!$I$6:$AV$49,0,MATCH($A8,Month!$I$5:$AV$5,0)),0)),"")</f>
        <v/>
      </c>
      <c r="D8" s="372" t="str">
        <f>IFERROR(INDEX(Month!$B$6:$B$49,MATCH(D$2,INDEX(Month!$I$6:$AV$49,0,MATCH($A8,Month!$I$5:$AV$5,0)),0)),"")</f>
        <v/>
      </c>
      <c r="E8" s="372" t="str">
        <f>IFERROR(INDEX(Month!$B$6:$B$49,MATCH(E$2,INDEX(Month!$I$6:$AV$49,0,MATCH($A8,Month!$I$5:$AV$5,0)),0)),"")</f>
        <v/>
      </c>
      <c r="F8" s="372" t="str">
        <f>IFERROR(INDEX(Month!$B$6:$B$49,MATCH(F$2,INDEX(Month!$I$6:$AV$49,0,MATCH($A8,Month!$I$5:$AV$5,0)),0)),"")</f>
        <v/>
      </c>
      <c r="G8" s="372" t="str">
        <f>IFERROR(INDEX(Month!$B$6:$B$49,MATCH(G$2,INDEX(Month!$I$6:$AV$49,0,MATCH($A8,Month!$I$5:$AV$5,0)),0)),"")</f>
        <v/>
      </c>
      <c r="H8" s="372" t="str">
        <f>IFERROR(INDEX(Month!$B$6:$B$49,MATCH(H$2,INDEX(Month!$I$6:$AV$49,0,MATCH($A8,Month!$I$5:$AV$5,0)),0)),"")</f>
        <v/>
      </c>
    </row>
    <row r="9" spans="1:10" ht="20" customHeight="1" thickBot="1" x14ac:dyDescent="0.25">
      <c r="A9" s="373">
        <f t="shared" si="1"/>
        <v>46124</v>
      </c>
      <c r="B9" s="371" t="str">
        <f t="shared" si="0"/>
        <v>Sunday</v>
      </c>
      <c r="C9" s="372" t="str">
        <f>IFERROR(INDEX(Month!$B$6:$B$49,MATCH(C$2,INDEX(Month!$I$6:$AV$49,0,MATCH($A9,Month!$I$5:$AV$5,0)),0)),"")</f>
        <v/>
      </c>
      <c r="D9" s="372" t="str">
        <f>IFERROR(INDEX(Month!$B$6:$B$49,MATCH(D$2,INDEX(Month!$I$6:$AV$49,0,MATCH($A9,Month!$I$5:$AV$5,0)),0)),"")</f>
        <v/>
      </c>
      <c r="E9" s="372" t="str">
        <f>IFERROR(INDEX(Month!$B$6:$B$49,MATCH(E$2,INDEX(Month!$I$6:$AV$49,0,MATCH($A9,Month!$I$5:$AV$5,0)),0)),"")</f>
        <v/>
      </c>
      <c r="F9" s="372" t="str">
        <f>IFERROR(INDEX(Month!$B$6:$B$49,MATCH(F$2,INDEX(Month!$I$6:$AV$49,0,MATCH($A9,Month!$I$5:$AV$5,0)),0)),"")</f>
        <v/>
      </c>
      <c r="G9" s="372" t="str">
        <f>IFERROR(INDEX(Month!$B$6:$B$49,MATCH(G$2,INDEX(Month!$I$6:$AV$49,0,MATCH($A9,Month!$I$5:$AV$5,0)),0)),"")</f>
        <v/>
      </c>
      <c r="H9" s="372" t="str">
        <f>IFERROR(INDEX(Month!$B$6:$B$49,MATCH(H$2,INDEX(Month!$I$6:$AV$49,0,MATCH($A9,Month!$I$5:$AV$5,0)),0)),"")</f>
        <v/>
      </c>
    </row>
    <row r="10" spans="1:10" ht="20" customHeight="1" thickBot="1" x14ac:dyDescent="0.25">
      <c r="A10" s="373">
        <f t="shared" si="1"/>
        <v>46125</v>
      </c>
      <c r="B10" s="371" t="str">
        <f t="shared" si="0"/>
        <v>Monday</v>
      </c>
      <c r="C10" s="372" t="str">
        <f>IFERROR(INDEX(Month!$B$6:$B$49,MATCH(C$2,INDEX(Month!$I$6:$AV$49,0,MATCH($A10,Month!$I$5:$AV$5,0)),0)),"")</f>
        <v/>
      </c>
      <c r="D10" s="372" t="str">
        <f>IFERROR(INDEX(Month!$B$6:$B$49,MATCH(D$2,INDEX(Month!$I$6:$AV$49,0,MATCH($A10,Month!$I$5:$AV$5,0)),0)),"")</f>
        <v/>
      </c>
      <c r="E10" s="372" t="str">
        <f>IFERROR(INDEX(Month!$B$6:$B$49,MATCH(E$2,INDEX(Month!$I$6:$AV$49,0,MATCH($A10,Month!$I$5:$AV$5,0)),0)),"")</f>
        <v/>
      </c>
      <c r="F10" s="372" t="str">
        <f>IFERROR(INDEX(Month!$B$6:$B$49,MATCH(F$2,INDEX(Month!$I$6:$AV$49,0,MATCH($A10,Month!$I$5:$AV$5,0)),0)),"")</f>
        <v/>
      </c>
      <c r="G10" s="372" t="str">
        <f>IFERROR(INDEX(Month!$B$6:$B$49,MATCH(G$2,INDEX(Month!$I$6:$AV$49,0,MATCH($A10,Month!$I$5:$AV$5,0)),0)),"")</f>
        <v/>
      </c>
      <c r="H10" s="372" t="str">
        <f>IFERROR(INDEX(Month!$B$6:$B$49,MATCH(H$2,INDEX(Month!$I$6:$AV$49,0,MATCH($A10,Month!$I$5:$AV$5,0)),0)),"")</f>
        <v/>
      </c>
    </row>
    <row r="11" spans="1:10" ht="20" customHeight="1" thickBot="1" x14ac:dyDescent="0.25">
      <c r="A11" s="373">
        <f t="shared" si="1"/>
        <v>46126</v>
      </c>
      <c r="B11" s="371" t="str">
        <f t="shared" si="0"/>
        <v>Tuesday</v>
      </c>
      <c r="C11" s="372" t="str">
        <f>IFERROR(INDEX(Month!$B$6:$B$49,MATCH(C$2,INDEX(Month!$I$6:$AV$49,0,MATCH($A11,Month!$I$5:$AV$5,0)),0)),"")</f>
        <v/>
      </c>
      <c r="D11" s="372" t="str">
        <f>IFERROR(INDEX(Month!$B$6:$B$49,MATCH(D$2,INDEX(Month!$I$6:$AV$49,0,MATCH($A11,Month!$I$5:$AV$5,0)),0)),"")</f>
        <v/>
      </c>
      <c r="E11" s="372" t="str">
        <f>IFERROR(INDEX(Month!$B$6:$B$49,MATCH(E$2,INDEX(Month!$I$6:$AV$49,0,MATCH($A11,Month!$I$5:$AV$5,0)),0)),"")</f>
        <v/>
      </c>
      <c r="F11" s="372" t="str">
        <f>IFERROR(INDEX(Month!$B$6:$B$49,MATCH(F$2,INDEX(Month!$I$6:$AV$49,0,MATCH($A11,Month!$I$5:$AV$5,0)),0)),"")</f>
        <v/>
      </c>
      <c r="G11" s="372" t="str">
        <f>IFERROR(INDEX(Month!$B$6:$B$49,MATCH(G$2,INDEX(Month!$I$6:$AV$49,0,MATCH($A11,Month!$I$5:$AV$5,0)),0)),"")</f>
        <v/>
      </c>
      <c r="H11" s="372" t="str">
        <f>IFERROR(INDEX(Month!$B$6:$B$49,MATCH(H$2,INDEX(Month!$I$6:$AV$49,0,MATCH($A11,Month!$I$5:$AV$5,0)),0)),"")</f>
        <v/>
      </c>
    </row>
    <row r="12" spans="1:10" ht="20" customHeight="1" thickBot="1" x14ac:dyDescent="0.25">
      <c r="A12" s="373">
        <f t="shared" si="1"/>
        <v>46127</v>
      </c>
      <c r="B12" s="371" t="str">
        <f t="shared" si="0"/>
        <v>Wednesday</v>
      </c>
      <c r="C12" s="372" t="str">
        <f>IFERROR(INDEX(Month!$B$6:$B$49,MATCH(C$2,INDEX(Month!$I$6:$AV$49,0,MATCH($A12,Month!$I$5:$AV$5,0)),0)),"")</f>
        <v/>
      </c>
      <c r="D12" s="372" t="str">
        <f>IFERROR(INDEX(Month!$B$6:$B$49,MATCH(D$2,INDEX(Month!$I$6:$AV$49,0,MATCH($A12,Month!$I$5:$AV$5,0)),0)),"")</f>
        <v/>
      </c>
      <c r="E12" s="372" t="str">
        <f>IFERROR(INDEX(Month!$B$6:$B$49,MATCH(E$2,INDEX(Month!$I$6:$AV$49,0,MATCH($A12,Month!$I$5:$AV$5,0)),0)),"")</f>
        <v/>
      </c>
      <c r="F12" s="372" t="str">
        <f>IFERROR(INDEX(Month!$B$6:$B$49,MATCH(F$2,INDEX(Month!$I$6:$AV$49,0,MATCH($A12,Month!$I$5:$AV$5,0)),0)),"")</f>
        <v/>
      </c>
      <c r="G12" s="372" t="str">
        <f>IFERROR(INDEX(Month!$B$6:$B$49,MATCH(G$2,INDEX(Month!$I$6:$AV$49,0,MATCH($A12,Month!$I$5:$AV$5,0)),0)),"")</f>
        <v/>
      </c>
      <c r="H12" s="372" t="str">
        <f>IFERROR(INDEX(Month!$B$6:$B$49,MATCH(H$2,INDEX(Month!$I$6:$AV$49,0,MATCH($A12,Month!$I$5:$AV$5,0)),0)),"")</f>
        <v/>
      </c>
    </row>
    <row r="13" spans="1:10" ht="20" customHeight="1" thickBot="1" x14ac:dyDescent="0.25">
      <c r="A13" s="373">
        <f t="shared" si="1"/>
        <v>46128</v>
      </c>
      <c r="B13" s="371" t="str">
        <f t="shared" si="0"/>
        <v>Thursday</v>
      </c>
      <c r="C13" s="372" t="str">
        <f>IFERROR(INDEX(Month!$B$6:$B$49,MATCH(C$2,INDEX(Month!$I$6:$AV$49,0,MATCH($A13,Month!$I$5:$AV$5,0)),0)),"")</f>
        <v/>
      </c>
      <c r="D13" s="372" t="str">
        <f>IFERROR(INDEX(Month!$B$6:$B$49,MATCH(D$2,INDEX(Month!$I$6:$AV$49,0,MATCH($A13,Month!$I$5:$AV$5,0)),0)),"")</f>
        <v/>
      </c>
      <c r="E13" s="372" t="str">
        <f>IFERROR(INDEX(Month!$B$6:$B$49,MATCH(E$2,INDEX(Month!$I$6:$AV$49,0,MATCH($A13,Month!$I$5:$AV$5,0)),0)),"")</f>
        <v/>
      </c>
      <c r="F13" s="372" t="str">
        <f>IFERROR(INDEX(Month!$B$6:$B$49,MATCH(F$2,INDEX(Month!$I$6:$AV$49,0,MATCH($A13,Month!$I$5:$AV$5,0)),0)),"")</f>
        <v/>
      </c>
      <c r="G13" s="372" t="str">
        <f>IFERROR(INDEX(Month!$B$6:$B$49,MATCH(G$2,INDEX(Month!$I$6:$AV$49,0,MATCH($A13,Month!$I$5:$AV$5,0)),0)),"")</f>
        <v/>
      </c>
      <c r="H13" s="372" t="str">
        <f>IFERROR(INDEX(Month!$B$6:$B$49,MATCH(H$2,INDEX(Month!$I$6:$AV$49,0,MATCH($A13,Month!$I$5:$AV$5,0)),0)),"")</f>
        <v/>
      </c>
    </row>
    <row r="14" spans="1:10" ht="20" customHeight="1" thickBot="1" x14ac:dyDescent="0.25">
      <c r="A14" s="373">
        <f t="shared" si="1"/>
        <v>46129</v>
      </c>
      <c r="B14" s="371" t="str">
        <f t="shared" si="0"/>
        <v>Friday</v>
      </c>
      <c r="C14" s="372" t="str">
        <f>IFERROR(INDEX(Month!$B$6:$B$49,MATCH(C$2,INDEX(Month!$I$6:$AV$49,0,MATCH($A14,Month!$I$5:$AV$5,0)),0)),"")</f>
        <v/>
      </c>
      <c r="D14" s="372" t="str">
        <f>IFERROR(INDEX(Month!$B$6:$B$49,MATCH(D$2,INDEX(Month!$I$6:$AV$49,0,MATCH($A14,Month!$I$5:$AV$5,0)),0)),"")</f>
        <v/>
      </c>
      <c r="E14" s="372" t="str">
        <f>IFERROR(INDEX(Month!$B$6:$B$49,MATCH(E$2,INDEX(Month!$I$6:$AV$49,0,MATCH($A14,Month!$I$5:$AV$5,0)),0)),"")</f>
        <v/>
      </c>
      <c r="F14" s="372" t="str">
        <f>IFERROR(INDEX(Month!$B$6:$B$49,MATCH(F$2,INDEX(Month!$I$6:$AV$49,0,MATCH($A14,Month!$I$5:$AV$5,0)),0)),"")</f>
        <v/>
      </c>
      <c r="G14" s="372" t="str">
        <f>IFERROR(INDEX(Month!$B$6:$B$49,MATCH(G$2,INDEX(Month!$I$6:$AV$49,0,MATCH($A14,Month!$I$5:$AV$5,0)),0)),"")</f>
        <v/>
      </c>
      <c r="H14" s="372" t="str">
        <f>IFERROR(INDEX(Month!$B$6:$B$49,MATCH(H$2,INDEX(Month!$I$6:$AV$49,0,MATCH($A14,Month!$I$5:$AV$5,0)),0)),"")</f>
        <v/>
      </c>
    </row>
    <row r="15" spans="1:10" ht="20" customHeight="1" thickBot="1" x14ac:dyDescent="0.25">
      <c r="A15" s="373">
        <f t="shared" si="1"/>
        <v>46130</v>
      </c>
      <c r="B15" s="371" t="str">
        <f t="shared" si="0"/>
        <v>Saturday</v>
      </c>
      <c r="C15" s="372" t="str">
        <f>IFERROR(INDEX(Month!$B$6:$B$49,MATCH(C$2,INDEX(Month!$I$6:$AV$49,0,MATCH($A15,Month!$I$5:$AV$5,0)),0)),"")</f>
        <v/>
      </c>
      <c r="D15" s="372" t="str">
        <f>IFERROR(INDEX(Month!$B$6:$B$49,MATCH(D$2,INDEX(Month!$I$6:$AV$49,0,MATCH($A15,Month!$I$5:$AV$5,0)),0)),"")</f>
        <v/>
      </c>
      <c r="E15" s="372" t="str">
        <f>IFERROR(INDEX(Month!$B$6:$B$49,MATCH(E$2,INDEX(Month!$I$6:$AV$49,0,MATCH($A15,Month!$I$5:$AV$5,0)),0)),"")</f>
        <v/>
      </c>
      <c r="F15" s="372" t="str">
        <f>IFERROR(INDEX(Month!$B$6:$B$49,MATCH(F$2,INDEX(Month!$I$6:$AV$49,0,MATCH($A15,Month!$I$5:$AV$5,0)),0)),"")</f>
        <v/>
      </c>
      <c r="G15" s="372" t="str">
        <f>IFERROR(INDEX(Month!$B$6:$B$49,MATCH(G$2,INDEX(Month!$I$6:$AV$49,0,MATCH($A15,Month!$I$5:$AV$5,0)),0)),"")</f>
        <v/>
      </c>
      <c r="H15" s="372" t="str">
        <f>IFERROR(INDEX(Month!$B$6:$B$49,MATCH(H$2,INDEX(Month!$I$6:$AV$49,0,MATCH($A15,Month!$I$5:$AV$5,0)),0)),"")</f>
        <v/>
      </c>
    </row>
    <row r="16" spans="1:10" ht="20" customHeight="1" thickBot="1" x14ac:dyDescent="0.25">
      <c r="A16" s="373">
        <f t="shared" si="1"/>
        <v>46131</v>
      </c>
      <c r="B16" s="371" t="str">
        <f t="shared" si="0"/>
        <v>Sunday</v>
      </c>
      <c r="C16" s="372" t="str">
        <f>IFERROR(INDEX(Month!$B$6:$B$49,MATCH(C$2,INDEX(Month!$I$6:$AV$49,0,MATCH($A16,Month!$I$5:$AV$5,0)),0)),"")</f>
        <v/>
      </c>
      <c r="D16" s="372" t="str">
        <f>IFERROR(INDEX(Month!$B$6:$B$49,MATCH(D$2,INDEX(Month!$I$6:$AV$49,0,MATCH($A16,Month!$I$5:$AV$5,0)),0)),"")</f>
        <v/>
      </c>
      <c r="E16" s="372" t="str">
        <f>IFERROR(INDEX(Month!$B$6:$B$49,MATCH(E$2,INDEX(Month!$I$6:$AV$49,0,MATCH($A16,Month!$I$5:$AV$5,0)),0)),"")</f>
        <v/>
      </c>
      <c r="F16" s="372" t="str">
        <f>IFERROR(INDEX(Month!$B$6:$B$49,MATCH(F$2,INDEX(Month!$I$6:$AV$49,0,MATCH($A16,Month!$I$5:$AV$5,0)),0)),"")</f>
        <v/>
      </c>
      <c r="G16" s="372" t="str">
        <f>IFERROR(INDEX(Month!$B$6:$B$49,MATCH(G$2,INDEX(Month!$I$6:$AV$49,0,MATCH($A16,Month!$I$5:$AV$5,0)),0)),"")</f>
        <v/>
      </c>
      <c r="H16" s="372" t="str">
        <f>IFERROR(INDEX(Month!$B$6:$B$49,MATCH(H$2,INDEX(Month!$I$6:$AV$49,0,MATCH($A16,Month!$I$5:$AV$5,0)),0)),"")</f>
        <v/>
      </c>
    </row>
    <row r="17" spans="1:8" ht="20" customHeight="1" thickBot="1" x14ac:dyDescent="0.25">
      <c r="A17" s="373">
        <f t="shared" si="1"/>
        <v>46132</v>
      </c>
      <c r="B17" s="371" t="str">
        <f t="shared" si="0"/>
        <v>Monday</v>
      </c>
      <c r="C17" s="372" t="str">
        <f>IFERROR(INDEX(Month!$B$6:$B$49,MATCH(C$2,INDEX(Month!$I$6:$AV$49,0,MATCH($A17,Month!$I$5:$AV$5,0)),0)),"")</f>
        <v/>
      </c>
      <c r="D17" s="372" t="str">
        <f>IFERROR(INDEX(Month!$B$6:$B$49,MATCH(D$2,INDEX(Month!$I$6:$AV$49,0,MATCH($A17,Month!$I$5:$AV$5,0)),0)),"")</f>
        <v/>
      </c>
      <c r="E17" s="372" t="str">
        <f>IFERROR(INDEX(Month!$B$6:$B$49,MATCH(E$2,INDEX(Month!$I$6:$AV$49,0,MATCH($A17,Month!$I$5:$AV$5,0)),0)),"")</f>
        <v/>
      </c>
      <c r="F17" s="372" t="str">
        <f>IFERROR(INDEX(Month!$B$6:$B$49,MATCH(F$2,INDEX(Month!$I$6:$AV$49,0,MATCH($A17,Month!$I$5:$AV$5,0)),0)),"")</f>
        <v/>
      </c>
      <c r="G17" s="372" t="str">
        <f>IFERROR(INDEX(Month!$B$6:$B$49,MATCH(G$2,INDEX(Month!$I$6:$AV$49,0,MATCH($A17,Month!$I$5:$AV$5,0)),0)),"")</f>
        <v/>
      </c>
      <c r="H17" s="372" t="str">
        <f>IFERROR(INDEX(Month!$B$6:$B$49,MATCH(H$2,INDEX(Month!$I$6:$AV$49,0,MATCH($A17,Month!$I$5:$AV$5,0)),0)),"")</f>
        <v/>
      </c>
    </row>
    <row r="18" spans="1:8" ht="20" customHeight="1" thickBot="1" x14ac:dyDescent="0.25">
      <c r="A18" s="373">
        <f t="shared" si="1"/>
        <v>46133</v>
      </c>
      <c r="B18" s="371" t="str">
        <f t="shared" si="0"/>
        <v>Tuesday</v>
      </c>
      <c r="C18" s="372" t="str">
        <f>IFERROR(INDEX(Month!$B$6:$B$49,MATCH(C$2,INDEX(Month!$I$6:$AV$49,0,MATCH($A18,Month!$I$5:$AV$5,0)),0)),"")</f>
        <v/>
      </c>
      <c r="D18" s="372" t="str">
        <f>IFERROR(INDEX(Month!$B$6:$B$49,MATCH(D$2,INDEX(Month!$I$6:$AV$49,0,MATCH($A18,Month!$I$5:$AV$5,0)),0)),"")</f>
        <v/>
      </c>
      <c r="E18" s="372" t="str">
        <f>IFERROR(INDEX(Month!$B$6:$B$49,MATCH(E$2,INDEX(Month!$I$6:$AV$49,0,MATCH($A18,Month!$I$5:$AV$5,0)),0)),"")</f>
        <v/>
      </c>
      <c r="F18" s="372" t="str">
        <f>IFERROR(INDEX(Month!$B$6:$B$49,MATCH(F$2,INDEX(Month!$I$6:$AV$49,0,MATCH($A18,Month!$I$5:$AV$5,0)),0)),"")</f>
        <v/>
      </c>
      <c r="G18" s="372" t="str">
        <f>IFERROR(INDEX(Month!$B$6:$B$49,MATCH(G$2,INDEX(Month!$I$6:$AV$49,0,MATCH($A18,Month!$I$5:$AV$5,0)),0)),"")</f>
        <v/>
      </c>
      <c r="H18" s="372" t="str">
        <f>IFERROR(INDEX(Month!$B$6:$B$49,MATCH(H$2,INDEX(Month!$I$6:$AV$49,0,MATCH($A18,Month!$I$5:$AV$5,0)),0)),"")</f>
        <v/>
      </c>
    </row>
    <row r="19" spans="1:8" ht="20" customHeight="1" thickBot="1" x14ac:dyDescent="0.25">
      <c r="A19" s="373">
        <f t="shared" si="1"/>
        <v>46134</v>
      </c>
      <c r="B19" s="371" t="str">
        <f t="shared" si="0"/>
        <v>Wednesday</v>
      </c>
      <c r="C19" s="372" t="str">
        <f>IFERROR(INDEX(Month!$B$6:$B$49,MATCH(C$2,INDEX(Month!$I$6:$AV$49,0,MATCH($A19,Month!$I$5:$AV$5,0)),0)),"")</f>
        <v/>
      </c>
      <c r="D19" s="372" t="str">
        <f>IFERROR(INDEX(Month!$B$6:$B$49,MATCH(D$2,INDEX(Month!$I$6:$AV$49,0,MATCH($A19,Month!$I$5:$AV$5,0)),0)),"")</f>
        <v/>
      </c>
      <c r="E19" s="372" t="str">
        <f>IFERROR(INDEX(Month!$B$6:$B$49,MATCH(E$2,INDEX(Month!$I$6:$AV$49,0,MATCH($A19,Month!$I$5:$AV$5,0)),0)),"")</f>
        <v/>
      </c>
      <c r="F19" s="372" t="str">
        <f>IFERROR(INDEX(Month!$B$6:$B$49,MATCH(F$2,INDEX(Month!$I$6:$AV$49,0,MATCH($A19,Month!$I$5:$AV$5,0)),0)),"")</f>
        <v/>
      </c>
      <c r="G19" s="372" t="str">
        <f>IFERROR(INDEX(Month!$B$6:$B$49,MATCH(G$2,INDEX(Month!$I$6:$AV$49,0,MATCH($A19,Month!$I$5:$AV$5,0)),0)),"")</f>
        <v/>
      </c>
      <c r="H19" s="372" t="str">
        <f>IFERROR(INDEX(Month!$B$6:$B$49,MATCH(H$2,INDEX(Month!$I$6:$AV$49,0,MATCH($A19,Month!$I$5:$AV$5,0)),0)),"")</f>
        <v/>
      </c>
    </row>
    <row r="20" spans="1:8" ht="20" customHeight="1" thickBot="1" x14ac:dyDescent="0.25">
      <c r="A20" s="373">
        <f t="shared" si="1"/>
        <v>46135</v>
      </c>
      <c r="B20" s="371" t="str">
        <f t="shared" si="0"/>
        <v>Thursday</v>
      </c>
      <c r="C20" s="372" t="str">
        <f>IFERROR(INDEX(Month!$B$6:$B$49,MATCH(C$2,INDEX(Month!$I$6:$AV$49,0,MATCH($A20,Month!$I$5:$AV$5,0)),0)),"")</f>
        <v/>
      </c>
      <c r="D20" s="372" t="str">
        <f>IFERROR(INDEX(Month!$B$6:$B$49,MATCH(D$2,INDEX(Month!$I$6:$AV$49,0,MATCH($A20,Month!$I$5:$AV$5,0)),0)),"")</f>
        <v/>
      </c>
      <c r="E20" s="372" t="str">
        <f>IFERROR(INDEX(Month!$B$6:$B$49,MATCH(E$2,INDEX(Month!$I$6:$AV$49,0,MATCH($A20,Month!$I$5:$AV$5,0)),0)),"")</f>
        <v/>
      </c>
      <c r="F20" s="372" t="str">
        <f>IFERROR(INDEX(Month!$B$6:$B$49,MATCH(F$2,INDEX(Month!$I$6:$AV$49,0,MATCH($A20,Month!$I$5:$AV$5,0)),0)),"")</f>
        <v/>
      </c>
      <c r="G20" s="372" t="str">
        <f>IFERROR(INDEX(Month!$B$6:$B$49,MATCH(G$2,INDEX(Month!$I$6:$AV$49,0,MATCH($A20,Month!$I$5:$AV$5,0)),0)),"")</f>
        <v/>
      </c>
      <c r="H20" s="372" t="str">
        <f>IFERROR(INDEX(Month!$B$6:$B$49,MATCH(H$2,INDEX(Month!$I$6:$AV$49,0,MATCH($A20,Month!$I$5:$AV$5,0)),0)),"")</f>
        <v/>
      </c>
    </row>
    <row r="21" spans="1:8" ht="20" customHeight="1" thickBot="1" x14ac:dyDescent="0.25">
      <c r="A21" s="373">
        <f t="shared" si="1"/>
        <v>46136</v>
      </c>
      <c r="B21" s="371" t="str">
        <f t="shared" si="0"/>
        <v>Friday</v>
      </c>
      <c r="C21" s="372" t="str">
        <f>IFERROR(INDEX(Month!$B$6:$B$49,MATCH(C$2,INDEX(Month!$I$6:$AV$49,0,MATCH($A21,Month!$I$5:$AV$5,0)),0)),"")</f>
        <v/>
      </c>
      <c r="D21" s="372" t="str">
        <f>IFERROR(INDEX(Month!$B$6:$B$49,MATCH(D$2,INDEX(Month!$I$6:$AV$49,0,MATCH($A21,Month!$I$5:$AV$5,0)),0)),"")</f>
        <v/>
      </c>
      <c r="E21" s="372" t="str">
        <f>IFERROR(INDEX(Month!$B$6:$B$49,MATCH(E$2,INDEX(Month!$I$6:$AV$49,0,MATCH($A21,Month!$I$5:$AV$5,0)),0)),"")</f>
        <v/>
      </c>
      <c r="F21" s="372" t="str">
        <f>IFERROR(INDEX(Month!$B$6:$B$49,MATCH(F$2,INDEX(Month!$I$6:$AV$49,0,MATCH($A21,Month!$I$5:$AV$5,0)),0)),"")</f>
        <v/>
      </c>
      <c r="G21" s="372" t="str">
        <f>IFERROR(INDEX(Month!$B$6:$B$49,MATCH(G$2,INDEX(Month!$I$6:$AV$49,0,MATCH($A21,Month!$I$5:$AV$5,0)),0)),"")</f>
        <v/>
      </c>
      <c r="H21" s="372" t="str">
        <f>IFERROR(INDEX(Month!$B$6:$B$49,MATCH(H$2,INDEX(Month!$I$6:$AV$49,0,MATCH($A21,Month!$I$5:$AV$5,0)),0)),"")</f>
        <v/>
      </c>
    </row>
    <row r="22" spans="1:8" ht="20" customHeight="1" thickBot="1" x14ac:dyDescent="0.25">
      <c r="A22" s="373">
        <f t="shared" si="1"/>
        <v>46137</v>
      </c>
      <c r="B22" s="371" t="str">
        <f t="shared" si="0"/>
        <v>Saturday</v>
      </c>
      <c r="C22" s="372" t="str">
        <f>IFERROR(INDEX(Month!$B$6:$B$49,MATCH(C$2,INDEX(Month!$I$6:$AV$49,0,MATCH($A22,Month!$I$5:$AV$5,0)),0)),"")</f>
        <v/>
      </c>
      <c r="D22" s="372" t="str">
        <f>IFERROR(INDEX(Month!$B$6:$B$49,MATCH(D$2,INDEX(Month!$I$6:$AV$49,0,MATCH($A22,Month!$I$5:$AV$5,0)),0)),"")</f>
        <v/>
      </c>
      <c r="E22" s="372" t="str">
        <f>IFERROR(INDEX(Month!$B$6:$B$49,MATCH(E$2,INDEX(Month!$I$6:$AV$49,0,MATCH($A22,Month!$I$5:$AV$5,0)),0)),"")</f>
        <v/>
      </c>
      <c r="F22" s="372" t="str">
        <f>IFERROR(INDEX(Month!$B$6:$B$49,MATCH(F$2,INDEX(Month!$I$6:$AV$49,0,MATCH($A22,Month!$I$5:$AV$5,0)),0)),"")</f>
        <v/>
      </c>
      <c r="G22" s="372" t="str">
        <f>IFERROR(INDEX(Month!$B$6:$B$49,MATCH(G$2,INDEX(Month!$I$6:$AV$49,0,MATCH($A22,Month!$I$5:$AV$5,0)),0)),"")</f>
        <v/>
      </c>
      <c r="H22" s="372" t="str">
        <f>IFERROR(INDEX(Month!$B$6:$B$49,MATCH(H$2,INDEX(Month!$I$6:$AV$49,0,MATCH($A22,Month!$I$5:$AV$5,0)),0)),"")</f>
        <v/>
      </c>
    </row>
    <row r="23" spans="1:8" ht="20" customHeight="1" thickBot="1" x14ac:dyDescent="0.25">
      <c r="A23" s="373">
        <f t="shared" si="1"/>
        <v>46138</v>
      </c>
      <c r="B23" s="371" t="str">
        <f t="shared" si="0"/>
        <v>Sunday</v>
      </c>
      <c r="C23" s="372" t="str">
        <f>IFERROR(INDEX(Month!$B$6:$B$49,MATCH(C$2,INDEX(Month!$I$6:$AV$49,0,MATCH($A23,Month!$I$5:$AV$5,0)),0)),"")</f>
        <v/>
      </c>
      <c r="D23" s="372" t="str">
        <f>IFERROR(INDEX(Month!$B$6:$B$49,MATCH(D$2,INDEX(Month!$I$6:$AV$49,0,MATCH($A23,Month!$I$5:$AV$5,0)),0)),"")</f>
        <v/>
      </c>
      <c r="E23" s="372" t="str">
        <f>IFERROR(INDEX(Month!$B$6:$B$49,MATCH(E$2,INDEX(Month!$I$6:$AV$49,0,MATCH($A23,Month!$I$5:$AV$5,0)),0)),"")</f>
        <v/>
      </c>
      <c r="F23" s="372" t="str">
        <f>IFERROR(INDEX(Month!$B$6:$B$49,MATCH(F$2,INDEX(Month!$I$6:$AV$49,0,MATCH($A23,Month!$I$5:$AV$5,0)),0)),"")</f>
        <v/>
      </c>
      <c r="G23" s="372" t="str">
        <f>IFERROR(INDEX(Month!$B$6:$B$49,MATCH(G$2,INDEX(Month!$I$6:$AV$49,0,MATCH($A23,Month!$I$5:$AV$5,0)),0)),"")</f>
        <v/>
      </c>
      <c r="H23" s="372" t="str">
        <f>IFERROR(INDEX(Month!$B$6:$B$49,MATCH(H$2,INDEX(Month!$I$6:$AV$49,0,MATCH($A23,Month!$I$5:$AV$5,0)),0)),"")</f>
        <v/>
      </c>
    </row>
    <row r="24" spans="1:8" ht="20" customHeight="1" thickBot="1" x14ac:dyDescent="0.25">
      <c r="A24" s="373">
        <f t="shared" si="1"/>
        <v>46139</v>
      </c>
      <c r="B24" s="371" t="str">
        <f t="shared" si="0"/>
        <v>Monday</v>
      </c>
      <c r="C24" s="372" t="str">
        <f>IFERROR(INDEX(Month!$B$6:$B$49,MATCH(C$2,INDEX(Month!$I$6:$AV$49,0,MATCH($A24,Month!$I$5:$AV$5,0)),0)),"")</f>
        <v/>
      </c>
      <c r="D24" s="372" t="str">
        <f>IFERROR(INDEX(Month!$B$6:$B$49,MATCH(D$2,INDEX(Month!$I$6:$AV$49,0,MATCH($A24,Month!$I$5:$AV$5,0)),0)),"")</f>
        <v/>
      </c>
      <c r="E24" s="372" t="str">
        <f>IFERROR(INDEX(Month!$B$6:$B$49,MATCH(E$2,INDEX(Month!$I$6:$AV$49,0,MATCH($A24,Month!$I$5:$AV$5,0)),0)),"")</f>
        <v/>
      </c>
      <c r="F24" s="372" t="str">
        <f>IFERROR(INDEX(Month!$B$6:$B$49,MATCH(F$2,INDEX(Month!$I$6:$AV$49,0,MATCH($A24,Month!$I$5:$AV$5,0)),0)),"")</f>
        <v/>
      </c>
      <c r="G24" s="372" t="str">
        <f>IFERROR(INDEX(Month!$B$6:$B$49,MATCH(G$2,INDEX(Month!$I$6:$AV$49,0,MATCH($A24,Month!$I$5:$AV$5,0)),0)),"")</f>
        <v/>
      </c>
      <c r="H24" s="372" t="str">
        <f>IFERROR(INDEX(Month!$B$6:$B$49,MATCH(H$2,INDEX(Month!$I$6:$AV$49,0,MATCH($A24,Month!$I$5:$AV$5,0)),0)),"")</f>
        <v/>
      </c>
    </row>
    <row r="25" spans="1:8" ht="20" customHeight="1" thickBot="1" x14ac:dyDescent="0.25">
      <c r="A25" s="373">
        <f t="shared" si="1"/>
        <v>46140</v>
      </c>
      <c r="B25" s="371" t="str">
        <f t="shared" si="0"/>
        <v>Tuesday</v>
      </c>
      <c r="C25" s="372" t="str">
        <f>IFERROR(INDEX(Month!$B$6:$B$49,MATCH(C$2,INDEX(Month!$I$6:$AV$49,0,MATCH($A25,Month!$I$5:$AV$5,0)),0)),"")</f>
        <v/>
      </c>
      <c r="D25" s="372" t="str">
        <f>IFERROR(INDEX(Month!$B$6:$B$49,MATCH(D$2,INDEX(Month!$I$6:$AV$49,0,MATCH($A25,Month!$I$5:$AV$5,0)),0)),"")</f>
        <v/>
      </c>
      <c r="E25" s="372" t="str">
        <f>IFERROR(INDEX(Month!$B$6:$B$49,MATCH(E$2,INDEX(Month!$I$6:$AV$49,0,MATCH($A25,Month!$I$5:$AV$5,0)),0)),"")</f>
        <v/>
      </c>
      <c r="F25" s="372" t="str">
        <f>IFERROR(INDEX(Month!$B$6:$B$49,MATCH(F$2,INDEX(Month!$I$6:$AV$49,0,MATCH($A25,Month!$I$5:$AV$5,0)),0)),"")</f>
        <v/>
      </c>
      <c r="G25" s="372" t="str">
        <f>IFERROR(INDEX(Month!$B$6:$B$49,MATCH(G$2,INDEX(Month!$I$6:$AV$49,0,MATCH($A25,Month!$I$5:$AV$5,0)),0)),"")</f>
        <v/>
      </c>
      <c r="H25" s="372" t="str">
        <f>IFERROR(INDEX(Month!$B$6:$B$49,MATCH(H$2,INDEX(Month!$I$6:$AV$49,0,MATCH($A25,Month!$I$5:$AV$5,0)),0)),"")</f>
        <v/>
      </c>
    </row>
    <row r="26" spans="1:8" ht="20" customHeight="1" thickBot="1" x14ac:dyDescent="0.25">
      <c r="A26" s="373">
        <f t="shared" si="1"/>
        <v>46141</v>
      </c>
      <c r="B26" s="371" t="str">
        <f t="shared" si="0"/>
        <v>Wednesday</v>
      </c>
      <c r="C26" s="372" t="str">
        <f>IFERROR(INDEX(Month!$B$6:$B$49,MATCH(C$2,INDEX(Month!$I$6:$AV$49,0,MATCH($A26,Month!$I$5:$AV$5,0)),0)),"")</f>
        <v/>
      </c>
      <c r="D26" s="372" t="str">
        <f>IFERROR(INDEX(Month!$B$6:$B$49,MATCH(D$2,INDEX(Month!$I$6:$AV$49,0,MATCH($A26,Month!$I$5:$AV$5,0)),0)),"")</f>
        <v/>
      </c>
      <c r="E26" s="372" t="str">
        <f>IFERROR(INDEX(Month!$B$6:$B$49,MATCH(E$2,INDEX(Month!$I$6:$AV$49,0,MATCH($A26,Month!$I$5:$AV$5,0)),0)),"")</f>
        <v/>
      </c>
      <c r="F26" s="372" t="str">
        <f>IFERROR(INDEX(Month!$B$6:$B$49,MATCH(F$2,INDEX(Month!$I$6:$AV$49,0,MATCH($A26,Month!$I$5:$AV$5,0)),0)),"")</f>
        <v/>
      </c>
      <c r="G26" s="372" t="str">
        <f>IFERROR(INDEX(Month!$B$6:$B$49,MATCH(G$2,INDEX(Month!$I$6:$AV$49,0,MATCH($A26,Month!$I$5:$AV$5,0)),0)),"")</f>
        <v/>
      </c>
      <c r="H26" s="372" t="str">
        <f>IFERROR(INDEX(Month!$B$6:$B$49,MATCH(H$2,INDEX(Month!$I$6:$AV$49,0,MATCH($A26,Month!$I$5:$AV$5,0)),0)),"")</f>
        <v/>
      </c>
    </row>
    <row r="27" spans="1:8" ht="20" customHeight="1" thickBot="1" x14ac:dyDescent="0.25">
      <c r="A27" s="373">
        <f t="shared" si="1"/>
        <v>46142</v>
      </c>
      <c r="B27" s="371" t="str">
        <f t="shared" si="0"/>
        <v>Thursday</v>
      </c>
      <c r="C27" s="372" t="str">
        <f>IFERROR(INDEX(Month!$B$6:$B$49,MATCH(C$2,INDEX(Month!$I$6:$AV$49,0,MATCH($A27,Month!$I$5:$AV$5,0)),0)),"")</f>
        <v/>
      </c>
      <c r="D27" s="372" t="str">
        <f>IFERROR(INDEX(Month!$B$6:$B$49,MATCH(D$2,INDEX(Month!$I$6:$AV$49,0,MATCH($A27,Month!$I$5:$AV$5,0)),0)),"")</f>
        <v/>
      </c>
      <c r="E27" s="372" t="str">
        <f>IFERROR(INDEX(Month!$B$6:$B$49,MATCH(E$2,INDEX(Month!$I$6:$AV$49,0,MATCH($A27,Month!$I$5:$AV$5,0)),0)),"")</f>
        <v/>
      </c>
      <c r="F27" s="372" t="str">
        <f>IFERROR(INDEX(Month!$B$6:$B$49,MATCH(F$2,INDEX(Month!$I$6:$AV$49,0,MATCH($A27,Month!$I$5:$AV$5,0)),0)),"")</f>
        <v/>
      </c>
      <c r="G27" s="372" t="str">
        <f>IFERROR(INDEX(Month!$B$6:$B$49,MATCH(G$2,INDEX(Month!$I$6:$AV$49,0,MATCH($A27,Month!$I$5:$AV$5,0)),0)),"")</f>
        <v/>
      </c>
      <c r="H27" s="372" t="str">
        <f>IFERROR(INDEX(Month!$B$6:$B$49,MATCH(H$2,INDEX(Month!$I$6:$AV$49,0,MATCH($A27,Month!$I$5:$AV$5,0)),0)),"")</f>
        <v/>
      </c>
    </row>
    <row r="28" spans="1:8" ht="20" customHeight="1" thickBot="1" x14ac:dyDescent="0.25">
      <c r="A28" s="373">
        <f t="shared" si="1"/>
        <v>46143</v>
      </c>
      <c r="B28" s="371" t="str">
        <f t="shared" si="0"/>
        <v>Friday</v>
      </c>
      <c r="C28" s="372" t="str">
        <f>IFERROR(INDEX(Month!$B$6:$B$49,MATCH(C$2,INDEX(Month!$I$6:$AV$49,0,MATCH($A28,Month!$I$5:$AV$5,0)),0)),"")</f>
        <v/>
      </c>
      <c r="D28" s="372" t="str">
        <f>IFERROR(INDEX(Month!$B$6:$B$49,MATCH(D$2,INDEX(Month!$I$6:$AV$49,0,MATCH($A28,Month!$I$5:$AV$5,0)),0)),"")</f>
        <v/>
      </c>
      <c r="E28" s="372" t="str">
        <f>IFERROR(INDEX(Month!$B$6:$B$49,MATCH(E$2,INDEX(Month!$I$6:$AV$49,0,MATCH($A28,Month!$I$5:$AV$5,0)),0)),"")</f>
        <v/>
      </c>
      <c r="F28" s="372" t="str">
        <f>IFERROR(INDEX(Month!$B$6:$B$49,MATCH(F$2,INDEX(Month!$I$6:$AV$49,0,MATCH($A28,Month!$I$5:$AV$5,0)),0)),"")</f>
        <v/>
      </c>
      <c r="G28" s="372" t="str">
        <f>IFERROR(INDEX(Month!$B$6:$B$49,MATCH(G$2,INDEX(Month!$I$6:$AV$49,0,MATCH($A28,Month!$I$5:$AV$5,0)),0)),"")</f>
        <v/>
      </c>
      <c r="H28" s="372" t="str">
        <f>IFERROR(INDEX(Month!$B$6:$B$49,MATCH(H$2,INDEX(Month!$I$6:$AV$49,0,MATCH($A28,Month!$I$5:$AV$5,0)),0)),"")</f>
        <v/>
      </c>
    </row>
    <row r="29" spans="1:8" ht="20" customHeight="1" thickBot="1" x14ac:dyDescent="0.25">
      <c r="A29" s="373">
        <f t="shared" si="1"/>
        <v>46144</v>
      </c>
      <c r="B29" s="371" t="str">
        <f t="shared" si="0"/>
        <v>Saturday</v>
      </c>
      <c r="C29" s="372" t="str">
        <f>IFERROR(INDEX(Month!$B$6:$B$49,MATCH(C$2,INDEX(Month!$I$6:$AV$49,0,MATCH($A29,Month!$I$5:$AV$5,0)),0)),"")</f>
        <v/>
      </c>
      <c r="D29" s="372" t="str">
        <f>IFERROR(INDEX(Month!$B$6:$B$49,MATCH(D$2,INDEX(Month!$I$6:$AV$49,0,MATCH($A29,Month!$I$5:$AV$5,0)),0)),"")</f>
        <v/>
      </c>
      <c r="E29" s="372" t="str">
        <f>IFERROR(INDEX(Month!$B$6:$B$49,MATCH(E$2,INDEX(Month!$I$6:$AV$49,0,MATCH($A29,Month!$I$5:$AV$5,0)),0)),"")</f>
        <v/>
      </c>
      <c r="F29" s="372" t="str">
        <f>IFERROR(INDEX(Month!$B$6:$B$49,MATCH(F$2,INDEX(Month!$I$6:$AV$49,0,MATCH($A29,Month!$I$5:$AV$5,0)),0)),"")</f>
        <v/>
      </c>
      <c r="G29" s="372" t="str">
        <f>IFERROR(INDEX(Month!$B$6:$B$49,MATCH(G$2,INDEX(Month!$I$6:$AV$49,0,MATCH($A29,Month!$I$5:$AV$5,0)),0)),"")</f>
        <v/>
      </c>
      <c r="H29" s="372" t="str">
        <f>IFERROR(INDEX(Month!$B$6:$B$49,MATCH(H$2,INDEX(Month!$I$6:$AV$49,0,MATCH($A29,Month!$I$5:$AV$5,0)),0)),"")</f>
        <v/>
      </c>
    </row>
    <row r="30" spans="1:8" ht="20" customHeight="1" thickBot="1" x14ac:dyDescent="0.25">
      <c r="A30" s="373">
        <f t="shared" si="1"/>
        <v>46145</v>
      </c>
      <c r="B30" s="371" t="str">
        <f t="shared" si="0"/>
        <v>Sunday</v>
      </c>
      <c r="C30" s="372" t="str">
        <f>IFERROR(INDEX(Month!$B$6:$B$49,MATCH(C$2,INDEX(Month!$I$6:$AV$49,0,MATCH($A30,Month!$I$5:$AV$5,0)),0)),"")</f>
        <v/>
      </c>
      <c r="D30" s="372" t="str">
        <f>IFERROR(INDEX(Month!$B$6:$B$49,MATCH(D$2,INDEX(Month!$I$6:$AV$49,0,MATCH($A30,Month!$I$5:$AV$5,0)),0)),"")</f>
        <v/>
      </c>
      <c r="E30" s="372" t="str">
        <f>IFERROR(INDEX(Month!$B$6:$B$49,MATCH(E$2,INDEX(Month!$I$6:$AV$49,0,MATCH($A30,Month!$I$5:$AV$5,0)),0)),"")</f>
        <v/>
      </c>
      <c r="F30" s="372" t="str">
        <f>IFERROR(INDEX(Month!$B$6:$B$49,MATCH(F$2,INDEX(Month!$I$6:$AV$49,0,MATCH($A30,Month!$I$5:$AV$5,0)),0)),"")</f>
        <v/>
      </c>
      <c r="G30" s="372" t="str">
        <f>IFERROR(INDEX(Month!$B$6:$B$49,MATCH(G$2,INDEX(Month!$I$6:$AV$49,0,MATCH($A30,Month!$I$5:$AV$5,0)),0)),"")</f>
        <v/>
      </c>
      <c r="H30" s="372" t="str">
        <f>IFERROR(INDEX(Month!$B$6:$B$49,MATCH(H$2,INDEX(Month!$I$6:$AV$49,0,MATCH($A30,Month!$I$5:$AV$5,0)),0)),"")</f>
        <v/>
      </c>
    </row>
    <row r="31" spans="1:8" ht="20" customHeight="1" thickBot="1" x14ac:dyDescent="0.25">
      <c r="A31" s="373">
        <f t="shared" si="1"/>
        <v>46146</v>
      </c>
      <c r="B31" s="371" t="str">
        <f t="shared" si="0"/>
        <v>Monday</v>
      </c>
      <c r="C31" s="372" t="str">
        <f>IFERROR(INDEX(Month!$B$6:$B$49,MATCH(C$2,INDEX(Month!$I$6:$AV$49,0,MATCH($A31,Month!$I$5:$AV$5,0)),0)),"")</f>
        <v/>
      </c>
      <c r="D31" s="372" t="str">
        <f>IFERROR(INDEX(Month!$B$6:$B$49,MATCH(D$2,INDEX(Month!$I$6:$AV$49,0,MATCH($A31,Month!$I$5:$AV$5,0)),0)),"")</f>
        <v/>
      </c>
      <c r="E31" s="372" t="str">
        <f>IFERROR(INDEX(Month!$B$6:$B$49,MATCH(E$2,INDEX(Month!$I$6:$AV$49,0,MATCH($A31,Month!$I$5:$AV$5,0)),0)),"")</f>
        <v/>
      </c>
      <c r="F31" s="372" t="str">
        <f>IFERROR(INDEX(Month!$B$6:$B$49,MATCH(F$2,INDEX(Month!$I$6:$AV$49,0,MATCH($A31,Month!$I$5:$AV$5,0)),0)),"")</f>
        <v/>
      </c>
      <c r="G31" s="372" t="str">
        <f>IFERROR(INDEX(Month!$B$6:$B$49,MATCH(G$2,INDEX(Month!$I$6:$AV$49,0,MATCH($A31,Month!$I$5:$AV$5,0)),0)),"")</f>
        <v/>
      </c>
      <c r="H31" s="372" t="str">
        <f>IFERROR(INDEX(Month!$B$6:$B$49,MATCH(H$2,INDEX(Month!$I$6:$AV$49,0,MATCH($A31,Month!$I$5:$AV$5,0)),0)),"")</f>
        <v/>
      </c>
    </row>
    <row r="32" spans="1:8" ht="20" customHeight="1" thickBot="1" x14ac:dyDescent="0.25">
      <c r="A32" s="373">
        <f t="shared" si="1"/>
        <v>46147</v>
      </c>
      <c r="B32" s="371" t="str">
        <f t="shared" si="0"/>
        <v>Tuesday</v>
      </c>
      <c r="C32" s="372" t="str">
        <f>IFERROR(INDEX(Month!$B$6:$B$49,MATCH(C$2,INDEX(Month!$I$6:$AV$49,0,MATCH($A32,Month!$I$5:$AV$5,0)),0)),"")</f>
        <v/>
      </c>
      <c r="D32" s="372" t="str">
        <f>IFERROR(INDEX(Month!$B$6:$B$49,MATCH(D$2,INDEX(Month!$I$6:$AV$49,0,MATCH($A32,Month!$I$5:$AV$5,0)),0)),"")</f>
        <v/>
      </c>
      <c r="E32" s="372" t="str">
        <f>IFERROR(INDEX(Month!$B$6:$B$49,MATCH(E$2,INDEX(Month!$I$6:$AV$49,0,MATCH($A32,Month!$I$5:$AV$5,0)),0)),"")</f>
        <v/>
      </c>
      <c r="F32" s="372" t="str">
        <f>IFERROR(INDEX(Month!$B$6:$B$49,MATCH(F$2,INDEX(Month!$I$6:$AV$49,0,MATCH($A32,Month!$I$5:$AV$5,0)),0)),"")</f>
        <v/>
      </c>
      <c r="G32" s="372" t="str">
        <f>IFERROR(INDEX(Month!$B$6:$B$49,MATCH(G$2,INDEX(Month!$I$6:$AV$49,0,MATCH($A32,Month!$I$5:$AV$5,0)),0)),"")</f>
        <v/>
      </c>
      <c r="H32" s="372" t="str">
        <f>IFERROR(INDEX(Month!$B$6:$B$49,MATCH(H$2,INDEX(Month!$I$6:$AV$49,0,MATCH($A32,Month!$I$5:$AV$5,0)),0)),"")</f>
        <v/>
      </c>
    </row>
    <row r="33" spans="1:8" ht="20" customHeight="1" thickBot="1" x14ac:dyDescent="0.25">
      <c r="A33" s="373">
        <f t="shared" si="1"/>
        <v>46148</v>
      </c>
      <c r="B33" s="371" t="str">
        <f t="shared" si="0"/>
        <v>Wednesday</v>
      </c>
      <c r="C33" s="372" t="str">
        <f>IFERROR(INDEX(Month!$B$6:$B$49,MATCH(C$2,INDEX(Month!$I$6:$AV$49,0,MATCH($A33,Month!$I$5:$AV$5,0)),0)),"")</f>
        <v/>
      </c>
      <c r="D33" s="372" t="str">
        <f>IFERROR(INDEX(Month!$B$6:$B$49,MATCH(D$2,INDEX(Month!$I$6:$AV$49,0,MATCH($A33,Month!$I$5:$AV$5,0)),0)),"")</f>
        <v/>
      </c>
      <c r="E33" s="372" t="str">
        <f>IFERROR(INDEX(Month!$B$6:$B$49,MATCH(E$2,INDEX(Month!$I$6:$AV$49,0,MATCH($A33,Month!$I$5:$AV$5,0)),0)),"")</f>
        <v/>
      </c>
      <c r="F33" s="372" t="str">
        <f>IFERROR(INDEX(Month!$B$6:$B$49,MATCH(F$2,INDEX(Month!$I$6:$AV$49,0,MATCH($A33,Month!$I$5:$AV$5,0)),0)),"")</f>
        <v/>
      </c>
      <c r="G33" s="372" t="str">
        <f>IFERROR(INDEX(Month!$B$6:$B$49,MATCH(G$2,INDEX(Month!$I$6:$AV$49,0,MATCH($A33,Month!$I$5:$AV$5,0)),0)),"")</f>
        <v/>
      </c>
      <c r="H33" s="372" t="str">
        <f>IFERROR(INDEX(Month!$B$6:$B$49,MATCH(H$2,INDEX(Month!$I$6:$AV$49,0,MATCH($A33,Month!$I$5:$AV$5,0)),0)),"")</f>
        <v/>
      </c>
    </row>
    <row r="34" spans="1:8" ht="20" customHeight="1" thickBot="1" x14ac:dyDescent="0.25">
      <c r="A34" s="373">
        <f t="shared" si="1"/>
        <v>46149</v>
      </c>
      <c r="B34" s="371" t="str">
        <f t="shared" si="0"/>
        <v>Thursday</v>
      </c>
      <c r="C34" s="372" t="str">
        <f>IFERROR(INDEX(Month!$B$6:$B$49,MATCH(C$2,INDEX(Month!$I$6:$AV$49,0,MATCH($A34,Month!$I$5:$AV$5,0)),0)),"")</f>
        <v/>
      </c>
      <c r="D34" s="372" t="str">
        <f>IFERROR(INDEX(Month!$B$6:$B$49,MATCH(D$2,INDEX(Month!$I$6:$AV$49,0,MATCH($A34,Month!$I$5:$AV$5,0)),0)),"")</f>
        <v/>
      </c>
      <c r="E34" s="372" t="str">
        <f>IFERROR(INDEX(Month!$B$6:$B$49,MATCH(E$2,INDEX(Month!$I$6:$AV$49,0,MATCH($A34,Month!$I$5:$AV$5,0)),0)),"")</f>
        <v/>
      </c>
      <c r="F34" s="372" t="str">
        <f>IFERROR(INDEX(Month!$B$6:$B$49,MATCH(F$2,INDEX(Month!$I$6:$AV$49,0,MATCH($A34,Month!$I$5:$AV$5,0)),0)),"")</f>
        <v/>
      </c>
      <c r="G34" s="372" t="str">
        <f>IFERROR(INDEX(Month!$B$6:$B$49,MATCH(G$2,INDEX(Month!$I$6:$AV$49,0,MATCH($A34,Month!$I$5:$AV$5,0)),0)),"")</f>
        <v/>
      </c>
      <c r="H34" s="372" t="str">
        <f>IFERROR(INDEX(Month!$B$6:$B$49,MATCH(H$2,INDEX(Month!$I$6:$AV$49,0,MATCH($A34,Month!$I$5:$AV$5,0)),0)),"")</f>
        <v/>
      </c>
    </row>
    <row r="35" spans="1:8" ht="20" customHeight="1" thickBot="1" x14ac:dyDescent="0.25">
      <c r="A35" s="373">
        <f t="shared" si="1"/>
        <v>46150</v>
      </c>
      <c r="B35" s="371" t="str">
        <f t="shared" si="0"/>
        <v>Friday</v>
      </c>
      <c r="C35" s="372" t="str">
        <f>IFERROR(INDEX(Month!$B$6:$B$49,MATCH(C$2,INDEX(Month!$I$6:$AV$49,0,MATCH($A35,Month!$I$5:$AV$5,0)),0)),"")</f>
        <v/>
      </c>
      <c r="D35" s="372" t="str">
        <f>IFERROR(INDEX(Month!$B$6:$B$49,MATCH(D$2,INDEX(Month!$I$6:$AV$49,0,MATCH($A35,Month!$I$5:$AV$5,0)),0)),"")</f>
        <v/>
      </c>
      <c r="E35" s="372" t="str">
        <f>IFERROR(INDEX(Month!$B$6:$B$49,MATCH(E$2,INDEX(Month!$I$6:$AV$49,0,MATCH($A35,Month!$I$5:$AV$5,0)),0)),"")</f>
        <v/>
      </c>
      <c r="F35" s="372" t="str">
        <f>IFERROR(INDEX(Month!$B$6:$B$49,MATCH(F$2,INDEX(Month!$I$6:$AV$49,0,MATCH($A35,Month!$I$5:$AV$5,0)),0)),"")</f>
        <v/>
      </c>
      <c r="G35" s="372" t="str">
        <f>IFERROR(INDEX(Month!$B$6:$B$49,MATCH(G$2,INDEX(Month!$I$6:$AV$49,0,MATCH($A35,Month!$I$5:$AV$5,0)),0)),"")</f>
        <v/>
      </c>
      <c r="H35" s="372" t="str">
        <f>IFERROR(INDEX(Month!$B$6:$B$49,MATCH(H$2,INDEX(Month!$I$6:$AV$49,0,MATCH($A35,Month!$I$5:$AV$5,0)),0)),"")</f>
        <v/>
      </c>
    </row>
    <row r="36" spans="1:8" ht="20" customHeight="1" thickBot="1" x14ac:dyDescent="0.25">
      <c r="A36" s="373">
        <f t="shared" si="1"/>
        <v>46151</v>
      </c>
      <c r="B36" s="371" t="str">
        <f t="shared" si="0"/>
        <v>Saturday</v>
      </c>
      <c r="C36" s="372" t="str">
        <f>IFERROR(INDEX(Month!$B$6:$B$49,MATCH(C$2,INDEX(Month!$I$6:$AV$49,0,MATCH($A36,Month!$I$5:$AV$5,0)),0)),"")</f>
        <v/>
      </c>
      <c r="D36" s="372" t="str">
        <f>IFERROR(INDEX(Month!$B$6:$B$49,MATCH(D$2,INDEX(Month!$I$6:$AV$49,0,MATCH($A36,Month!$I$5:$AV$5,0)),0)),"")</f>
        <v/>
      </c>
      <c r="E36" s="372" t="str">
        <f>IFERROR(INDEX(Month!$B$6:$B$49,MATCH(E$2,INDEX(Month!$I$6:$AV$49,0,MATCH($A36,Month!$I$5:$AV$5,0)),0)),"")</f>
        <v/>
      </c>
      <c r="F36" s="372" t="str">
        <f>IFERROR(INDEX(Month!$B$6:$B$49,MATCH(F$2,INDEX(Month!$I$6:$AV$49,0,MATCH($A36,Month!$I$5:$AV$5,0)),0)),"")</f>
        <v/>
      </c>
      <c r="G36" s="372" t="str">
        <f>IFERROR(INDEX(Month!$B$6:$B$49,MATCH(G$2,INDEX(Month!$I$6:$AV$49,0,MATCH($A36,Month!$I$5:$AV$5,0)),0)),"")</f>
        <v/>
      </c>
      <c r="H36" s="372" t="str">
        <f>IFERROR(INDEX(Month!$B$6:$B$49,MATCH(H$2,INDEX(Month!$I$6:$AV$49,0,MATCH($A36,Month!$I$5:$AV$5,0)),0)),"")</f>
        <v/>
      </c>
    </row>
    <row r="37" spans="1:8" ht="20" customHeight="1" thickBot="1" x14ac:dyDescent="0.25">
      <c r="A37" s="373">
        <f t="shared" si="1"/>
        <v>46152</v>
      </c>
      <c r="B37" s="371" t="str">
        <f t="shared" si="0"/>
        <v>Sunday</v>
      </c>
      <c r="C37" s="372" t="str">
        <f>IFERROR(INDEX(Month!$B$6:$B$49,MATCH(C$2,INDEX(Month!$I$6:$AV$49,0,MATCH($A37,Month!$I$5:$AV$5,0)),0)),"")</f>
        <v/>
      </c>
      <c r="D37" s="372" t="str">
        <f>IFERROR(INDEX(Month!$B$6:$B$49,MATCH(D$2,INDEX(Month!$I$6:$AV$49,0,MATCH($A37,Month!$I$5:$AV$5,0)),0)),"")</f>
        <v/>
      </c>
      <c r="E37" s="372" t="str">
        <f>IFERROR(INDEX(Month!$B$6:$B$49,MATCH(E$2,INDEX(Month!$I$6:$AV$49,0,MATCH($A37,Month!$I$5:$AV$5,0)),0)),"")</f>
        <v/>
      </c>
      <c r="F37" s="372" t="str">
        <f>IFERROR(INDEX(Month!$B$6:$B$49,MATCH(F$2,INDEX(Month!$I$6:$AV$49,0,MATCH($A37,Month!$I$5:$AV$5,0)),0)),"")</f>
        <v/>
      </c>
      <c r="G37" s="372" t="str">
        <f>IFERROR(INDEX(Month!$B$6:$B$49,MATCH(G$2,INDEX(Month!$I$6:$AV$49,0,MATCH($A37,Month!$I$5:$AV$5,0)),0)),"")</f>
        <v/>
      </c>
      <c r="H37" s="372" t="str">
        <f>IFERROR(INDEX(Month!$B$6:$B$49,MATCH(H$2,INDEX(Month!$I$6:$AV$49,0,MATCH($A37,Month!$I$5:$AV$5,0)),0)),"")</f>
        <v/>
      </c>
    </row>
    <row r="38" spans="1:8" ht="20" customHeight="1" thickBot="1" x14ac:dyDescent="0.25">
      <c r="A38" s="373">
        <f t="shared" si="1"/>
        <v>46153</v>
      </c>
      <c r="B38" s="371" t="str">
        <f t="shared" si="0"/>
        <v>Monday</v>
      </c>
      <c r="C38" s="372" t="str">
        <f>IFERROR(INDEX(Month!$B$6:$B$49,MATCH(C$2,INDEX(Month!$I$6:$AV$49,0,MATCH($A38,Month!$I$5:$AV$5,0)),0)),"")</f>
        <v/>
      </c>
      <c r="D38" s="372" t="str">
        <f>IFERROR(INDEX(Month!$B$6:$B$49,MATCH(D$2,INDEX(Month!$I$6:$AV$49,0,MATCH($A38,Month!$I$5:$AV$5,0)),0)),"")</f>
        <v/>
      </c>
      <c r="E38" s="372" t="str">
        <f>IFERROR(INDEX(Month!$B$6:$B$49,MATCH(E$2,INDEX(Month!$I$6:$AV$49,0,MATCH($A38,Month!$I$5:$AV$5,0)),0)),"")</f>
        <v/>
      </c>
      <c r="F38" s="372" t="str">
        <f>IFERROR(INDEX(Month!$B$6:$B$49,MATCH(F$2,INDEX(Month!$I$6:$AV$49,0,MATCH($A38,Month!$I$5:$AV$5,0)),0)),"")</f>
        <v/>
      </c>
      <c r="G38" s="372" t="str">
        <f>IFERROR(INDEX(Month!$B$6:$B$49,MATCH(G$2,INDEX(Month!$I$6:$AV$49,0,MATCH($A38,Month!$I$5:$AV$5,0)),0)),"")</f>
        <v/>
      </c>
      <c r="H38" s="372" t="str">
        <f>IFERROR(INDEX(Month!$B$6:$B$49,MATCH(H$2,INDEX(Month!$I$6:$AV$49,0,MATCH($A38,Month!$I$5:$AV$5,0)),0)),"")</f>
        <v/>
      </c>
    </row>
    <row r="39" spans="1:8" ht="16" thickBot="1" x14ac:dyDescent="0.25">
      <c r="A39" s="373">
        <f t="shared" si="1"/>
        <v>46154</v>
      </c>
      <c r="B39" s="371" t="str">
        <f t="shared" ref="B39:B43" si="2">TEXT(WEEKDAY(A39), "dddd")</f>
        <v>Tuesday</v>
      </c>
      <c r="C39" s="372" t="str">
        <f>IFERROR(INDEX(Month!$B$6:$B$49,MATCH(C$2,INDEX(Month!$I$6:$AV$49,0,MATCH($A39,Month!$I$5:$AV$5,0)),0)),"")</f>
        <v/>
      </c>
      <c r="D39" s="372" t="str">
        <f>IFERROR(INDEX(Month!$B$6:$B$49,MATCH(D$2,INDEX(Month!$I$6:$AV$49,0,MATCH($A39,Month!$I$5:$AV$5,0)),0)),"")</f>
        <v/>
      </c>
      <c r="E39" s="372" t="str">
        <f>IFERROR(INDEX(Month!$B$6:$B$49,MATCH(E$2,INDEX(Month!$I$6:$AV$49,0,MATCH($A39,Month!$I$5:$AV$5,0)),0)),"")</f>
        <v/>
      </c>
      <c r="F39" s="372" t="str">
        <f>IFERROR(INDEX(Month!$B$6:$B$49,MATCH(F$2,INDEX(Month!$I$6:$AV$49,0,MATCH($A39,Month!$I$5:$AV$5,0)),0)),"")</f>
        <v/>
      </c>
      <c r="G39" s="372" t="str">
        <f>IFERROR(INDEX(Month!$B$6:$B$49,MATCH(G$2,INDEX(Month!$I$6:$AV$49,0,MATCH($A39,Month!$I$5:$AV$5,0)),0)),"")</f>
        <v/>
      </c>
      <c r="H39" s="372" t="str">
        <f>IFERROR(INDEX(Month!$B$6:$B$49,MATCH(H$2,INDEX(Month!$I$6:$AV$49,0,MATCH($A39,Month!$I$5:$AV$5,0)),0)),"")</f>
        <v/>
      </c>
    </row>
    <row r="40" spans="1:8" ht="16" thickBot="1" x14ac:dyDescent="0.25">
      <c r="A40" s="373">
        <f t="shared" si="1"/>
        <v>46155</v>
      </c>
      <c r="B40" s="371" t="str">
        <f t="shared" si="2"/>
        <v>Wednesday</v>
      </c>
      <c r="C40" s="372" t="str">
        <f>IFERROR(INDEX(Month!$B$6:$B$49,MATCH(C$2,INDEX(Month!$I$6:$AV$49,0,MATCH($A40,Month!$I$5:$AV$5,0)),0)),"")</f>
        <v/>
      </c>
      <c r="D40" s="372" t="str">
        <f>IFERROR(INDEX(Month!$B$6:$B$49,MATCH(D$2,INDEX(Month!$I$6:$AV$49,0,MATCH($A40,Month!$I$5:$AV$5,0)),0)),"")</f>
        <v/>
      </c>
      <c r="E40" s="372" t="str">
        <f>IFERROR(INDEX(Month!$B$6:$B$49,MATCH(E$2,INDEX(Month!$I$6:$AV$49,0,MATCH($A40,Month!$I$5:$AV$5,0)),0)),"")</f>
        <v/>
      </c>
      <c r="F40" s="372" t="str">
        <f>IFERROR(INDEX(Month!$B$6:$B$49,MATCH(F$2,INDEX(Month!$I$6:$AV$49,0,MATCH($A40,Month!$I$5:$AV$5,0)),0)),"")</f>
        <v/>
      </c>
      <c r="G40" s="372" t="str">
        <f>IFERROR(INDEX(Month!$B$6:$B$49,MATCH(G$2,INDEX(Month!$I$6:$AV$49,0,MATCH($A40,Month!$I$5:$AV$5,0)),0)),"")</f>
        <v/>
      </c>
      <c r="H40" s="372" t="str">
        <f>IFERROR(INDEX(Month!$B$6:$B$49,MATCH(H$2,INDEX(Month!$I$6:$AV$49,0,MATCH($A40,Month!$I$5:$AV$5,0)),0)),"")</f>
        <v/>
      </c>
    </row>
    <row r="41" spans="1:8" ht="16" thickBot="1" x14ac:dyDescent="0.25">
      <c r="A41" s="373">
        <f t="shared" si="1"/>
        <v>46156</v>
      </c>
      <c r="B41" s="371" t="str">
        <f t="shared" si="2"/>
        <v>Thursday</v>
      </c>
      <c r="C41" s="372" t="str">
        <f>IFERROR(INDEX(Month!$B$6:$B$49,MATCH(C$2,INDEX(Month!$I$6:$AV$49,0,MATCH($A41,Month!$I$5:$AV$5,0)),0)),"")</f>
        <v/>
      </c>
      <c r="D41" s="372" t="str">
        <f>IFERROR(INDEX(Month!$B$6:$B$49,MATCH(D$2,INDEX(Month!$I$6:$AV$49,0,MATCH($A41,Month!$I$5:$AV$5,0)),0)),"")</f>
        <v/>
      </c>
      <c r="E41" s="372" t="str">
        <f>IFERROR(INDEX(Month!$B$6:$B$49,MATCH(E$2,INDEX(Month!$I$6:$AV$49,0,MATCH($A41,Month!$I$5:$AV$5,0)),0)),"")</f>
        <v/>
      </c>
      <c r="F41" s="372" t="str">
        <f>IFERROR(INDEX(Month!$B$6:$B$49,MATCH(F$2,INDEX(Month!$I$6:$AV$49,0,MATCH($A41,Month!$I$5:$AV$5,0)),0)),"")</f>
        <v/>
      </c>
      <c r="G41" s="372" t="str">
        <f>IFERROR(INDEX(Month!$B$6:$B$49,MATCH(G$2,INDEX(Month!$I$6:$AV$49,0,MATCH($A41,Month!$I$5:$AV$5,0)),0)),"")</f>
        <v/>
      </c>
      <c r="H41" s="372" t="str">
        <f>IFERROR(INDEX(Month!$B$6:$B$49,MATCH(H$2,INDEX(Month!$I$6:$AV$49,0,MATCH($A41,Month!$I$5:$AV$5,0)),0)),"")</f>
        <v/>
      </c>
    </row>
    <row r="42" spans="1:8" ht="16" thickBot="1" x14ac:dyDescent="0.25">
      <c r="A42" s="373">
        <f t="shared" si="1"/>
        <v>46157</v>
      </c>
      <c r="B42" s="371" t="str">
        <f t="shared" si="2"/>
        <v>Friday</v>
      </c>
      <c r="C42" s="372" t="str">
        <f>IFERROR(INDEX(Month!$B$6:$B$49,MATCH(C$2,INDEX(Month!$I$6:$AV$49,0,MATCH($A42,Month!$I$5:$AV$5,0)),0)),"")</f>
        <v/>
      </c>
      <c r="D42" s="372" t="str">
        <f>IFERROR(INDEX(Month!$B$6:$B$49,MATCH(D$2,INDEX(Month!$I$6:$AV$49,0,MATCH($A42,Month!$I$5:$AV$5,0)),0)),"")</f>
        <v/>
      </c>
      <c r="E42" s="372" t="str">
        <f>IFERROR(INDEX(Month!$B$6:$B$49,MATCH(E$2,INDEX(Month!$I$6:$AV$49,0,MATCH($A42,Month!$I$5:$AV$5,0)),0)),"")</f>
        <v/>
      </c>
      <c r="F42" s="372" t="str">
        <f>IFERROR(INDEX(Month!$B$6:$B$49,MATCH(F$2,INDEX(Month!$I$6:$AV$49,0,MATCH($A42,Month!$I$5:$AV$5,0)),0)),"")</f>
        <v/>
      </c>
      <c r="G42" s="372" t="str">
        <f>IFERROR(INDEX(Month!$B$6:$B$49,MATCH(G$2,INDEX(Month!$I$6:$AV$49,0,MATCH($A42,Month!$I$5:$AV$5,0)),0)),"")</f>
        <v/>
      </c>
      <c r="H42" s="372" t="str">
        <f>IFERROR(INDEX(Month!$B$6:$B$49,MATCH(H$2,INDEX(Month!$I$6:$AV$49,0,MATCH($A42,Month!$I$5:$AV$5,0)),0)),"")</f>
        <v/>
      </c>
    </row>
    <row r="43" spans="1:8" x14ac:dyDescent="0.2">
      <c r="A43" s="373">
        <f t="shared" si="1"/>
        <v>46158</v>
      </c>
      <c r="B43" s="371" t="str">
        <f t="shared" si="2"/>
        <v>Saturday</v>
      </c>
      <c r="C43" s="372" t="str">
        <f>IFERROR(INDEX(Month!$B$6:$B$49,MATCH(C$2,INDEX(Month!$I$6:$AV$49,0,MATCH($A43,Month!$I$5:$AV$5,0)),0)),"")</f>
        <v/>
      </c>
      <c r="D43" s="372" t="str">
        <f>IFERROR(INDEX(Month!$B$6:$B$49,MATCH(D$2,INDEX(Month!$I$6:$AV$49,0,MATCH($A43,Month!$I$5:$AV$5,0)),0)),"")</f>
        <v/>
      </c>
      <c r="E43" s="372" t="str">
        <f>IFERROR(INDEX(Month!$B$6:$B$49,MATCH(E$2,INDEX(Month!$I$6:$AV$49,0,MATCH($A43,Month!$I$5:$AV$5,0)),0)),"")</f>
        <v/>
      </c>
      <c r="F43" s="372" t="str">
        <f>IFERROR(INDEX(Month!$B$6:$B$49,MATCH(F$2,INDEX(Month!$I$6:$AV$49,0,MATCH($A43,Month!$I$5:$AV$5,0)),0)),"")</f>
        <v/>
      </c>
      <c r="G43" s="372" t="str">
        <f>IFERROR(INDEX(Month!$B$6:$B$49,MATCH(G$2,INDEX(Month!$I$6:$AV$49,0,MATCH($A43,Month!$I$5:$AV$5,0)),0)),"")</f>
        <v/>
      </c>
      <c r="H43" s="372" t="str">
        <f>IFERROR(INDEX(Month!$B$6:$B$49,MATCH(H$2,INDEX(Month!$I$6:$AV$49,0,MATCH($A43,Month!$I$5:$AV$5,0)),0)),"")</f>
        <v/>
      </c>
    </row>
  </sheetData>
  <mergeCells count="2">
    <mergeCell ref="A1:B3"/>
    <mergeCell ref="C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404" t="s">
        <v>120</v>
      </c>
      <c r="AK3" s="404"/>
      <c r="AL3" s="404"/>
      <c r="AM3" s="404"/>
    </row>
    <row r="4" spans="2:67" ht="16" thickBot="1" x14ac:dyDescent="0.25">
      <c r="F4" s="1" t="s">
        <v>133</v>
      </c>
      <c r="H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21" t="s">
        <v>120</v>
      </c>
      <c r="AT3" s="421"/>
      <c r="AU3" s="421"/>
      <c r="AV3" s="421"/>
    </row>
    <row r="4" spans="2:76" ht="16" thickBot="1" x14ac:dyDescent="0.25">
      <c r="F4" s="1" t="s">
        <v>133</v>
      </c>
      <c r="H4" s="1" t="s">
        <v>1</v>
      </c>
      <c r="AS4" s="405" t="s">
        <v>133</v>
      </c>
      <c r="AT4" s="406"/>
      <c r="AU4" s="406"/>
      <c r="AV4" s="407"/>
      <c r="AW4" s="393" t="s">
        <v>175</v>
      </c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408"/>
      <c r="BJ4" s="408"/>
      <c r="BK4" s="408"/>
      <c r="BL4" s="394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09" t="s">
        <v>170</v>
      </c>
      <c r="AT5" s="410"/>
      <c r="AU5" s="410"/>
      <c r="AV5" s="411"/>
      <c r="AW5" s="415" t="s">
        <v>176</v>
      </c>
      <c r="AX5" s="416"/>
      <c r="AY5" s="416"/>
      <c r="AZ5" s="416"/>
      <c r="BA5" s="416"/>
      <c r="BB5" s="417"/>
      <c r="BC5" s="415" t="s">
        <v>188</v>
      </c>
      <c r="BD5" s="416"/>
      <c r="BE5" s="416"/>
      <c r="BF5" s="416"/>
      <c r="BG5" s="417"/>
      <c r="BH5" s="415" t="s">
        <v>170</v>
      </c>
      <c r="BI5" s="416"/>
      <c r="BJ5" s="416"/>
      <c r="BK5" s="416"/>
      <c r="BL5" s="417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12"/>
      <c r="AT6" s="413"/>
      <c r="AU6" s="413"/>
      <c r="AV6" s="414"/>
      <c r="AW6" s="418"/>
      <c r="AX6" s="419"/>
      <c r="AY6" s="419"/>
      <c r="AZ6" s="419"/>
      <c r="BA6" s="419"/>
      <c r="BB6" s="420"/>
      <c r="BC6" s="418"/>
      <c r="BD6" s="419"/>
      <c r="BE6" s="419"/>
      <c r="BF6" s="419"/>
      <c r="BG6" s="420"/>
      <c r="BH6" s="418"/>
      <c r="BI6" s="419"/>
      <c r="BJ6" s="419"/>
      <c r="BK6" s="419"/>
      <c r="BL6" s="420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21" t="s">
        <v>120</v>
      </c>
      <c r="AL3" s="421"/>
      <c r="AM3" s="421"/>
      <c r="AN3" s="421"/>
    </row>
    <row r="4" spans="2:68" ht="16" thickBot="1" x14ac:dyDescent="0.25">
      <c r="F4" s="1" t="s">
        <v>133</v>
      </c>
      <c r="H4" s="1" t="s">
        <v>1</v>
      </c>
      <c r="AK4" s="405" t="s">
        <v>133</v>
      </c>
      <c r="AL4" s="406"/>
      <c r="AM4" s="406"/>
      <c r="AN4" s="407"/>
      <c r="AO4" s="393" t="s">
        <v>175</v>
      </c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408"/>
      <c r="BD4" s="394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09" t="s">
        <v>170</v>
      </c>
      <c r="AL5" s="410"/>
      <c r="AM5" s="410"/>
      <c r="AN5" s="411"/>
      <c r="AO5" s="415" t="s">
        <v>176</v>
      </c>
      <c r="AP5" s="416"/>
      <c r="AQ5" s="416"/>
      <c r="AR5" s="416"/>
      <c r="AS5" s="416"/>
      <c r="AT5" s="417"/>
      <c r="AU5" s="415" t="s">
        <v>188</v>
      </c>
      <c r="AV5" s="416"/>
      <c r="AW5" s="416"/>
      <c r="AX5" s="416"/>
      <c r="AY5" s="417"/>
      <c r="AZ5" s="415" t="s">
        <v>170</v>
      </c>
      <c r="BA5" s="416"/>
      <c r="BB5" s="416"/>
      <c r="BC5" s="416"/>
      <c r="BD5" s="417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12"/>
      <c r="AL6" s="413"/>
      <c r="AM6" s="413"/>
      <c r="AN6" s="414"/>
      <c r="AO6" s="418"/>
      <c r="AP6" s="419"/>
      <c r="AQ6" s="419"/>
      <c r="AR6" s="419"/>
      <c r="AS6" s="419"/>
      <c r="AT6" s="420"/>
      <c r="AU6" s="418"/>
      <c r="AV6" s="419"/>
      <c r="AW6" s="419"/>
      <c r="AX6" s="419"/>
      <c r="AY6" s="420"/>
      <c r="AZ6" s="418"/>
      <c r="BA6" s="419"/>
      <c r="BB6" s="419"/>
      <c r="BC6" s="419"/>
      <c r="BD6" s="420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21" t="s">
        <v>120</v>
      </c>
      <c r="AK3" s="421"/>
      <c r="AL3" s="421"/>
      <c r="AM3" s="421"/>
    </row>
    <row r="4" spans="1:67" ht="16" thickBot="1" x14ac:dyDescent="0.25">
      <c r="E4" s="1" t="s">
        <v>133</v>
      </c>
      <c r="G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21" t="s">
        <v>120</v>
      </c>
      <c r="AQ3" s="421"/>
      <c r="AR3" s="421"/>
      <c r="AS3" s="421"/>
    </row>
    <row r="4" spans="2:73" ht="16" thickBot="1" x14ac:dyDescent="0.25">
      <c r="F4" s="1" t="s">
        <v>133</v>
      </c>
      <c r="H4" s="1" t="s">
        <v>1</v>
      </c>
      <c r="AP4" s="405" t="s">
        <v>133</v>
      </c>
      <c r="AQ4" s="406"/>
      <c r="AR4" s="406"/>
      <c r="AS4" s="407"/>
      <c r="AT4" s="393" t="s">
        <v>175</v>
      </c>
      <c r="AU4" s="408"/>
      <c r="AV4" s="408"/>
      <c r="AW4" s="408"/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394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09" t="s">
        <v>170</v>
      </c>
      <c r="AQ5" s="410"/>
      <c r="AR5" s="410"/>
      <c r="AS5" s="411"/>
      <c r="AT5" s="415" t="s">
        <v>176</v>
      </c>
      <c r="AU5" s="416"/>
      <c r="AV5" s="416"/>
      <c r="AW5" s="416"/>
      <c r="AX5" s="416"/>
      <c r="AY5" s="417"/>
      <c r="AZ5" s="415" t="s">
        <v>188</v>
      </c>
      <c r="BA5" s="416"/>
      <c r="BB5" s="416"/>
      <c r="BC5" s="416"/>
      <c r="BD5" s="417"/>
      <c r="BE5" s="415" t="s">
        <v>170</v>
      </c>
      <c r="BF5" s="416"/>
      <c r="BG5" s="416"/>
      <c r="BH5" s="416"/>
      <c r="BI5" s="417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12"/>
      <c r="AQ6" s="413"/>
      <c r="AR6" s="413"/>
      <c r="AS6" s="414"/>
      <c r="AT6" s="418"/>
      <c r="AU6" s="419"/>
      <c r="AV6" s="419"/>
      <c r="AW6" s="419"/>
      <c r="AX6" s="419"/>
      <c r="AY6" s="420"/>
      <c r="AZ6" s="418"/>
      <c r="BA6" s="419"/>
      <c r="BB6" s="419"/>
      <c r="BC6" s="419"/>
      <c r="BD6" s="420"/>
      <c r="BE6" s="418"/>
      <c r="BF6" s="419"/>
      <c r="BG6" s="419"/>
      <c r="BH6" s="419"/>
      <c r="BI6" s="420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22" t="s">
        <v>88</v>
      </c>
      <c r="BE3" s="422"/>
      <c r="BF3" s="422"/>
      <c r="BG3" s="422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2026-09-07T05:54:03Z</dcterms:modified>
</cp:coreProperties>
</file>