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theia/Desktop/Paediatrics/Admin/RosterApp/"/>
    </mc:Choice>
  </mc:AlternateContent>
  <xr:revisionPtr revIDLastSave="0" documentId="13_ncr:1_{3ABB1A7F-D6AF-8F49-A1DC-AF4489E966AB}" xr6:coauthVersionLast="47" xr6:coauthVersionMax="47" xr10:uidLastSave="{00000000-0000-0000-0000-000000000000}"/>
  <bookViews>
    <workbookView xWindow="840" yWindow="1140" windowWidth="28560" windowHeight="16600" activeTab="2" xr2:uid="{B6EBF472-D0B5-0C4E-A945-41133059122F}"/>
  </bookViews>
  <sheets>
    <sheet name="Lookup Data" sheetId="7" state="hidden" r:id="rId1"/>
    <sheet name="Index" sheetId="11" state="hidden" r:id="rId2"/>
    <sheet name="Month" sheetId="18" r:id="rId3"/>
    <sheet name="Month-1" sheetId="24" r:id="rId4"/>
    <sheet name="Infopedia" sheetId="22" r:id="rId5"/>
    <sheet name="Jan 26" sheetId="16" state="hidden" r:id="rId6"/>
    <sheet name="Dec 25" sheetId="15" state="hidden" r:id="rId7"/>
    <sheet name="Nov 25" sheetId="14" state="hidden" r:id="rId8"/>
    <sheet name="Oct 25" sheetId="13" state="hidden" r:id="rId9"/>
    <sheet name="Sep 25" sheetId="10" state="hidden" r:id="rId10"/>
    <sheet name="Aug 25" sheetId="12" state="hidden" r:id="rId11"/>
  </sheets>
  <definedNames>
    <definedName name="ExternalData_2" localSheetId="4">Infopedia!$C$3:$L$31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7" i="18" l="1"/>
  <c r="BD6" i="18"/>
  <c r="BD7" i="18"/>
  <c r="BD8" i="18"/>
  <c r="BD9" i="18"/>
  <c r="BD10" i="18"/>
  <c r="BD11" i="18"/>
  <c r="BD12" i="18"/>
  <c r="BD13" i="18"/>
  <c r="BD14" i="18"/>
  <c r="BD15" i="18"/>
  <c r="BD16" i="18"/>
  <c r="BD17" i="18"/>
  <c r="BD18" i="18"/>
  <c r="BD19" i="18"/>
  <c r="BD20" i="18"/>
  <c r="BD21" i="18"/>
  <c r="BD22" i="18"/>
  <c r="BD23" i="18"/>
  <c r="BD24" i="18"/>
  <c r="BD25" i="18"/>
  <c r="BD26" i="18"/>
  <c r="BD27" i="18"/>
  <c r="BD28" i="18"/>
  <c r="BD29" i="18"/>
  <c r="BD30" i="18"/>
  <c r="BD31" i="18"/>
  <c r="BD32" i="18"/>
  <c r="BD33" i="18"/>
  <c r="BD34" i="18"/>
  <c r="BD35" i="18"/>
  <c r="BD36" i="18"/>
  <c r="BD37" i="18"/>
  <c r="BD38" i="18"/>
  <c r="BD39" i="18"/>
  <c r="BD40" i="18"/>
  <c r="BD41" i="18"/>
  <c r="BD42" i="18"/>
  <c r="BD43" i="18"/>
  <c r="BD44" i="18"/>
  <c r="BD45" i="18"/>
  <c r="BD46" i="18"/>
  <c r="BD47" i="18"/>
  <c r="BD48" i="18"/>
  <c r="BD49" i="18"/>
  <c r="BD50" i="18"/>
  <c r="BD51" i="18"/>
  <c r="BD52" i="18"/>
  <c r="BD53" i="18"/>
  <c r="BD54" i="18"/>
  <c r="BD55" i="18"/>
  <c r="G7" i="18"/>
  <c r="H7" i="18"/>
  <c r="G8" i="18"/>
  <c r="H8" i="18"/>
  <c r="G9" i="18"/>
  <c r="H9" i="18"/>
  <c r="G10" i="18"/>
  <c r="H10" i="18"/>
  <c r="G11" i="18"/>
  <c r="H11" i="18"/>
  <c r="G12" i="18"/>
  <c r="H12" i="18"/>
  <c r="G13" i="18"/>
  <c r="H13" i="18"/>
  <c r="G14" i="18"/>
  <c r="H14" i="18"/>
  <c r="G15" i="18"/>
  <c r="H15" i="18"/>
  <c r="G16" i="18"/>
  <c r="H16" i="18"/>
  <c r="G17" i="18"/>
  <c r="H17" i="18"/>
  <c r="G18" i="18"/>
  <c r="H18" i="18"/>
  <c r="G19" i="18"/>
  <c r="H19" i="18"/>
  <c r="G20" i="18"/>
  <c r="H20" i="18"/>
  <c r="G21" i="18"/>
  <c r="H21" i="18"/>
  <c r="G22" i="18"/>
  <c r="H22" i="18"/>
  <c r="G23" i="18"/>
  <c r="H23" i="18"/>
  <c r="G24" i="18"/>
  <c r="H24" i="18"/>
  <c r="G25" i="18"/>
  <c r="H25" i="18"/>
  <c r="G26" i="18"/>
  <c r="H26" i="18"/>
  <c r="G27" i="18"/>
  <c r="H27" i="18"/>
  <c r="G28" i="18"/>
  <c r="H28" i="18"/>
  <c r="G29" i="18"/>
  <c r="H29" i="18"/>
  <c r="G30" i="18"/>
  <c r="H30" i="18"/>
  <c r="G31" i="18"/>
  <c r="H31" i="18"/>
  <c r="G32" i="18"/>
  <c r="H32" i="18"/>
  <c r="G33" i="18"/>
  <c r="H33" i="18"/>
  <c r="G34" i="18"/>
  <c r="H34" i="18"/>
  <c r="G35" i="18"/>
  <c r="H35" i="18"/>
  <c r="G36" i="18"/>
  <c r="H36" i="18"/>
  <c r="G37" i="18"/>
  <c r="H37" i="18"/>
  <c r="G38" i="18"/>
  <c r="H38" i="18"/>
  <c r="G39" i="18"/>
  <c r="H39" i="18"/>
  <c r="G40" i="18"/>
  <c r="H40" i="18"/>
  <c r="G41" i="18"/>
  <c r="H41" i="18"/>
  <c r="G42" i="18"/>
  <c r="H42" i="18"/>
  <c r="G43" i="18"/>
  <c r="H43" i="18"/>
  <c r="G44" i="18"/>
  <c r="H44" i="18"/>
  <c r="G45" i="18"/>
  <c r="H45" i="18"/>
  <c r="G46" i="18"/>
  <c r="H46" i="18"/>
  <c r="G47" i="18"/>
  <c r="H47" i="18"/>
  <c r="G48" i="18"/>
  <c r="H48" i="18"/>
  <c r="G49" i="18"/>
  <c r="H49" i="18"/>
  <c r="G50" i="18"/>
  <c r="H50" i="18"/>
  <c r="G51" i="18"/>
  <c r="H51" i="18"/>
  <c r="G52" i="18"/>
  <c r="H52" i="18"/>
  <c r="G53" i="18"/>
  <c r="H53" i="18"/>
  <c r="G54" i="18"/>
  <c r="H54" i="18"/>
  <c r="G55" i="18"/>
  <c r="H55" i="18"/>
  <c r="H6" i="18"/>
  <c r="G6" i="18"/>
  <c r="H5" i="18"/>
  <c r="G5" i="18"/>
  <c r="BB7" i="18"/>
  <c r="BB8" i="18"/>
  <c r="BB9" i="18"/>
  <c r="BB10" i="18"/>
  <c r="BB11" i="18"/>
  <c r="BB12" i="18"/>
  <c r="BB13" i="18"/>
  <c r="BB14" i="18"/>
  <c r="BB15" i="18"/>
  <c r="BB16" i="18"/>
  <c r="BB17" i="18"/>
  <c r="BB18" i="18"/>
  <c r="BB19" i="18"/>
  <c r="BB20" i="18"/>
  <c r="BB21" i="18"/>
  <c r="BB22" i="18"/>
  <c r="BB23" i="18"/>
  <c r="BB24" i="18"/>
  <c r="BB25" i="18"/>
  <c r="BB26" i="18"/>
  <c r="BB27" i="18"/>
  <c r="BB28" i="18"/>
  <c r="BB29" i="18"/>
  <c r="BB30" i="18"/>
  <c r="BB31" i="18"/>
  <c r="BB32" i="18"/>
  <c r="BB33" i="18"/>
  <c r="BB34" i="18"/>
  <c r="BB35" i="18"/>
  <c r="BB36" i="18"/>
  <c r="BB37" i="18"/>
  <c r="BB38" i="18"/>
  <c r="BB39" i="18"/>
  <c r="BB40" i="18"/>
  <c r="BB41" i="18"/>
  <c r="BB42" i="18"/>
  <c r="BB43" i="18"/>
  <c r="BB44" i="18"/>
  <c r="BB45" i="18"/>
  <c r="BB46" i="18"/>
  <c r="BB47" i="18"/>
  <c r="BB48" i="18"/>
  <c r="BB49" i="18"/>
  <c r="BB50" i="18"/>
  <c r="BB51" i="18"/>
  <c r="BB52" i="18"/>
  <c r="BB53" i="18"/>
  <c r="BB54" i="18"/>
  <c r="BB55" i="18"/>
  <c r="BB6" i="18"/>
  <c r="D2" i="24" l="1"/>
  <c r="C2" i="24"/>
  <c r="AT7" i="18"/>
  <c r="AU7" i="18"/>
  <c r="AV7" i="18"/>
  <c r="AW7" i="18"/>
  <c r="AX7" i="18"/>
  <c r="AY7" i="18"/>
  <c r="AT8" i="18"/>
  <c r="AU8" i="18"/>
  <c r="AV8" i="18"/>
  <c r="AW8" i="18"/>
  <c r="AX8" i="18"/>
  <c r="AY8" i="18"/>
  <c r="AT9" i="18"/>
  <c r="AU9" i="18"/>
  <c r="AV9" i="18"/>
  <c r="AW9" i="18"/>
  <c r="AX9" i="18"/>
  <c r="AY9" i="18"/>
  <c r="AT10" i="18"/>
  <c r="AU10" i="18"/>
  <c r="AV10" i="18"/>
  <c r="AW10" i="18"/>
  <c r="AX10" i="18"/>
  <c r="AY10" i="18"/>
  <c r="AT11" i="18"/>
  <c r="AU11" i="18"/>
  <c r="AV11" i="18"/>
  <c r="AW11" i="18"/>
  <c r="AX11" i="18"/>
  <c r="AY11" i="18"/>
  <c r="AT12" i="18"/>
  <c r="AU12" i="18"/>
  <c r="AV12" i="18"/>
  <c r="AW12" i="18"/>
  <c r="AX12" i="18"/>
  <c r="AY12" i="18"/>
  <c r="AT13" i="18"/>
  <c r="AU13" i="18"/>
  <c r="AV13" i="18"/>
  <c r="AW13" i="18"/>
  <c r="AX13" i="18"/>
  <c r="AY13" i="18"/>
  <c r="AT14" i="18"/>
  <c r="AU14" i="18"/>
  <c r="AV14" i="18"/>
  <c r="AW14" i="18"/>
  <c r="AX14" i="18"/>
  <c r="AY14" i="18"/>
  <c r="AT15" i="18"/>
  <c r="AU15" i="18"/>
  <c r="AV15" i="18"/>
  <c r="AW15" i="18"/>
  <c r="AX15" i="18"/>
  <c r="AY15" i="18"/>
  <c r="AT16" i="18"/>
  <c r="AU16" i="18"/>
  <c r="AV16" i="18"/>
  <c r="AW16" i="18"/>
  <c r="AX16" i="18"/>
  <c r="AY16" i="18"/>
  <c r="AT17" i="18"/>
  <c r="AU17" i="18"/>
  <c r="AV17" i="18"/>
  <c r="AW17" i="18"/>
  <c r="AX17" i="18"/>
  <c r="AY17" i="18"/>
  <c r="AT18" i="18"/>
  <c r="AU18" i="18"/>
  <c r="AV18" i="18"/>
  <c r="AW18" i="18"/>
  <c r="AX18" i="18"/>
  <c r="AY18" i="18"/>
  <c r="AT19" i="18"/>
  <c r="AU19" i="18"/>
  <c r="AV19" i="18"/>
  <c r="AW19" i="18"/>
  <c r="AX19" i="18"/>
  <c r="AY19" i="18"/>
  <c r="AT20" i="18"/>
  <c r="AU20" i="18"/>
  <c r="AV20" i="18"/>
  <c r="AW20" i="18"/>
  <c r="AX20" i="18"/>
  <c r="AY20" i="18"/>
  <c r="AT21" i="18"/>
  <c r="AU21" i="18"/>
  <c r="AV21" i="18"/>
  <c r="AW21" i="18"/>
  <c r="AX21" i="18"/>
  <c r="AY21" i="18"/>
  <c r="AT22" i="18"/>
  <c r="AU22" i="18"/>
  <c r="AV22" i="18"/>
  <c r="AW22" i="18"/>
  <c r="AX22" i="18"/>
  <c r="AY22" i="18"/>
  <c r="AT23" i="18"/>
  <c r="AU23" i="18"/>
  <c r="AV23" i="18"/>
  <c r="AW23" i="18"/>
  <c r="AX23" i="18"/>
  <c r="AY23" i="18"/>
  <c r="AT24" i="18"/>
  <c r="AU24" i="18"/>
  <c r="AV24" i="18"/>
  <c r="AW24" i="18"/>
  <c r="AX24" i="18"/>
  <c r="AY24" i="18"/>
  <c r="AT25" i="18"/>
  <c r="AU25" i="18"/>
  <c r="AV25" i="18"/>
  <c r="AW25" i="18"/>
  <c r="AX25" i="18"/>
  <c r="AY25" i="18"/>
  <c r="AT26" i="18"/>
  <c r="AU26" i="18"/>
  <c r="AV26" i="18"/>
  <c r="AW26" i="18"/>
  <c r="AX26" i="18"/>
  <c r="AY26" i="18"/>
  <c r="AT27" i="18"/>
  <c r="AU27" i="18"/>
  <c r="AV27" i="18"/>
  <c r="AW27" i="18"/>
  <c r="AX27" i="18"/>
  <c r="AY27" i="18"/>
  <c r="AT28" i="18"/>
  <c r="AU28" i="18"/>
  <c r="AV28" i="18"/>
  <c r="AW28" i="18"/>
  <c r="AX28" i="18"/>
  <c r="AY28" i="18"/>
  <c r="AT29" i="18"/>
  <c r="AU29" i="18"/>
  <c r="AV29" i="18"/>
  <c r="AW29" i="18"/>
  <c r="AX29" i="18"/>
  <c r="AY29" i="18"/>
  <c r="AT30" i="18"/>
  <c r="AU30" i="18"/>
  <c r="AV30" i="18"/>
  <c r="AW30" i="18"/>
  <c r="AX30" i="18"/>
  <c r="AY30" i="18"/>
  <c r="AT31" i="18"/>
  <c r="AU31" i="18"/>
  <c r="AV31" i="18"/>
  <c r="AW31" i="18"/>
  <c r="AX31" i="18"/>
  <c r="AY31" i="18"/>
  <c r="AT32" i="18"/>
  <c r="AU32" i="18"/>
  <c r="AV32" i="18"/>
  <c r="AW32" i="18"/>
  <c r="AX32" i="18"/>
  <c r="AY32" i="18"/>
  <c r="AT33" i="18"/>
  <c r="AU33" i="18"/>
  <c r="AV33" i="18"/>
  <c r="AW33" i="18"/>
  <c r="AX33" i="18"/>
  <c r="AY33" i="18"/>
  <c r="AT34" i="18"/>
  <c r="AU34" i="18"/>
  <c r="AV34" i="18"/>
  <c r="AW34" i="18"/>
  <c r="AX34" i="18"/>
  <c r="AY34" i="18"/>
  <c r="AT35" i="18"/>
  <c r="AU35" i="18"/>
  <c r="AV35" i="18"/>
  <c r="AW35" i="18"/>
  <c r="AX35" i="18"/>
  <c r="AY35" i="18"/>
  <c r="AT36" i="18"/>
  <c r="AU36" i="18"/>
  <c r="AV36" i="18"/>
  <c r="AW36" i="18"/>
  <c r="AX36" i="18"/>
  <c r="AY36" i="18"/>
  <c r="AT37" i="18"/>
  <c r="AU37" i="18"/>
  <c r="AV37" i="18"/>
  <c r="AW37" i="18"/>
  <c r="AX37" i="18"/>
  <c r="AY37" i="18"/>
  <c r="AT38" i="18"/>
  <c r="AU38" i="18"/>
  <c r="AV38" i="18"/>
  <c r="AW38" i="18"/>
  <c r="AX38" i="18"/>
  <c r="AY38" i="18"/>
  <c r="AT39" i="18"/>
  <c r="AU39" i="18"/>
  <c r="AV39" i="18"/>
  <c r="AW39" i="18"/>
  <c r="AX39" i="18"/>
  <c r="AY39" i="18"/>
  <c r="AT40" i="18"/>
  <c r="AU40" i="18"/>
  <c r="AV40" i="18"/>
  <c r="AW40" i="18"/>
  <c r="AX40" i="18"/>
  <c r="AY40" i="18"/>
  <c r="AT41" i="18"/>
  <c r="AU41" i="18"/>
  <c r="AV41" i="18"/>
  <c r="AW41" i="18"/>
  <c r="AX41" i="18"/>
  <c r="AY41" i="18"/>
  <c r="AT42" i="18"/>
  <c r="AU42" i="18"/>
  <c r="AV42" i="18"/>
  <c r="AW42" i="18"/>
  <c r="AX42" i="18"/>
  <c r="AY42" i="18"/>
  <c r="AT43" i="18"/>
  <c r="AU43" i="18"/>
  <c r="AV43" i="18"/>
  <c r="AW43" i="18"/>
  <c r="AX43" i="18"/>
  <c r="AY43" i="18"/>
  <c r="AT44" i="18"/>
  <c r="AU44" i="18"/>
  <c r="AV44" i="18"/>
  <c r="AW44" i="18"/>
  <c r="AX44" i="18"/>
  <c r="AY44" i="18"/>
  <c r="AT45" i="18"/>
  <c r="AU45" i="18"/>
  <c r="AV45" i="18"/>
  <c r="AW45" i="18"/>
  <c r="AX45" i="18"/>
  <c r="AY45" i="18"/>
  <c r="AT46" i="18"/>
  <c r="AU46" i="18"/>
  <c r="AV46" i="18"/>
  <c r="AW46" i="18"/>
  <c r="AX46" i="18"/>
  <c r="AY46" i="18"/>
  <c r="AT47" i="18"/>
  <c r="AU47" i="18"/>
  <c r="AV47" i="18"/>
  <c r="AW47" i="18"/>
  <c r="AX47" i="18"/>
  <c r="AY47" i="18"/>
  <c r="AT48" i="18"/>
  <c r="AU48" i="18"/>
  <c r="AV48" i="18"/>
  <c r="AW48" i="18"/>
  <c r="AX48" i="18"/>
  <c r="AY48" i="18"/>
  <c r="AT49" i="18"/>
  <c r="AU49" i="18"/>
  <c r="AV49" i="18"/>
  <c r="AW49" i="18"/>
  <c r="AX49" i="18"/>
  <c r="AY49" i="18"/>
  <c r="AT50" i="18"/>
  <c r="AU50" i="18"/>
  <c r="AV50" i="18"/>
  <c r="AW50" i="18"/>
  <c r="AX50" i="18"/>
  <c r="AY50" i="18"/>
  <c r="AT51" i="18"/>
  <c r="AU51" i="18"/>
  <c r="AV51" i="18"/>
  <c r="AW51" i="18"/>
  <c r="AX51" i="18"/>
  <c r="AY51" i="18"/>
  <c r="AT52" i="18"/>
  <c r="AU52" i="18"/>
  <c r="AV52" i="18"/>
  <c r="AW52" i="18"/>
  <c r="AX52" i="18"/>
  <c r="AY52" i="18"/>
  <c r="AT53" i="18"/>
  <c r="AU53" i="18"/>
  <c r="AV53" i="18"/>
  <c r="AW53" i="18"/>
  <c r="AX53" i="18"/>
  <c r="AY53" i="18"/>
  <c r="AT54" i="18"/>
  <c r="AU54" i="18"/>
  <c r="AV54" i="18"/>
  <c r="AW54" i="18"/>
  <c r="AX54" i="18"/>
  <c r="AY54" i="18"/>
  <c r="AT55" i="18"/>
  <c r="AU55" i="18"/>
  <c r="AV55" i="18"/>
  <c r="AW55" i="18"/>
  <c r="AX55" i="18"/>
  <c r="AY55" i="18"/>
  <c r="AY6" i="18"/>
  <c r="AX6" i="18"/>
  <c r="AW6" i="18"/>
  <c r="AV6" i="18"/>
  <c r="AU6" i="18"/>
  <c r="AT6" i="18"/>
  <c r="AQ57" i="18"/>
  <c r="AQ58" i="18"/>
  <c r="AQ59" i="18"/>
  <c r="AQ60" i="18"/>
  <c r="AQ61" i="18"/>
  <c r="AQ62" i="18"/>
  <c r="AQ63" i="18"/>
  <c r="AQ64" i="18"/>
  <c r="A4" i="22"/>
  <c r="D4" i="22" s="1"/>
  <c r="AZ19" i="18" l="1"/>
  <c r="AZ20" i="18"/>
  <c r="AZ31" i="18"/>
  <c r="AZ23" i="18"/>
  <c r="BA11" i="18"/>
  <c r="BC11" i="18" s="1"/>
  <c r="BE11" i="18" s="1"/>
  <c r="BA7" i="18"/>
  <c r="BC7" i="18" s="1"/>
  <c r="BE7" i="18" s="1"/>
  <c r="BA19" i="18"/>
  <c r="BC19" i="18" s="1"/>
  <c r="BE19" i="18" s="1"/>
  <c r="AZ55" i="18"/>
  <c r="AZ52" i="18"/>
  <c r="AZ43" i="18"/>
  <c r="BA31" i="18"/>
  <c r="BC31" i="18" s="1"/>
  <c r="BE31" i="18" s="1"/>
  <c r="AZ8" i="18"/>
  <c r="AZ15" i="18"/>
  <c r="AZ7" i="18"/>
  <c r="BA51" i="18"/>
  <c r="BC51" i="18" s="1"/>
  <c r="BE51" i="18" s="1"/>
  <c r="BA39" i="18"/>
  <c r="BC39" i="18" s="1"/>
  <c r="BE39" i="18" s="1"/>
  <c r="AZ35" i="18"/>
  <c r="BA23" i="18"/>
  <c r="BC23" i="18" s="1"/>
  <c r="BE23" i="18" s="1"/>
  <c r="AZ40" i="18"/>
  <c r="AZ32" i="18"/>
  <c r="AZ44" i="18"/>
  <c r="AZ36" i="18"/>
  <c r="AZ24" i="18"/>
  <c r="AZ16" i="18"/>
  <c r="AZ12" i="18"/>
  <c r="AZ47" i="18"/>
  <c r="AZ27" i="18"/>
  <c r="BA43" i="18"/>
  <c r="BC43" i="18" s="1"/>
  <c r="BE43" i="18" s="1"/>
  <c r="AZ11" i="18"/>
  <c r="BA55" i="18"/>
  <c r="BC55" i="18" s="1"/>
  <c r="BE55" i="18" s="1"/>
  <c r="AZ28" i="18"/>
  <c r="AZ48" i="18"/>
  <c r="BA42" i="18"/>
  <c r="BC42" i="18" s="1"/>
  <c r="BE42" i="18" s="1"/>
  <c r="AZ39" i="18"/>
  <c r="BA27" i="18"/>
  <c r="BC27" i="18" s="1"/>
  <c r="BE27" i="18" s="1"/>
  <c r="AZ53" i="18"/>
  <c r="BA46" i="18"/>
  <c r="BC46" i="18" s="1"/>
  <c r="BE46" i="18" s="1"/>
  <c r="BA47" i="18"/>
  <c r="BC47" i="18" s="1"/>
  <c r="BE47" i="18" s="1"/>
  <c r="BA15" i="18"/>
  <c r="BC15" i="18" s="1"/>
  <c r="BE15" i="18" s="1"/>
  <c r="BA6" i="18"/>
  <c r="BC6" i="18" s="1"/>
  <c r="BE6" i="18" s="1"/>
  <c r="AZ54" i="18"/>
  <c r="AZ50" i="18"/>
  <c r="AZ46" i="18"/>
  <c r="AZ42" i="18"/>
  <c r="AZ38" i="18"/>
  <c r="AZ34" i="18"/>
  <c r="AZ30" i="18"/>
  <c r="AZ26" i="18"/>
  <c r="AZ22" i="18"/>
  <c r="AZ18" i="18"/>
  <c r="AZ14" i="18"/>
  <c r="AZ10" i="18"/>
  <c r="AZ51" i="18"/>
  <c r="BA54" i="18"/>
  <c r="BC54" i="18" s="1"/>
  <c r="BE54" i="18" s="1"/>
  <c r="BA50" i="18"/>
  <c r="BC50" i="18" s="1"/>
  <c r="BE50" i="18" s="1"/>
  <c r="BA49" i="18"/>
  <c r="BC49" i="18" s="1"/>
  <c r="BE49" i="18" s="1"/>
  <c r="AZ45" i="18"/>
  <c r="BA35" i="18"/>
  <c r="BC35" i="18" s="1"/>
  <c r="BE35" i="18" s="1"/>
  <c r="BA52" i="18"/>
  <c r="BC52" i="18" s="1"/>
  <c r="BE52" i="18" s="1"/>
  <c r="BA48" i="18"/>
  <c r="BC48" i="18" s="1"/>
  <c r="BE48" i="18" s="1"/>
  <c r="BA44" i="18"/>
  <c r="BC44" i="18" s="1"/>
  <c r="BE44" i="18" s="1"/>
  <c r="BA40" i="18"/>
  <c r="BC40" i="18" s="1"/>
  <c r="BE40" i="18" s="1"/>
  <c r="BA36" i="18"/>
  <c r="BC36" i="18" s="1"/>
  <c r="BE36" i="18" s="1"/>
  <c r="BA32" i="18"/>
  <c r="BC32" i="18" s="1"/>
  <c r="BE32" i="18" s="1"/>
  <c r="BA28" i="18"/>
  <c r="BC28" i="18" s="1"/>
  <c r="BE28" i="18" s="1"/>
  <c r="BA24" i="18"/>
  <c r="BC24" i="18" s="1"/>
  <c r="BE24" i="18" s="1"/>
  <c r="BA20" i="18"/>
  <c r="BC20" i="18" s="1"/>
  <c r="BE20" i="18" s="1"/>
  <c r="BA16" i="18"/>
  <c r="BC16" i="18" s="1"/>
  <c r="BE16" i="18" s="1"/>
  <c r="BA12" i="18"/>
  <c r="BC12" i="18" s="1"/>
  <c r="BE12" i="18" s="1"/>
  <c r="BA8" i="18"/>
  <c r="BC8" i="18" s="1"/>
  <c r="BE8" i="18" s="1"/>
  <c r="BA41" i="18"/>
  <c r="BC41" i="18" s="1"/>
  <c r="BE41" i="18" s="1"/>
  <c r="BA38" i="18"/>
  <c r="BC38" i="18" s="1"/>
  <c r="BE38" i="18" s="1"/>
  <c r="AZ37" i="18"/>
  <c r="BA34" i="18"/>
  <c r="BC34" i="18" s="1"/>
  <c r="BE34" i="18" s="1"/>
  <c r="BA33" i="18"/>
  <c r="BC33" i="18" s="1"/>
  <c r="BE33" i="18" s="1"/>
  <c r="BA30" i="18"/>
  <c r="BC30" i="18" s="1"/>
  <c r="BE30" i="18" s="1"/>
  <c r="AZ29" i="18"/>
  <c r="BA26" i="18"/>
  <c r="BC26" i="18" s="1"/>
  <c r="BE26" i="18" s="1"/>
  <c r="BA25" i="18"/>
  <c r="BC25" i="18" s="1"/>
  <c r="BE25" i="18" s="1"/>
  <c r="BA22" i="18"/>
  <c r="BC22" i="18" s="1"/>
  <c r="BE22" i="18" s="1"/>
  <c r="AZ21" i="18"/>
  <c r="BA18" i="18"/>
  <c r="BC18" i="18" s="1"/>
  <c r="BE18" i="18" s="1"/>
  <c r="AZ17" i="18"/>
  <c r="BA14" i="18"/>
  <c r="BC14" i="18" s="1"/>
  <c r="BE14" i="18" s="1"/>
  <c r="BA13" i="18"/>
  <c r="BC13" i="18" s="1"/>
  <c r="BE13" i="18" s="1"/>
  <c r="BA10" i="18"/>
  <c r="BC10" i="18" s="1"/>
  <c r="BE10" i="18" s="1"/>
  <c r="AZ9" i="18"/>
  <c r="AZ49" i="18"/>
  <c r="AZ41" i="18"/>
  <c r="AZ33" i="18"/>
  <c r="AZ25" i="18"/>
  <c r="AZ13" i="18"/>
  <c r="BA53" i="18"/>
  <c r="BC53" i="18" s="1"/>
  <c r="BE53" i="18" s="1"/>
  <c r="BA45" i="18"/>
  <c r="BC45" i="18" s="1"/>
  <c r="BE45" i="18" s="1"/>
  <c r="BA37" i="18"/>
  <c r="BC37" i="18" s="1"/>
  <c r="BE37" i="18" s="1"/>
  <c r="BA29" i="18"/>
  <c r="BC29" i="18" s="1"/>
  <c r="BE29" i="18" s="1"/>
  <c r="BA21" i="18"/>
  <c r="BC21" i="18" s="1"/>
  <c r="BE21" i="18" s="1"/>
  <c r="BA17" i="18"/>
  <c r="BC17" i="18" s="1"/>
  <c r="BE17" i="18" s="1"/>
  <c r="BA9" i="18"/>
  <c r="BC9" i="18" s="1"/>
  <c r="BE9" i="18" s="1"/>
  <c r="AZ6" i="18"/>
  <c r="L4" i="22"/>
  <c r="K4" i="22"/>
  <c r="C4" i="22"/>
  <c r="H4" i="22"/>
  <c r="G4" i="22"/>
  <c r="J4" i="22"/>
  <c r="I4" i="22"/>
  <c r="F4" i="22"/>
  <c r="E4" i="22"/>
  <c r="B4" i="22"/>
  <c r="A5" i="22"/>
  <c r="B5" i="22" l="1"/>
  <c r="A6" i="22"/>
  <c r="B6" i="22" l="1"/>
  <c r="A7" i="22"/>
  <c r="B7" i="22" l="1"/>
  <c r="A8" i="22"/>
  <c r="B8" i="22" l="1"/>
  <c r="A9" i="22"/>
  <c r="B9" i="22" l="1"/>
  <c r="A10" i="22"/>
  <c r="B10" i="22" l="1"/>
  <c r="A11" i="22"/>
  <c r="B11" i="22" l="1"/>
  <c r="A12" i="22"/>
  <c r="B12" i="22" l="1"/>
  <c r="A13" i="22"/>
  <c r="B13" i="22" l="1"/>
  <c r="A14" i="22"/>
  <c r="B14" i="22" l="1"/>
  <c r="A15" i="22"/>
  <c r="B15" i="22" l="1"/>
  <c r="A16" i="22"/>
  <c r="B16" i="22" l="1"/>
  <c r="A17" i="22"/>
  <c r="B17" i="22" l="1"/>
  <c r="A18" i="22"/>
  <c r="B18" i="22" l="1"/>
  <c r="A19" i="22"/>
  <c r="B19" i="22" l="1"/>
  <c r="A20" i="22"/>
  <c r="B20" i="22" l="1"/>
  <c r="A21" i="22"/>
  <c r="B21" i="22" l="1"/>
  <c r="A22" i="22"/>
  <c r="B22" i="22" l="1"/>
  <c r="A23" i="22"/>
  <c r="B23" i="22" l="1"/>
  <c r="A24" i="22"/>
  <c r="B24" i="22" l="1"/>
  <c r="A25" i="22"/>
  <c r="B25" i="22" l="1"/>
  <c r="A26" i="22"/>
  <c r="B26" i="22" l="1"/>
  <c r="A27" i="22"/>
  <c r="B27" i="22" l="1"/>
  <c r="A28" i="22"/>
  <c r="B28" i="22" l="1"/>
  <c r="A29" i="22"/>
  <c r="B29" i="22" l="1"/>
  <c r="A30" i="22"/>
  <c r="B30" i="22" l="1"/>
  <c r="A31" i="22"/>
  <c r="B31" i="22" l="1"/>
  <c r="A32" i="22"/>
  <c r="B32" i="22" l="1"/>
  <c r="A33" i="22"/>
  <c r="B33" i="22" l="1"/>
  <c r="A34" i="22"/>
  <c r="B34" i="22" l="1"/>
  <c r="A35" i="22"/>
  <c r="B35" i="22" l="1"/>
  <c r="A36" i="22"/>
  <c r="B36" i="22" l="1"/>
  <c r="A37" i="22"/>
  <c r="B37" i="22" l="1"/>
  <c r="A38" i="22"/>
  <c r="A39" i="22" s="1"/>
  <c r="B39" i="22" l="1"/>
  <c r="A40" i="22"/>
  <c r="B38" i="22"/>
  <c r="B40" i="22" l="1"/>
  <c r="A41" i="22"/>
  <c r="J57" i="18"/>
  <c r="K57" i="18"/>
  <c r="L57" i="18"/>
  <c r="M57" i="18"/>
  <c r="N57" i="18"/>
  <c r="O57" i="18"/>
  <c r="P57" i="18"/>
  <c r="Q57" i="18"/>
  <c r="R57" i="18"/>
  <c r="S57" i="18"/>
  <c r="T57" i="18"/>
  <c r="U57" i="18"/>
  <c r="V57" i="18"/>
  <c r="W57" i="18"/>
  <c r="X57" i="18"/>
  <c r="Y57" i="18"/>
  <c r="Z57" i="18"/>
  <c r="AA57" i="18"/>
  <c r="AB57" i="18"/>
  <c r="AC57" i="18"/>
  <c r="AD57" i="18"/>
  <c r="AE57" i="18"/>
  <c r="AF57" i="18"/>
  <c r="AG57" i="18"/>
  <c r="AH57" i="18"/>
  <c r="AI57" i="18"/>
  <c r="AJ57" i="18"/>
  <c r="AK57" i="18"/>
  <c r="AL57" i="18"/>
  <c r="AM57" i="18"/>
  <c r="AN57" i="18"/>
  <c r="AO57" i="18"/>
  <c r="AP57" i="18"/>
  <c r="AR57" i="18"/>
  <c r="J58" i="18"/>
  <c r="K58" i="18"/>
  <c r="L58" i="18"/>
  <c r="M58" i="18"/>
  <c r="N58" i="18"/>
  <c r="O58" i="18"/>
  <c r="P58" i="18"/>
  <c r="Q58" i="18"/>
  <c r="R58" i="18"/>
  <c r="S58" i="18"/>
  <c r="T58" i="18"/>
  <c r="U58" i="18"/>
  <c r="V58" i="18"/>
  <c r="W58" i="18"/>
  <c r="X58" i="18"/>
  <c r="Y58" i="18"/>
  <c r="Z58" i="18"/>
  <c r="AA58" i="18"/>
  <c r="AB58" i="18"/>
  <c r="AC58" i="18"/>
  <c r="AD58" i="18"/>
  <c r="AE58" i="18"/>
  <c r="AF58" i="18"/>
  <c r="AG58" i="18"/>
  <c r="AH58" i="18"/>
  <c r="AI58" i="18"/>
  <c r="AJ58" i="18"/>
  <c r="AK58" i="18"/>
  <c r="AL58" i="18"/>
  <c r="AM58" i="18"/>
  <c r="AN58" i="18"/>
  <c r="AO58" i="18"/>
  <c r="AP58" i="18"/>
  <c r="AR58" i="18"/>
  <c r="J59" i="18"/>
  <c r="K59" i="18"/>
  <c r="L59" i="18"/>
  <c r="M59" i="18"/>
  <c r="N59" i="18"/>
  <c r="O59" i="18"/>
  <c r="P59" i="18"/>
  <c r="Q59" i="18"/>
  <c r="R59" i="18"/>
  <c r="S59" i="18"/>
  <c r="T59" i="18"/>
  <c r="U59" i="18"/>
  <c r="V59" i="18"/>
  <c r="W59" i="18"/>
  <c r="X59" i="18"/>
  <c r="Y59" i="18"/>
  <c r="Z59" i="18"/>
  <c r="AA59" i="18"/>
  <c r="AB59" i="18"/>
  <c r="AC59" i="18"/>
  <c r="AD59" i="18"/>
  <c r="AE59" i="18"/>
  <c r="AF59" i="18"/>
  <c r="AG59" i="18"/>
  <c r="AH59" i="18"/>
  <c r="AI59" i="18"/>
  <c r="AJ59" i="18"/>
  <c r="AK59" i="18"/>
  <c r="AL59" i="18"/>
  <c r="AM59" i="18"/>
  <c r="AN59" i="18"/>
  <c r="AO59" i="18"/>
  <c r="AP59" i="18"/>
  <c r="AR59" i="18"/>
  <c r="J60" i="18"/>
  <c r="K60" i="18"/>
  <c r="L60" i="18"/>
  <c r="M60" i="18"/>
  <c r="N60" i="18"/>
  <c r="O60" i="18"/>
  <c r="P60" i="18"/>
  <c r="Q60" i="18"/>
  <c r="R60" i="18"/>
  <c r="S60" i="18"/>
  <c r="T60" i="18"/>
  <c r="U60" i="18"/>
  <c r="V60" i="18"/>
  <c r="W60" i="18"/>
  <c r="X60" i="18"/>
  <c r="Y60" i="18"/>
  <c r="Z60" i="18"/>
  <c r="AA60" i="18"/>
  <c r="AB60" i="18"/>
  <c r="AC60" i="18"/>
  <c r="AD60" i="18"/>
  <c r="AE60" i="18"/>
  <c r="AF60" i="18"/>
  <c r="AG60" i="18"/>
  <c r="AH60" i="18"/>
  <c r="AI60" i="18"/>
  <c r="AJ60" i="18"/>
  <c r="AK60" i="18"/>
  <c r="AL60" i="18"/>
  <c r="AM60" i="18"/>
  <c r="AN60" i="18"/>
  <c r="AO60" i="18"/>
  <c r="AP60" i="18"/>
  <c r="AR60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Z61" i="18"/>
  <c r="AA61" i="18"/>
  <c r="AB61" i="18"/>
  <c r="AC61" i="18"/>
  <c r="AD61" i="18"/>
  <c r="AE61" i="18"/>
  <c r="AF61" i="18"/>
  <c r="AG61" i="18"/>
  <c r="AH61" i="18"/>
  <c r="AI61" i="18"/>
  <c r="AJ61" i="18"/>
  <c r="AK61" i="18"/>
  <c r="AL61" i="18"/>
  <c r="AM61" i="18"/>
  <c r="AN61" i="18"/>
  <c r="AO61" i="18"/>
  <c r="AP61" i="18"/>
  <c r="AR61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Z62" i="18"/>
  <c r="AA62" i="18"/>
  <c r="AB62" i="18"/>
  <c r="AC62" i="18"/>
  <c r="AD62" i="18"/>
  <c r="AE62" i="18"/>
  <c r="AF62" i="18"/>
  <c r="AG62" i="18"/>
  <c r="AH62" i="18"/>
  <c r="AI62" i="18"/>
  <c r="AJ62" i="18"/>
  <c r="AK62" i="18"/>
  <c r="AL62" i="18"/>
  <c r="AM62" i="18"/>
  <c r="AN62" i="18"/>
  <c r="AO62" i="18"/>
  <c r="AP62" i="18"/>
  <c r="AR62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AA63" i="18"/>
  <c r="AB63" i="18"/>
  <c r="AC63" i="18"/>
  <c r="AD63" i="18"/>
  <c r="AE63" i="18"/>
  <c r="AF63" i="18"/>
  <c r="AG63" i="18"/>
  <c r="AH63" i="18"/>
  <c r="AI63" i="18"/>
  <c r="AJ63" i="18"/>
  <c r="AK63" i="18"/>
  <c r="AL63" i="18"/>
  <c r="AM63" i="18"/>
  <c r="AN63" i="18"/>
  <c r="AO63" i="18"/>
  <c r="AP63" i="18"/>
  <c r="AR63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Z64" i="18"/>
  <c r="AA64" i="18"/>
  <c r="AB64" i="18"/>
  <c r="AC64" i="18"/>
  <c r="AD64" i="18"/>
  <c r="AE64" i="18"/>
  <c r="AF64" i="18"/>
  <c r="AG64" i="18"/>
  <c r="AH64" i="18"/>
  <c r="AI64" i="18"/>
  <c r="AJ64" i="18"/>
  <c r="AK64" i="18"/>
  <c r="AL64" i="18"/>
  <c r="AM64" i="18"/>
  <c r="AN64" i="18"/>
  <c r="AO64" i="18"/>
  <c r="AP64" i="18"/>
  <c r="AR64" i="18"/>
  <c r="I64" i="18"/>
  <c r="I63" i="18"/>
  <c r="I62" i="18"/>
  <c r="I61" i="18"/>
  <c r="I60" i="18"/>
  <c r="I59" i="18"/>
  <c r="I58" i="18"/>
  <c r="I2" i="18"/>
  <c r="B41" i="22" l="1"/>
  <c r="A42" i="22"/>
  <c r="J5" i="18"/>
  <c r="AJ12" i="16"/>
  <c r="F8" i="16"/>
  <c r="AS9" i="16"/>
  <c r="AS10" i="16"/>
  <c r="AS11" i="16"/>
  <c r="AS12" i="16"/>
  <c r="AS13" i="16"/>
  <c r="AS14" i="16"/>
  <c r="AS15" i="16"/>
  <c r="AS16" i="16"/>
  <c r="AS17" i="16"/>
  <c r="AS18" i="16"/>
  <c r="AS19" i="16"/>
  <c r="AS20" i="16"/>
  <c r="AS21" i="16"/>
  <c r="AS22" i="16"/>
  <c r="AS23" i="16"/>
  <c r="AS24" i="16"/>
  <c r="AS25" i="16"/>
  <c r="AS26" i="16"/>
  <c r="AS27" i="16"/>
  <c r="AS28" i="16"/>
  <c r="AS29" i="16"/>
  <c r="AS30" i="16"/>
  <c r="AS31" i="16"/>
  <c r="AS32" i="16"/>
  <c r="AS33" i="16"/>
  <c r="AS34" i="16"/>
  <c r="AS35" i="16"/>
  <c r="AS36" i="16"/>
  <c r="AS37" i="16"/>
  <c r="AS38" i="16"/>
  <c r="AS39" i="16"/>
  <c r="AS40" i="16"/>
  <c r="AS41" i="16"/>
  <c r="AS42" i="16"/>
  <c r="AS43" i="16"/>
  <c r="AS44" i="16"/>
  <c r="AS8" i="16"/>
  <c r="B42" i="22" l="1"/>
  <c r="A43" i="22"/>
  <c r="B43" i="22" s="1"/>
  <c r="J2" i="18"/>
  <c r="G5" i="22"/>
  <c r="E5" i="22"/>
  <c r="C5" i="22"/>
  <c r="L5" i="22"/>
  <c r="J5" i="22"/>
  <c r="K5" i="22"/>
  <c r="H5" i="22"/>
  <c r="I5" i="22"/>
  <c r="F5" i="22"/>
  <c r="D5" i="22"/>
  <c r="K5" i="18"/>
  <c r="I54" i="16"/>
  <c r="J54" i="16"/>
  <c r="K54" i="16"/>
  <c r="L54" i="16"/>
  <c r="M54" i="16"/>
  <c r="N54" i="16"/>
  <c r="O54" i="16"/>
  <c r="P54" i="16"/>
  <c r="Q54" i="16"/>
  <c r="R54" i="16"/>
  <c r="S54" i="16"/>
  <c r="T54" i="16"/>
  <c r="U54" i="16"/>
  <c r="V54" i="16"/>
  <c r="W54" i="16"/>
  <c r="X54" i="16"/>
  <c r="Y54" i="16"/>
  <c r="Z54" i="16"/>
  <c r="AA54" i="16"/>
  <c r="AB54" i="16"/>
  <c r="AC54" i="16"/>
  <c r="AD54" i="16"/>
  <c r="AE54" i="16"/>
  <c r="AF54" i="16"/>
  <c r="AG54" i="16"/>
  <c r="AH54" i="16"/>
  <c r="H54" i="16"/>
  <c r="AR35" i="16"/>
  <c r="AW35" i="16"/>
  <c r="AR36" i="16"/>
  <c r="AW36" i="16"/>
  <c r="AR32" i="16"/>
  <c r="AW32" i="16"/>
  <c r="AJ9" i="16"/>
  <c r="AK9" i="16"/>
  <c r="AL9" i="16"/>
  <c r="AM9" i="16"/>
  <c r="AJ10" i="16"/>
  <c r="AK10" i="16"/>
  <c r="AL10" i="16"/>
  <c r="AM10" i="16"/>
  <c r="AJ11" i="16"/>
  <c r="AK11" i="16"/>
  <c r="AL11" i="16"/>
  <c r="AM11" i="16"/>
  <c r="AK12" i="16"/>
  <c r="AL12" i="16"/>
  <c r="AM12" i="16"/>
  <c r="AJ13" i="16"/>
  <c r="AK13" i="16"/>
  <c r="AL13" i="16"/>
  <c r="AM13" i="16"/>
  <c r="AJ14" i="16"/>
  <c r="AK14" i="16"/>
  <c r="AL14" i="16"/>
  <c r="AM14" i="16"/>
  <c r="AJ15" i="16"/>
  <c r="AK15" i="16"/>
  <c r="AL15" i="16"/>
  <c r="AM15" i="16"/>
  <c r="AJ16" i="16"/>
  <c r="AK16" i="16"/>
  <c r="AL16" i="16"/>
  <c r="AM16" i="16"/>
  <c r="AJ17" i="16"/>
  <c r="AK17" i="16"/>
  <c r="AL17" i="16"/>
  <c r="AM17" i="16"/>
  <c r="AJ18" i="16"/>
  <c r="AK18" i="16"/>
  <c r="AL18" i="16"/>
  <c r="AM18" i="16"/>
  <c r="AJ19" i="16"/>
  <c r="AK19" i="16"/>
  <c r="AL19" i="16"/>
  <c r="AM19" i="16"/>
  <c r="AJ20" i="16"/>
  <c r="AK20" i="16"/>
  <c r="AL20" i="16"/>
  <c r="AM20" i="16"/>
  <c r="AJ21" i="16"/>
  <c r="AK21" i="16"/>
  <c r="AL21" i="16"/>
  <c r="AM21" i="16"/>
  <c r="AJ22" i="16"/>
  <c r="AK22" i="16"/>
  <c r="AL22" i="16"/>
  <c r="AM22" i="16"/>
  <c r="AJ23" i="16"/>
  <c r="AK23" i="16"/>
  <c r="AL23" i="16"/>
  <c r="AM23" i="16"/>
  <c r="AJ24" i="16"/>
  <c r="AK24" i="16"/>
  <c r="AL24" i="16"/>
  <c r="AM24" i="16"/>
  <c r="AJ25" i="16"/>
  <c r="AK25" i="16"/>
  <c r="AL25" i="16"/>
  <c r="AM25" i="16"/>
  <c r="AJ26" i="16"/>
  <c r="AK26" i="16"/>
  <c r="AL26" i="16"/>
  <c r="AM26" i="16"/>
  <c r="AJ27" i="16"/>
  <c r="AK27" i="16"/>
  <c r="AL27" i="16"/>
  <c r="AM27" i="16"/>
  <c r="AJ28" i="16"/>
  <c r="AK28" i="16"/>
  <c r="AL28" i="16"/>
  <c r="AM28" i="16"/>
  <c r="AJ29" i="16"/>
  <c r="AK29" i="16"/>
  <c r="AL29" i="16"/>
  <c r="AM29" i="16"/>
  <c r="AJ30" i="16"/>
  <c r="AK30" i="16"/>
  <c r="AL30" i="16"/>
  <c r="AM30" i="16"/>
  <c r="AJ31" i="16"/>
  <c r="AK31" i="16"/>
  <c r="AL31" i="16"/>
  <c r="AM31" i="16"/>
  <c r="AJ32" i="16"/>
  <c r="AK32" i="16"/>
  <c r="AL32" i="16"/>
  <c r="AM32" i="16"/>
  <c r="AJ33" i="16"/>
  <c r="AK33" i="16"/>
  <c r="AL33" i="16"/>
  <c r="AM33" i="16"/>
  <c r="AJ34" i="16"/>
  <c r="AK34" i="16"/>
  <c r="AL34" i="16"/>
  <c r="AM34" i="16"/>
  <c r="AJ35" i="16"/>
  <c r="AK35" i="16"/>
  <c r="AL35" i="16"/>
  <c r="AM35" i="16"/>
  <c r="AJ36" i="16"/>
  <c r="AK36" i="16"/>
  <c r="AL36" i="16"/>
  <c r="AM36" i="16"/>
  <c r="AJ37" i="16"/>
  <c r="AK37" i="16"/>
  <c r="AL37" i="16"/>
  <c r="AM37" i="16"/>
  <c r="AJ38" i="16"/>
  <c r="AK38" i="16"/>
  <c r="AL38" i="16"/>
  <c r="AM38" i="16"/>
  <c r="AJ39" i="16"/>
  <c r="AK39" i="16"/>
  <c r="AL39" i="16"/>
  <c r="AM39" i="16"/>
  <c r="AJ40" i="16"/>
  <c r="AK40" i="16"/>
  <c r="AL40" i="16"/>
  <c r="AM40" i="16"/>
  <c r="AJ41" i="16"/>
  <c r="AK41" i="16"/>
  <c r="AL41" i="16"/>
  <c r="AM41" i="16"/>
  <c r="AJ42" i="16"/>
  <c r="AK42" i="16"/>
  <c r="AL42" i="16"/>
  <c r="AM42" i="16"/>
  <c r="AJ43" i="16"/>
  <c r="AK43" i="16"/>
  <c r="AL43" i="16"/>
  <c r="AM43" i="16"/>
  <c r="AJ44" i="16"/>
  <c r="AK44" i="16"/>
  <c r="AL44" i="16"/>
  <c r="AM44" i="16"/>
  <c r="AM8" i="16"/>
  <c r="AL8" i="16"/>
  <c r="AK8" i="16"/>
  <c r="AJ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G8" i="16"/>
  <c r="AR41" i="16"/>
  <c r="AW41" i="16"/>
  <c r="K2" i="18" l="1"/>
  <c r="L6" i="22"/>
  <c r="D6" i="22"/>
  <c r="I6" i="22"/>
  <c r="E6" i="22"/>
  <c r="G6" i="22"/>
  <c r="C6" i="22"/>
  <c r="J6" i="22"/>
  <c r="K6" i="22"/>
  <c r="H6" i="22"/>
  <c r="F6" i="22"/>
  <c r="L5" i="18"/>
  <c r="I7" i="22" s="1"/>
  <c r="BB36" i="16"/>
  <c r="BB35" i="16"/>
  <c r="BB41" i="16"/>
  <c r="H7" i="22" l="1"/>
  <c r="C7" i="22"/>
  <c r="K7" i="22"/>
  <c r="E7" i="22"/>
  <c r="L2" i="18"/>
  <c r="J7" i="22"/>
  <c r="G7" i="22"/>
  <c r="L7" i="22"/>
  <c r="F7" i="22"/>
  <c r="D7" i="22"/>
  <c r="M5" i="18"/>
  <c r="J8" i="22" s="1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AH48" i="16"/>
  <c r="AG48" i="16"/>
  <c r="AF48" i="16"/>
  <c r="AE48" i="16"/>
  <c r="AD48" i="16"/>
  <c r="AC48" i="16"/>
  <c r="AB48" i="16"/>
  <c r="AA48" i="16"/>
  <c r="Z48" i="16"/>
  <c r="Y48" i="16"/>
  <c r="X48" i="16"/>
  <c r="W48" i="16"/>
  <c r="V48" i="16"/>
  <c r="U48" i="16"/>
  <c r="T48" i="16"/>
  <c r="S48" i="16"/>
  <c r="R48" i="16"/>
  <c r="Q48" i="16"/>
  <c r="P48" i="16"/>
  <c r="O48" i="16"/>
  <c r="N48" i="16"/>
  <c r="M48" i="16"/>
  <c r="L48" i="16"/>
  <c r="K48" i="16"/>
  <c r="J48" i="16"/>
  <c r="I48" i="16"/>
  <c r="H48" i="16"/>
  <c r="AH47" i="16"/>
  <c r="AG47" i="16"/>
  <c r="AF47" i="16"/>
  <c r="AE47" i="16"/>
  <c r="AD47" i="16"/>
  <c r="AC47" i="16"/>
  <c r="AB47" i="16"/>
  <c r="AA47" i="16"/>
  <c r="Z47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AW44" i="16"/>
  <c r="AR44" i="16"/>
  <c r="AW43" i="16"/>
  <c r="AR43" i="16"/>
  <c r="AW42" i="16"/>
  <c r="AR42" i="16"/>
  <c r="AW40" i="16"/>
  <c r="AR40" i="16"/>
  <c r="AW39" i="16"/>
  <c r="AR39" i="16"/>
  <c r="AW38" i="16"/>
  <c r="AR38" i="16"/>
  <c r="AW37" i="16"/>
  <c r="AR37" i="16"/>
  <c r="AW34" i="16"/>
  <c r="AR34" i="16"/>
  <c r="AW33" i="16"/>
  <c r="AR33" i="16"/>
  <c r="AW31" i="16"/>
  <c r="AR31" i="16"/>
  <c r="AW30" i="16"/>
  <c r="AR30" i="16"/>
  <c r="AW29" i="16"/>
  <c r="AR29" i="16"/>
  <c r="AW28" i="16"/>
  <c r="AR28" i="16"/>
  <c r="AW27" i="16"/>
  <c r="AR27" i="16"/>
  <c r="AW26" i="16"/>
  <c r="AR26" i="16"/>
  <c r="AW25" i="16"/>
  <c r="AR25" i="16"/>
  <c r="AW24" i="16"/>
  <c r="AR24" i="16"/>
  <c r="AW23" i="16"/>
  <c r="AR23" i="16"/>
  <c r="AW22" i="16"/>
  <c r="AR22" i="16"/>
  <c r="AW21" i="16"/>
  <c r="AR21" i="16"/>
  <c r="AW20" i="16"/>
  <c r="AR20" i="16"/>
  <c r="AW19" i="16"/>
  <c r="AR19" i="16"/>
  <c r="AW18" i="16"/>
  <c r="AR18" i="16"/>
  <c r="AW17" i="16"/>
  <c r="AR17" i="16"/>
  <c r="AW16" i="16"/>
  <c r="AR16" i="16"/>
  <c r="AW15" i="16"/>
  <c r="AR15" i="16"/>
  <c r="AW14" i="16"/>
  <c r="AR14" i="16"/>
  <c r="AW13" i="16"/>
  <c r="AR13" i="16"/>
  <c r="AW12" i="16"/>
  <c r="AR12" i="16"/>
  <c r="AW11" i="16"/>
  <c r="AR11" i="16"/>
  <c r="AW10" i="16"/>
  <c r="AR10" i="16"/>
  <c r="AW9" i="16"/>
  <c r="AR9" i="16"/>
  <c r="AW8" i="16"/>
  <c r="AR8" i="16"/>
  <c r="C9" i="16"/>
  <c r="C10" i="16" s="1"/>
  <c r="C11" i="16" s="1"/>
  <c r="C12" i="16" s="1"/>
  <c r="C13" i="16" s="1"/>
  <c r="C14" i="16" s="1"/>
  <c r="C15" i="16" s="1"/>
  <c r="C16" i="16" s="1"/>
  <c r="C17" i="16" s="1"/>
  <c r="C18" i="16" s="1"/>
  <c r="C19" i="16" s="1"/>
  <c r="C20" i="16" s="1"/>
  <c r="C21" i="16" s="1"/>
  <c r="C22" i="16" s="1"/>
  <c r="C23" i="16" s="1"/>
  <c r="C24" i="16" s="1"/>
  <c r="C25" i="16" s="1"/>
  <c r="C26" i="16" s="1"/>
  <c r="C27" i="16" s="1"/>
  <c r="C28" i="16" s="1"/>
  <c r="C29" i="16" s="1"/>
  <c r="C30" i="16" s="1"/>
  <c r="C31" i="16" s="1"/>
  <c r="C32" i="16" s="1"/>
  <c r="C33" i="16" s="1"/>
  <c r="C34" i="16" s="1"/>
  <c r="C35" i="16" s="1"/>
  <c r="C36" i="16" s="1"/>
  <c r="C37" i="16" s="1"/>
  <c r="C38" i="16" s="1"/>
  <c r="C39" i="16" s="1"/>
  <c r="C40" i="16" s="1"/>
  <c r="C41" i="16" s="1"/>
  <c r="C42" i="16" s="1"/>
  <c r="C43" i="16" s="1"/>
  <c r="C44" i="16" s="1"/>
  <c r="F7" i="16"/>
  <c r="F6" i="16"/>
  <c r="B6" i="16"/>
  <c r="B7" i="16" s="1"/>
  <c r="B8" i="16" s="1"/>
  <c r="B9" i="16" s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B33" i="16" s="1"/>
  <c r="B34" i="16" s="1"/>
  <c r="G5" i="16"/>
  <c r="E2" i="16"/>
  <c r="F2" i="16" s="1"/>
  <c r="G2" i="16" s="1"/>
  <c r="H2" i="16" s="1"/>
  <c r="I2" i="16" s="1"/>
  <c r="J2" i="16" s="1"/>
  <c r="K2" i="16" s="1"/>
  <c r="L2" i="16" s="1"/>
  <c r="M2" i="16" s="1"/>
  <c r="N2" i="16" s="1"/>
  <c r="O2" i="16" s="1"/>
  <c r="P2" i="16" s="1"/>
  <c r="Q2" i="16" s="1"/>
  <c r="R2" i="16" s="1"/>
  <c r="S2" i="16" s="1"/>
  <c r="T2" i="16" s="1"/>
  <c r="U2" i="16" s="1"/>
  <c r="V2" i="16" s="1"/>
  <c r="W2" i="16" s="1"/>
  <c r="X2" i="16" s="1"/>
  <c r="Y2" i="16" s="1"/>
  <c r="Z2" i="16" s="1"/>
  <c r="AA2" i="16" s="1"/>
  <c r="AB2" i="16" s="1"/>
  <c r="AC2" i="16" s="1"/>
  <c r="AD2" i="16" s="1"/>
  <c r="AE2" i="16" s="1"/>
  <c r="AF2" i="16" s="1"/>
  <c r="AG2" i="16" s="1"/>
  <c r="AH2" i="16" s="1"/>
  <c r="AI2" i="16" s="1"/>
  <c r="F36" i="15"/>
  <c r="G36" i="15"/>
  <c r="AV36" i="15"/>
  <c r="BA36" i="15"/>
  <c r="BB36" i="15"/>
  <c r="BF36" i="15"/>
  <c r="F40" i="15"/>
  <c r="G40" i="15"/>
  <c r="AV40" i="15"/>
  <c r="BA40" i="15"/>
  <c r="BB40" i="15"/>
  <c r="BF40" i="15"/>
  <c r="G43" i="15"/>
  <c r="F43" i="15"/>
  <c r="G42" i="15"/>
  <c r="F42" i="15"/>
  <c r="G41" i="15"/>
  <c r="F41" i="15"/>
  <c r="G39" i="15"/>
  <c r="F39" i="15"/>
  <c r="G38" i="15"/>
  <c r="F38" i="15"/>
  <c r="G37" i="15"/>
  <c r="F37" i="15"/>
  <c r="G35" i="15"/>
  <c r="F35" i="15"/>
  <c r="G34" i="15"/>
  <c r="F34" i="15"/>
  <c r="G33" i="15"/>
  <c r="F33" i="15"/>
  <c r="G32" i="15"/>
  <c r="F32" i="15"/>
  <c r="G31" i="15"/>
  <c r="F31" i="15"/>
  <c r="G30" i="15"/>
  <c r="F30" i="15"/>
  <c r="G29" i="15"/>
  <c r="F29" i="15"/>
  <c r="G28" i="15"/>
  <c r="F28" i="15"/>
  <c r="G27" i="15"/>
  <c r="F27" i="15"/>
  <c r="G26" i="15"/>
  <c r="F26" i="15"/>
  <c r="G25" i="15"/>
  <c r="F25" i="15"/>
  <c r="G24" i="15"/>
  <c r="F24" i="15"/>
  <c r="G23" i="15"/>
  <c r="F23" i="15"/>
  <c r="G22" i="15"/>
  <c r="F22" i="15"/>
  <c r="G21" i="15"/>
  <c r="F21" i="15"/>
  <c r="G20" i="15"/>
  <c r="F20" i="15"/>
  <c r="G19" i="15"/>
  <c r="F19" i="15"/>
  <c r="G18" i="15"/>
  <c r="F18" i="15"/>
  <c r="G17" i="15"/>
  <c r="F17" i="15"/>
  <c r="G16" i="15"/>
  <c r="F16" i="15"/>
  <c r="G15" i="15"/>
  <c r="F15" i="15"/>
  <c r="G14" i="15"/>
  <c r="F14" i="15"/>
  <c r="G13" i="15"/>
  <c r="F13" i="15"/>
  <c r="G12" i="15"/>
  <c r="F12" i="15"/>
  <c r="G11" i="15"/>
  <c r="F11" i="15"/>
  <c r="G10" i="15"/>
  <c r="F10" i="15"/>
  <c r="G9" i="15"/>
  <c r="F9" i="15"/>
  <c r="G8" i="15"/>
  <c r="F8" i="15"/>
  <c r="AQ53" i="15"/>
  <c r="AP53" i="15"/>
  <c r="AO53" i="15"/>
  <c r="AN53" i="15"/>
  <c r="AM53" i="15"/>
  <c r="AL53" i="15"/>
  <c r="AK53" i="15"/>
  <c r="AJ53" i="15"/>
  <c r="AI53" i="15"/>
  <c r="AQ52" i="15"/>
  <c r="AP52" i="15"/>
  <c r="AO52" i="15"/>
  <c r="AN52" i="15"/>
  <c r="AM52" i="15"/>
  <c r="AL52" i="15"/>
  <c r="AK52" i="15"/>
  <c r="AJ52" i="15"/>
  <c r="AI52" i="15"/>
  <c r="AQ51" i="15"/>
  <c r="AP51" i="15"/>
  <c r="AO51" i="15"/>
  <c r="AN51" i="15"/>
  <c r="AM51" i="15"/>
  <c r="AL51" i="15"/>
  <c r="AK51" i="15"/>
  <c r="AJ51" i="15"/>
  <c r="AI51" i="15"/>
  <c r="AQ50" i="15"/>
  <c r="AP50" i="15"/>
  <c r="AO50" i="15"/>
  <c r="AN50" i="15"/>
  <c r="AM50" i="15"/>
  <c r="AL50" i="15"/>
  <c r="AK50" i="15"/>
  <c r="AJ50" i="15"/>
  <c r="AI50" i="15"/>
  <c r="AQ49" i="15"/>
  <c r="AP49" i="15"/>
  <c r="AO49" i="15"/>
  <c r="AN49" i="15"/>
  <c r="AM49" i="15"/>
  <c r="AL49" i="15"/>
  <c r="AK49" i="15"/>
  <c r="AJ49" i="15"/>
  <c r="AI49" i="15"/>
  <c r="AQ48" i="15"/>
  <c r="AP48" i="15"/>
  <c r="AO48" i="15"/>
  <c r="AN48" i="15"/>
  <c r="AM48" i="15"/>
  <c r="AL48" i="15"/>
  <c r="AK48" i="15"/>
  <c r="AJ48" i="15"/>
  <c r="AI48" i="15"/>
  <c r="AQ47" i="15"/>
  <c r="AP47" i="15"/>
  <c r="AO47" i="15"/>
  <c r="AN47" i="15"/>
  <c r="AM47" i="15"/>
  <c r="AL47" i="15"/>
  <c r="AK47" i="15"/>
  <c r="AJ47" i="15"/>
  <c r="AI47" i="15"/>
  <c r="AQ46" i="15"/>
  <c r="AP46" i="15"/>
  <c r="AO46" i="15"/>
  <c r="AN46" i="15"/>
  <c r="AM46" i="15"/>
  <c r="AL46" i="15"/>
  <c r="AK46" i="15"/>
  <c r="AJ46" i="15"/>
  <c r="AI46" i="15"/>
  <c r="E58" i="15"/>
  <c r="E56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C9" i="15"/>
  <c r="C10" i="15" s="1"/>
  <c r="C11" i="15" s="1"/>
  <c r="C12" i="15" s="1"/>
  <c r="C13" i="15" s="1"/>
  <c r="C14" i="15" s="1"/>
  <c r="C15" i="15" s="1"/>
  <c r="C16" i="15" s="1"/>
  <c r="C17" i="15" s="1"/>
  <c r="C18" i="15" s="1"/>
  <c r="C19" i="15" s="1"/>
  <c r="C20" i="15" s="1"/>
  <c r="C21" i="15" s="1"/>
  <c r="C22" i="15" s="1"/>
  <c r="C23" i="15" s="1"/>
  <c r="C24" i="15" s="1"/>
  <c r="C25" i="15" s="1"/>
  <c r="C26" i="15" s="1"/>
  <c r="C27" i="15" s="1"/>
  <c r="C28" i="15" s="1"/>
  <c r="C29" i="15" s="1"/>
  <c r="C30" i="15" s="1"/>
  <c r="C31" i="15" s="1"/>
  <c r="C32" i="15" s="1"/>
  <c r="C33" i="15" s="1"/>
  <c r="C34" i="15" s="1"/>
  <c r="C35" i="15" s="1"/>
  <c r="F7" i="15"/>
  <c r="F6" i="15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G5" i="15"/>
  <c r="H5" i="15" s="1"/>
  <c r="E2" i="15"/>
  <c r="F2" i="15" s="1"/>
  <c r="G2" i="15" s="1"/>
  <c r="H2" i="15" s="1"/>
  <c r="I2" i="15" s="1"/>
  <c r="J2" i="15" s="1"/>
  <c r="K2" i="15" s="1"/>
  <c r="L2" i="15" s="1"/>
  <c r="M2" i="15" s="1"/>
  <c r="N2" i="15" s="1"/>
  <c r="O2" i="15" s="1"/>
  <c r="P2" i="15" s="1"/>
  <c r="Q2" i="15" s="1"/>
  <c r="R2" i="15" s="1"/>
  <c r="S2" i="15" s="1"/>
  <c r="T2" i="15" s="1"/>
  <c r="U2" i="15" s="1"/>
  <c r="V2" i="15" s="1"/>
  <c r="W2" i="15" s="1"/>
  <c r="X2" i="15" s="1"/>
  <c r="Y2" i="15" s="1"/>
  <c r="Z2" i="15" s="1"/>
  <c r="AA2" i="15" s="1"/>
  <c r="AB2" i="15" s="1"/>
  <c r="AC2" i="15" s="1"/>
  <c r="AD2" i="15" s="1"/>
  <c r="AE2" i="15" s="1"/>
  <c r="AF2" i="15" s="1"/>
  <c r="AG2" i="15" s="1"/>
  <c r="AH2" i="15" s="1"/>
  <c r="AH53" i="14"/>
  <c r="AH52" i="14"/>
  <c r="AH51" i="14"/>
  <c r="AH50" i="14"/>
  <c r="AH49" i="14"/>
  <c r="AH48" i="14"/>
  <c r="AH47" i="14"/>
  <c r="AH46" i="14"/>
  <c r="F50" i="13"/>
  <c r="E50" i="13"/>
  <c r="F49" i="13"/>
  <c r="E49" i="13"/>
  <c r="F48" i="13"/>
  <c r="E48" i="13"/>
  <c r="F47" i="13"/>
  <c r="E47" i="13"/>
  <c r="F46" i="13"/>
  <c r="E46" i="13"/>
  <c r="F45" i="13"/>
  <c r="E45" i="13"/>
  <c r="F44" i="13"/>
  <c r="E44" i="13"/>
  <c r="F43" i="13"/>
  <c r="E43" i="13"/>
  <c r="F42" i="13"/>
  <c r="E42" i="13"/>
  <c r="F41" i="13"/>
  <c r="E41" i="13"/>
  <c r="AW50" i="13"/>
  <c r="AS50" i="13"/>
  <c r="AR50" i="13"/>
  <c r="AQ50" i="13"/>
  <c r="AP50" i="13"/>
  <c r="AO50" i="13"/>
  <c r="AN50" i="13"/>
  <c r="AM50" i="13"/>
  <c r="AL50" i="13"/>
  <c r="AK50" i="13"/>
  <c r="AJ50" i="13"/>
  <c r="AW49" i="13"/>
  <c r="AS49" i="13"/>
  <c r="AR49" i="13"/>
  <c r="AQ49" i="13"/>
  <c r="AP49" i="13"/>
  <c r="AO49" i="13"/>
  <c r="AN49" i="13"/>
  <c r="AM49" i="13"/>
  <c r="AL49" i="13"/>
  <c r="AK49" i="13"/>
  <c r="AJ49" i="13"/>
  <c r="AW48" i="13"/>
  <c r="AS48" i="13"/>
  <c r="AR48" i="13"/>
  <c r="AQ48" i="13"/>
  <c r="AP48" i="13"/>
  <c r="AO48" i="13"/>
  <c r="AN48" i="13"/>
  <c r="AM48" i="13"/>
  <c r="AL48" i="13"/>
  <c r="AK48" i="13"/>
  <c r="AJ48" i="13"/>
  <c r="AW47" i="13"/>
  <c r="AS47" i="13"/>
  <c r="AR47" i="13"/>
  <c r="AQ47" i="13"/>
  <c r="AP47" i="13"/>
  <c r="AO47" i="13"/>
  <c r="AN47" i="13"/>
  <c r="AM47" i="13"/>
  <c r="AL47" i="13"/>
  <c r="AK47" i="13"/>
  <c r="AJ47" i="13"/>
  <c r="AW46" i="13"/>
  <c r="AS46" i="13"/>
  <c r="AR46" i="13"/>
  <c r="AQ46" i="13"/>
  <c r="AP46" i="13"/>
  <c r="AO46" i="13"/>
  <c r="AN46" i="13"/>
  <c r="AM46" i="13"/>
  <c r="AL46" i="13"/>
  <c r="AK46" i="13"/>
  <c r="AJ46" i="13"/>
  <c r="AW45" i="13"/>
  <c r="AS45" i="13"/>
  <c r="AR45" i="13"/>
  <c r="AQ45" i="13"/>
  <c r="AP45" i="13"/>
  <c r="AO45" i="13"/>
  <c r="AN45" i="13"/>
  <c r="AM45" i="13"/>
  <c r="AL45" i="13"/>
  <c r="AK45" i="13"/>
  <c r="AJ45" i="13"/>
  <c r="AW44" i="13"/>
  <c r="AS44" i="13"/>
  <c r="AR44" i="13"/>
  <c r="AQ44" i="13"/>
  <c r="AP44" i="13"/>
  <c r="AO44" i="13"/>
  <c r="AN44" i="13"/>
  <c r="AM44" i="13"/>
  <c r="AL44" i="13"/>
  <c r="AK44" i="13"/>
  <c r="AJ44" i="13"/>
  <c r="AW43" i="13"/>
  <c r="AS43" i="13"/>
  <c r="AR43" i="13"/>
  <c r="AQ43" i="13"/>
  <c r="AP43" i="13"/>
  <c r="AO43" i="13"/>
  <c r="AN43" i="13"/>
  <c r="AM43" i="13"/>
  <c r="AL43" i="13"/>
  <c r="AK43" i="13"/>
  <c r="AJ43" i="13"/>
  <c r="AW42" i="13"/>
  <c r="AS42" i="13"/>
  <c r="AR42" i="13"/>
  <c r="AQ42" i="13"/>
  <c r="AP42" i="13"/>
  <c r="AO42" i="13"/>
  <c r="AN42" i="13"/>
  <c r="AM42" i="13"/>
  <c r="AL42" i="13"/>
  <c r="AK42" i="13"/>
  <c r="AJ42" i="13"/>
  <c r="AW41" i="13"/>
  <c r="AS41" i="13"/>
  <c r="AR41" i="13"/>
  <c r="AQ41" i="13"/>
  <c r="AP41" i="13"/>
  <c r="AO41" i="13"/>
  <c r="AN41" i="13"/>
  <c r="AM41" i="13"/>
  <c r="AL41" i="13"/>
  <c r="AK41" i="13"/>
  <c r="AJ41" i="13"/>
  <c r="AX43" i="14"/>
  <c r="AT43" i="14"/>
  <c r="AS43" i="14"/>
  <c r="AX42" i="14"/>
  <c r="AT42" i="14"/>
  <c r="AS42" i="14"/>
  <c r="AX41" i="14"/>
  <c r="AT41" i="14"/>
  <c r="AS41" i="14"/>
  <c r="AX40" i="14"/>
  <c r="AT40" i="14"/>
  <c r="AS40" i="14"/>
  <c r="AX39" i="14"/>
  <c r="AT39" i="14"/>
  <c r="AS39" i="14"/>
  <c r="AX38" i="14"/>
  <c r="AT38" i="14"/>
  <c r="AS38" i="14"/>
  <c r="AX37" i="14"/>
  <c r="AT37" i="14"/>
  <c r="AS37" i="14"/>
  <c r="AX36" i="14"/>
  <c r="AT36" i="14"/>
  <c r="AS36" i="14"/>
  <c r="AX35" i="14"/>
  <c r="AT35" i="14"/>
  <c r="AS35" i="14"/>
  <c r="AX34" i="14"/>
  <c r="AT34" i="14"/>
  <c r="AS34" i="14"/>
  <c r="AX33" i="14"/>
  <c r="AT33" i="14"/>
  <c r="AS33" i="14"/>
  <c r="AX32" i="14"/>
  <c r="AT32" i="14"/>
  <c r="AS32" i="14"/>
  <c r="AX31" i="14"/>
  <c r="AT31" i="14"/>
  <c r="AS31" i="14"/>
  <c r="AX30" i="14"/>
  <c r="AT30" i="14"/>
  <c r="AS30" i="14"/>
  <c r="AX29" i="14"/>
  <c r="AT29" i="14"/>
  <c r="AS29" i="14"/>
  <c r="AX28" i="14"/>
  <c r="AT28" i="14"/>
  <c r="AS28" i="14"/>
  <c r="AX27" i="14"/>
  <c r="AT27" i="14"/>
  <c r="AS27" i="14"/>
  <c r="AX26" i="14"/>
  <c r="AT26" i="14"/>
  <c r="AS26" i="14"/>
  <c r="AX25" i="14"/>
  <c r="AT25" i="14"/>
  <c r="AS25" i="14"/>
  <c r="AX24" i="14"/>
  <c r="AT24" i="14"/>
  <c r="AS24" i="14"/>
  <c r="AX23" i="14"/>
  <c r="AT23" i="14"/>
  <c r="AS23" i="14"/>
  <c r="AX22" i="14"/>
  <c r="AT22" i="14"/>
  <c r="AS22" i="14"/>
  <c r="AX21" i="14"/>
  <c r="AT21" i="14"/>
  <c r="AS21" i="14"/>
  <c r="AX20" i="14"/>
  <c r="AT20" i="14"/>
  <c r="AS20" i="14"/>
  <c r="AX19" i="14"/>
  <c r="AT19" i="14"/>
  <c r="AS19" i="14"/>
  <c r="AX18" i="14"/>
  <c r="AT18" i="14"/>
  <c r="AS18" i="14"/>
  <c r="AX17" i="14"/>
  <c r="AT17" i="14"/>
  <c r="AS17" i="14"/>
  <c r="AX16" i="14"/>
  <c r="AT16" i="14"/>
  <c r="AS16" i="14"/>
  <c r="AX15" i="14"/>
  <c r="AT15" i="14"/>
  <c r="AS15" i="14"/>
  <c r="AX14" i="14"/>
  <c r="AT14" i="14"/>
  <c r="AS14" i="14"/>
  <c r="AX13" i="14"/>
  <c r="AT13" i="14"/>
  <c r="AS13" i="14"/>
  <c r="AX12" i="14"/>
  <c r="AT12" i="14"/>
  <c r="AS12" i="14"/>
  <c r="AX11" i="14"/>
  <c r="AT11" i="14"/>
  <c r="AS11" i="14"/>
  <c r="AX10" i="14"/>
  <c r="AT10" i="14"/>
  <c r="AS10" i="14"/>
  <c r="AX9" i="14"/>
  <c r="AT9" i="14"/>
  <c r="AS9" i="14"/>
  <c r="E2" i="14"/>
  <c r="F2" i="14" s="1"/>
  <c r="G2" i="14" s="1"/>
  <c r="H2" i="14" s="1"/>
  <c r="I2" i="14" s="1"/>
  <c r="J2" i="14" s="1"/>
  <c r="K2" i="14" s="1"/>
  <c r="L2" i="14" s="1"/>
  <c r="M2" i="14" s="1"/>
  <c r="N2" i="14" s="1"/>
  <c r="O2" i="14" s="1"/>
  <c r="P2" i="14" s="1"/>
  <c r="Q2" i="14" s="1"/>
  <c r="R2" i="14" s="1"/>
  <c r="S2" i="14" s="1"/>
  <c r="T2" i="14" s="1"/>
  <c r="U2" i="14" s="1"/>
  <c r="V2" i="14" s="1"/>
  <c r="W2" i="14" s="1"/>
  <c r="X2" i="14" s="1"/>
  <c r="Y2" i="14" s="1"/>
  <c r="Z2" i="14" s="1"/>
  <c r="AA2" i="14" s="1"/>
  <c r="AB2" i="14" s="1"/>
  <c r="AC2" i="14" s="1"/>
  <c r="AD2" i="14" s="1"/>
  <c r="AE2" i="14" s="1"/>
  <c r="AF2" i="14" s="1"/>
  <c r="AG2" i="14" s="1"/>
  <c r="AH2" i="14" s="1"/>
  <c r="AI2" i="14" s="1"/>
  <c r="B6" i="14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G43" i="14"/>
  <c r="F43" i="14"/>
  <c r="G42" i="14"/>
  <c r="F42" i="14"/>
  <c r="G41" i="14"/>
  <c r="F41" i="14"/>
  <c r="G40" i="14"/>
  <c r="F40" i="14"/>
  <c r="G39" i="14"/>
  <c r="F39" i="14"/>
  <c r="G38" i="14"/>
  <c r="F38" i="14"/>
  <c r="G37" i="14"/>
  <c r="F37" i="14"/>
  <c r="G36" i="14"/>
  <c r="F36" i="14"/>
  <c r="G35" i="14"/>
  <c r="F35" i="14"/>
  <c r="G34" i="14"/>
  <c r="F34" i="14"/>
  <c r="G33" i="14"/>
  <c r="F33" i="14"/>
  <c r="G32" i="14"/>
  <c r="F32" i="14"/>
  <c r="G31" i="14"/>
  <c r="F31" i="14"/>
  <c r="G30" i="14"/>
  <c r="F30" i="14"/>
  <c r="G29" i="14"/>
  <c r="F29" i="14"/>
  <c r="G28" i="14"/>
  <c r="F28" i="14"/>
  <c r="G27" i="14"/>
  <c r="F27" i="14"/>
  <c r="G26" i="14"/>
  <c r="F26" i="14"/>
  <c r="G25" i="14"/>
  <c r="F25" i="14"/>
  <c r="G24" i="14"/>
  <c r="F24" i="14"/>
  <c r="G23" i="14"/>
  <c r="F23" i="14"/>
  <c r="G22" i="14"/>
  <c r="F22" i="14"/>
  <c r="G21" i="14"/>
  <c r="F21" i="14"/>
  <c r="G20" i="14"/>
  <c r="F20" i="14"/>
  <c r="G19" i="14"/>
  <c r="F19" i="14"/>
  <c r="G18" i="14"/>
  <c r="F18" i="14"/>
  <c r="G17" i="14"/>
  <c r="F17" i="14"/>
  <c r="G16" i="14"/>
  <c r="F16" i="14"/>
  <c r="G15" i="14"/>
  <c r="F15" i="14"/>
  <c r="G14" i="14"/>
  <c r="F14" i="14"/>
  <c r="G13" i="14"/>
  <c r="F13" i="14"/>
  <c r="G12" i="14"/>
  <c r="F12" i="14"/>
  <c r="G11" i="14"/>
  <c r="F11" i="14"/>
  <c r="G10" i="14"/>
  <c r="F10" i="14"/>
  <c r="G9" i="14"/>
  <c r="F9" i="14"/>
  <c r="G8" i="14"/>
  <c r="F8" i="14"/>
  <c r="C9" i="14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E58" i="14"/>
  <c r="E56" i="14"/>
  <c r="AI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AI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AI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AI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AI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AI48" i="14"/>
  <c r="AG48" i="14"/>
  <c r="AF48" i="14"/>
  <c r="AE48" i="14"/>
  <c r="AD48" i="14"/>
  <c r="AC48" i="14"/>
  <c r="AB48" i="14"/>
  <c r="AA48" i="14"/>
  <c r="Z48" i="14"/>
  <c r="Y48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AI47" i="14"/>
  <c r="AG47" i="14"/>
  <c r="AF47" i="14"/>
  <c r="AE47" i="14"/>
  <c r="AD47" i="14"/>
  <c r="AC47" i="14"/>
  <c r="AB47" i="14"/>
  <c r="AA47" i="14"/>
  <c r="Z47" i="14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AI46" i="14"/>
  <c r="AG46" i="14"/>
  <c r="AF46" i="14"/>
  <c r="AE46" i="14"/>
  <c r="AD46" i="14"/>
  <c r="AC46" i="14"/>
  <c r="AB46" i="14"/>
  <c r="AA46" i="14"/>
  <c r="Z46" i="14"/>
  <c r="Y46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AX8" i="14"/>
  <c r="AT8" i="14"/>
  <c r="AS8" i="14"/>
  <c r="F7" i="14"/>
  <c r="F6" i="14"/>
  <c r="G5" i="14"/>
  <c r="G6" i="14" s="1"/>
  <c r="L60" i="13"/>
  <c r="AW51" i="13"/>
  <c r="AW40" i="13"/>
  <c r="AW39" i="13"/>
  <c r="AW38" i="13"/>
  <c r="AW37" i="13"/>
  <c r="AW36" i="13"/>
  <c r="AW35" i="13"/>
  <c r="AW34" i="13"/>
  <c r="AW33" i="13"/>
  <c r="AW32" i="13"/>
  <c r="AW31" i="13"/>
  <c r="AW30" i="13"/>
  <c r="AW29" i="13"/>
  <c r="AW28" i="13"/>
  <c r="AW27" i="13"/>
  <c r="AW26" i="13"/>
  <c r="AW25" i="13"/>
  <c r="AW24" i="13"/>
  <c r="AW23" i="13"/>
  <c r="AW22" i="13"/>
  <c r="AW21" i="13"/>
  <c r="AW20" i="13"/>
  <c r="AW19" i="13"/>
  <c r="AW18" i="13"/>
  <c r="AW17" i="13"/>
  <c r="AW16" i="13"/>
  <c r="AW15" i="13"/>
  <c r="AW14" i="13"/>
  <c r="AW13" i="13"/>
  <c r="AW12" i="13"/>
  <c r="AW11" i="13"/>
  <c r="AW10" i="13"/>
  <c r="AW9" i="13"/>
  <c r="AW8" i="13"/>
  <c r="AM51" i="13"/>
  <c r="AL51" i="13"/>
  <c r="AK51" i="13"/>
  <c r="AJ51" i="13"/>
  <c r="AS51" i="13"/>
  <c r="AR51" i="13"/>
  <c r="AS40" i="13"/>
  <c r="AR40" i="13"/>
  <c r="AS39" i="13"/>
  <c r="AR39" i="13"/>
  <c r="AS38" i="13"/>
  <c r="AR38" i="13"/>
  <c r="AS37" i="13"/>
  <c r="AR37" i="13"/>
  <c r="AS36" i="13"/>
  <c r="AR36" i="13"/>
  <c r="AS35" i="13"/>
  <c r="AR35" i="13"/>
  <c r="AS34" i="13"/>
  <c r="AR34" i="13"/>
  <c r="AS33" i="13"/>
  <c r="AR33" i="13"/>
  <c r="AS32" i="13"/>
  <c r="AR32" i="13"/>
  <c r="AS31" i="13"/>
  <c r="AR31" i="13"/>
  <c r="AS30" i="13"/>
  <c r="AR30" i="13"/>
  <c r="AS29" i="13"/>
  <c r="AR29" i="13"/>
  <c r="AS28" i="13"/>
  <c r="AR28" i="13"/>
  <c r="AS27" i="13"/>
  <c r="AR27" i="13"/>
  <c r="AS26" i="13"/>
  <c r="AR26" i="13"/>
  <c r="AS25" i="13"/>
  <c r="AR25" i="13"/>
  <c r="AS24" i="13"/>
  <c r="AR24" i="13"/>
  <c r="AS23" i="13"/>
  <c r="AR23" i="13"/>
  <c r="AS22" i="13"/>
  <c r="AR22" i="13"/>
  <c r="AS21" i="13"/>
  <c r="AR21" i="13"/>
  <c r="AS20" i="13"/>
  <c r="AR20" i="13"/>
  <c r="AS19" i="13"/>
  <c r="AR19" i="13"/>
  <c r="AS18" i="13"/>
  <c r="AR18" i="13"/>
  <c r="AS17" i="13"/>
  <c r="AR17" i="13"/>
  <c r="AS16" i="13"/>
  <c r="AR16" i="13"/>
  <c r="AS15" i="13"/>
  <c r="AR15" i="13"/>
  <c r="AS14" i="13"/>
  <c r="AR14" i="13"/>
  <c r="AS13" i="13"/>
  <c r="AR13" i="13"/>
  <c r="AS12" i="13"/>
  <c r="AR12" i="13"/>
  <c r="AS11" i="13"/>
  <c r="AR11" i="13"/>
  <c r="AS10" i="13"/>
  <c r="AR10" i="13"/>
  <c r="AS9" i="13"/>
  <c r="AR9" i="13"/>
  <c r="AS8" i="13"/>
  <c r="AR8" i="13"/>
  <c r="G61" i="13"/>
  <c r="G60" i="13"/>
  <c r="G59" i="13"/>
  <c r="G58" i="13"/>
  <c r="G57" i="13"/>
  <c r="G56" i="13"/>
  <c r="G55" i="13"/>
  <c r="G54" i="13"/>
  <c r="F51" i="13"/>
  <c r="E51" i="13"/>
  <c r="F40" i="13"/>
  <c r="E40" i="13"/>
  <c r="F39" i="13"/>
  <c r="E39" i="13"/>
  <c r="F38" i="13"/>
  <c r="E38" i="13"/>
  <c r="F37" i="13"/>
  <c r="E37" i="13"/>
  <c r="F36" i="13"/>
  <c r="E36" i="13"/>
  <c r="F35" i="13"/>
  <c r="E35" i="13"/>
  <c r="F34" i="13"/>
  <c r="E34" i="13"/>
  <c r="F33" i="13"/>
  <c r="E33" i="13"/>
  <c r="F32" i="13"/>
  <c r="E32" i="13"/>
  <c r="F31" i="13"/>
  <c r="E31" i="13"/>
  <c r="F30" i="13"/>
  <c r="E30" i="13"/>
  <c r="F29" i="13"/>
  <c r="E29" i="13"/>
  <c r="F28" i="13"/>
  <c r="E28" i="13"/>
  <c r="F27" i="13"/>
  <c r="E27" i="13"/>
  <c r="F26" i="13"/>
  <c r="E26" i="13"/>
  <c r="F25" i="13"/>
  <c r="E25" i="13"/>
  <c r="F24" i="13"/>
  <c r="E24" i="13"/>
  <c r="F23" i="13"/>
  <c r="E23" i="13"/>
  <c r="F22" i="13"/>
  <c r="E22" i="13"/>
  <c r="F21" i="13"/>
  <c r="E21" i="13"/>
  <c r="F20" i="13"/>
  <c r="E20" i="13"/>
  <c r="F19" i="13"/>
  <c r="E19" i="13"/>
  <c r="F18" i="13"/>
  <c r="E18" i="13"/>
  <c r="F17" i="13"/>
  <c r="E17" i="13"/>
  <c r="F16" i="13"/>
  <c r="E16" i="13"/>
  <c r="F15" i="13"/>
  <c r="E15" i="13"/>
  <c r="F14" i="13"/>
  <c r="E14" i="13"/>
  <c r="F13" i="13"/>
  <c r="E13" i="13"/>
  <c r="F12" i="13"/>
  <c r="E12" i="13"/>
  <c r="F11" i="13"/>
  <c r="E11" i="13"/>
  <c r="F10" i="13"/>
  <c r="E10" i="13"/>
  <c r="F9" i="13"/>
  <c r="E9" i="13"/>
  <c r="F8" i="13"/>
  <c r="E8" i="13"/>
  <c r="I8" i="22" l="1"/>
  <c r="L8" i="22"/>
  <c r="G8" i="22"/>
  <c r="E8" i="22"/>
  <c r="H8" i="22"/>
  <c r="D8" i="22"/>
  <c r="M2" i="18"/>
  <c r="C8" i="22"/>
  <c r="F8" i="22"/>
  <c r="K8" i="22"/>
  <c r="N5" i="18"/>
  <c r="H9" i="22" s="1"/>
  <c r="V46" i="16"/>
  <c r="S46" i="16"/>
  <c r="J46" i="16"/>
  <c r="B36" i="16"/>
  <c r="B37" i="16" s="1"/>
  <c r="B38" i="16" s="1"/>
  <c r="B39" i="16" s="1"/>
  <c r="B40" i="16" s="1"/>
  <c r="B41" i="16" s="1"/>
  <c r="B42" i="16" s="1"/>
  <c r="B43" i="16" s="1"/>
  <c r="B44" i="16" s="1"/>
  <c r="B35" i="16"/>
  <c r="H46" i="16"/>
  <c r="AF46" i="16"/>
  <c r="L46" i="16"/>
  <c r="I46" i="16"/>
  <c r="AG46" i="16"/>
  <c r="K46" i="16"/>
  <c r="W46" i="16"/>
  <c r="T46" i="16"/>
  <c r="Q46" i="16"/>
  <c r="X46" i="16"/>
  <c r="U46" i="16"/>
  <c r="R46" i="16"/>
  <c r="BB25" i="16"/>
  <c r="BB31" i="16"/>
  <c r="BB34" i="16"/>
  <c r="BB39" i="16"/>
  <c r="BB42" i="16"/>
  <c r="AJ2" i="16"/>
  <c r="AK2" i="16" s="1"/>
  <c r="AL2" i="16" s="1"/>
  <c r="AM2" i="16" s="1"/>
  <c r="AN2" i="16" s="1"/>
  <c r="AO2" i="16" s="1"/>
  <c r="AP2" i="16" s="1"/>
  <c r="AQ2" i="16" s="1"/>
  <c r="AR2" i="16" s="1"/>
  <c r="AS2" i="16" s="1"/>
  <c r="AT2" i="16" s="1"/>
  <c r="AU2" i="16" s="1"/>
  <c r="AV2" i="16" s="1"/>
  <c r="AW2" i="16" s="1"/>
  <c r="AX2" i="16" s="1"/>
  <c r="AY2" i="16" s="1"/>
  <c r="AZ2" i="16" s="1"/>
  <c r="BA2" i="16" s="1"/>
  <c r="BB2" i="16" s="1"/>
  <c r="BC2" i="16" s="1"/>
  <c r="AH46" i="16"/>
  <c r="M46" i="16"/>
  <c r="BB16" i="16"/>
  <c r="N46" i="16"/>
  <c r="AA46" i="16"/>
  <c r="AC46" i="16"/>
  <c r="BB20" i="16"/>
  <c r="Z46" i="16"/>
  <c r="O46" i="16"/>
  <c r="P46" i="16"/>
  <c r="AD46" i="16"/>
  <c r="BB9" i="16"/>
  <c r="BB12" i="16"/>
  <c r="BB15" i="16"/>
  <c r="BB18" i="16"/>
  <c r="BB21" i="16"/>
  <c r="BB27" i="16"/>
  <c r="BB33" i="16"/>
  <c r="AE46" i="16"/>
  <c r="Y46" i="16"/>
  <c r="AB46" i="16"/>
  <c r="BB14" i="16"/>
  <c r="BB26" i="16"/>
  <c r="BB32" i="16"/>
  <c r="BB40" i="16"/>
  <c r="BB24" i="16"/>
  <c r="BB10" i="16"/>
  <c r="BB28" i="16"/>
  <c r="BB23" i="16"/>
  <c r="BB44" i="16"/>
  <c r="BB13" i="16"/>
  <c r="BB22" i="16"/>
  <c r="BB38" i="16"/>
  <c r="BB30" i="16"/>
  <c r="BB8" i="16"/>
  <c r="H5" i="16"/>
  <c r="G7" i="16"/>
  <c r="G6" i="16"/>
  <c r="BB19" i="16"/>
  <c r="BB11" i="16"/>
  <c r="BB17" i="16"/>
  <c r="BB43" i="16"/>
  <c r="BB37" i="16"/>
  <c r="BB29" i="16"/>
  <c r="BK36" i="15"/>
  <c r="C36" i="15"/>
  <c r="C37" i="15" s="1"/>
  <c r="C38" i="15" s="1"/>
  <c r="C39" i="15" s="1"/>
  <c r="C40" i="15" s="1"/>
  <c r="C41" i="15" s="1"/>
  <c r="C42" i="15" s="1"/>
  <c r="C43" i="15" s="1"/>
  <c r="BK40" i="15"/>
  <c r="B36" i="15"/>
  <c r="B37" i="15" s="1"/>
  <c r="B38" i="15" s="1"/>
  <c r="B39" i="15" s="1"/>
  <c r="B40" i="15" s="1"/>
  <c r="B41" i="15" s="1"/>
  <c r="B42" i="15" s="1"/>
  <c r="B43" i="15" s="1"/>
  <c r="AQ45" i="15"/>
  <c r="AO45" i="15"/>
  <c r="AM45" i="15"/>
  <c r="AK45" i="15"/>
  <c r="AP45" i="15"/>
  <c r="AN45" i="15"/>
  <c r="AL45" i="15"/>
  <c r="AJ45" i="15"/>
  <c r="AI45" i="15"/>
  <c r="AI2" i="15"/>
  <c r="AJ2" i="15" s="1"/>
  <c r="AK2" i="15" s="1"/>
  <c r="AL2" i="15" s="1"/>
  <c r="AM2" i="15" s="1"/>
  <c r="AN2" i="15" s="1"/>
  <c r="AO2" i="15" s="1"/>
  <c r="BB47" i="13"/>
  <c r="AN32" i="14" s="1"/>
  <c r="BC32" i="14" s="1"/>
  <c r="AV17" i="15" s="1"/>
  <c r="BB43" i="13"/>
  <c r="AN10" i="14" s="1"/>
  <c r="BC10" i="14" s="1"/>
  <c r="AV23" i="15" s="1"/>
  <c r="BA13" i="15"/>
  <c r="BF13" i="15"/>
  <c r="BB13" i="15"/>
  <c r="BF31" i="15"/>
  <c r="BA31" i="15"/>
  <c r="BB31" i="15"/>
  <c r="BF32" i="15"/>
  <c r="BB12" i="15"/>
  <c r="BF16" i="15"/>
  <c r="BB15" i="15"/>
  <c r="BA15" i="15"/>
  <c r="BF15" i="15"/>
  <c r="BF11" i="15"/>
  <c r="BB11" i="15"/>
  <c r="BA11" i="15"/>
  <c r="BF12" i="15"/>
  <c r="BF35" i="15"/>
  <c r="BB35" i="15"/>
  <c r="BA35" i="15"/>
  <c r="BB20" i="15"/>
  <c r="BF19" i="15"/>
  <c r="BB19" i="15"/>
  <c r="BA19" i="15"/>
  <c r="BB37" i="15"/>
  <c r="BF37" i="15"/>
  <c r="BA37" i="15"/>
  <c r="BB21" i="15"/>
  <c r="BF21" i="15"/>
  <c r="BA21" i="15"/>
  <c r="BF39" i="15"/>
  <c r="BB39" i="15"/>
  <c r="BA39" i="15"/>
  <c r="BA29" i="15"/>
  <c r="BF29" i="15"/>
  <c r="BB29" i="15"/>
  <c r="BF27" i="15"/>
  <c r="BB27" i="15"/>
  <c r="BA27" i="15"/>
  <c r="BF28" i="15"/>
  <c r="BF23" i="15"/>
  <c r="BB23" i="15"/>
  <c r="BA23" i="15"/>
  <c r="BF24" i="15"/>
  <c r="BF43" i="15"/>
  <c r="BB43" i="15"/>
  <c r="BA43" i="15"/>
  <c r="BA8" i="15"/>
  <c r="BB8" i="15"/>
  <c r="BF8" i="15"/>
  <c r="BB41" i="13"/>
  <c r="BB45" i="13"/>
  <c r="BB49" i="13"/>
  <c r="BB17" i="15"/>
  <c r="BF17" i="15"/>
  <c r="BF33" i="15"/>
  <c r="BA12" i="15"/>
  <c r="BA28" i="15"/>
  <c r="BA17" i="15"/>
  <c r="BA16" i="15"/>
  <c r="BA32" i="15"/>
  <c r="BA9" i="15"/>
  <c r="BB16" i="15"/>
  <c r="BA25" i="15"/>
  <c r="BB32" i="15"/>
  <c r="BB25" i="15"/>
  <c r="BB41" i="15"/>
  <c r="BF25" i="15"/>
  <c r="BA20" i="15"/>
  <c r="L45" i="15"/>
  <c r="H45" i="15"/>
  <c r="M45" i="15"/>
  <c r="AC45" i="15"/>
  <c r="Y45" i="15"/>
  <c r="Z45" i="15"/>
  <c r="AA45" i="15"/>
  <c r="I45" i="15"/>
  <c r="G6" i="15"/>
  <c r="P45" i="15"/>
  <c r="AF45" i="15"/>
  <c r="W45" i="15"/>
  <c r="X45" i="15"/>
  <c r="G7" i="15"/>
  <c r="J45" i="15"/>
  <c r="K45" i="15"/>
  <c r="AB45" i="15"/>
  <c r="I5" i="15"/>
  <c r="I6" i="15" s="1"/>
  <c r="H7" i="15"/>
  <c r="AD45" i="15"/>
  <c r="Q45" i="15"/>
  <c r="AG45" i="15"/>
  <c r="U45" i="15"/>
  <c r="T45" i="15"/>
  <c r="R45" i="15"/>
  <c r="V45" i="15"/>
  <c r="O45" i="15"/>
  <c r="S45" i="15"/>
  <c r="N45" i="15"/>
  <c r="AH45" i="15"/>
  <c r="AE45" i="15"/>
  <c r="H6" i="15"/>
  <c r="AH45" i="14"/>
  <c r="AJ2" i="14"/>
  <c r="AK2" i="14" s="1"/>
  <c r="AL2" i="14" s="1"/>
  <c r="AM2" i="14" s="1"/>
  <c r="AN2" i="14" s="1"/>
  <c r="AO2" i="14" s="1"/>
  <c r="AP2" i="14" s="1"/>
  <c r="AQ2" i="14" s="1"/>
  <c r="AR2" i="14" s="1"/>
  <c r="AS2" i="14" s="1"/>
  <c r="AT2" i="14" s="1"/>
  <c r="AU2" i="14" s="1"/>
  <c r="AV2" i="14" s="1"/>
  <c r="AW2" i="14" s="1"/>
  <c r="AX2" i="14" s="1"/>
  <c r="AY2" i="14" s="1"/>
  <c r="AZ2" i="14" s="1"/>
  <c r="BA2" i="14" s="1"/>
  <c r="BB2" i="14" s="1"/>
  <c r="BC2" i="14" s="1"/>
  <c r="BD2" i="14" s="1"/>
  <c r="AU41" i="13"/>
  <c r="AZ41" i="13" s="1"/>
  <c r="AT42" i="13"/>
  <c r="AY42" i="13" s="1"/>
  <c r="AU43" i="13"/>
  <c r="AZ43" i="13" s="1"/>
  <c r="AU45" i="13"/>
  <c r="AZ45" i="13" s="1"/>
  <c r="AU42" i="13"/>
  <c r="AU44" i="13"/>
  <c r="AU46" i="13"/>
  <c r="AZ46" i="13" s="1"/>
  <c r="AU48" i="13"/>
  <c r="AT44" i="13"/>
  <c r="AY44" i="13" s="1"/>
  <c r="AT50" i="13"/>
  <c r="AY50" i="13" s="1"/>
  <c r="AU50" i="13"/>
  <c r="AZ50" i="13" s="1"/>
  <c r="AU49" i="13"/>
  <c r="AZ49" i="13" s="1"/>
  <c r="AT48" i="13"/>
  <c r="AY48" i="13" s="1"/>
  <c r="AU47" i="13"/>
  <c r="AZ47" i="13" s="1"/>
  <c r="AT46" i="13"/>
  <c r="AY46" i="13" s="1"/>
  <c r="BB50" i="13"/>
  <c r="BB48" i="13"/>
  <c r="BB46" i="13"/>
  <c r="BB44" i="13"/>
  <c r="BB42" i="13"/>
  <c r="AT41" i="13"/>
  <c r="AY41" i="13" s="1"/>
  <c r="AT43" i="13"/>
  <c r="AY43" i="13" s="1"/>
  <c r="AT45" i="13"/>
  <c r="AY45" i="13" s="1"/>
  <c r="AT47" i="13"/>
  <c r="AY47" i="13" s="1"/>
  <c r="AT49" i="13"/>
  <c r="AY49" i="13" s="1"/>
  <c r="G53" i="13"/>
  <c r="Q45" i="14"/>
  <c r="Y45" i="14"/>
  <c r="AG45" i="14"/>
  <c r="V45" i="14"/>
  <c r="P45" i="14"/>
  <c r="U45" i="14"/>
  <c r="H5" i="14"/>
  <c r="K45" i="14"/>
  <c r="S45" i="14"/>
  <c r="AA45" i="14"/>
  <c r="G7" i="14"/>
  <c r="M45" i="14"/>
  <c r="AC45" i="14"/>
  <c r="J45" i="14"/>
  <c r="R45" i="14"/>
  <c r="Z45" i="14"/>
  <c r="AI45" i="14"/>
  <c r="I45" i="14"/>
  <c r="L45" i="14"/>
  <c r="T45" i="14"/>
  <c r="AB45" i="14"/>
  <c r="N45" i="14"/>
  <c r="AD45" i="14"/>
  <c r="H45" i="14"/>
  <c r="X45" i="14"/>
  <c r="AF45" i="14"/>
  <c r="O45" i="14"/>
  <c r="AE45" i="14"/>
  <c r="W45" i="14"/>
  <c r="F5" i="13"/>
  <c r="G5" i="13" s="1"/>
  <c r="D66" i="13"/>
  <c r="B6" i="10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A6" i="13"/>
  <c r="A7" i="13" s="1"/>
  <c r="A8" i="13" s="1"/>
  <c r="D64" i="13"/>
  <c r="D2" i="13"/>
  <c r="E2" i="13" s="1"/>
  <c r="E2" i="10"/>
  <c r="F2" i="10" s="1"/>
  <c r="G2" i="10" s="1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AE2" i="10" s="1"/>
  <c r="AF2" i="10" s="1"/>
  <c r="AG2" i="10" s="1"/>
  <c r="AH2" i="10" s="1"/>
  <c r="AI2" i="10" s="1"/>
  <c r="AJ2" i="10" s="1"/>
  <c r="AK2" i="10" s="1"/>
  <c r="AL2" i="10" s="1"/>
  <c r="AM2" i="10" s="1"/>
  <c r="AN2" i="10" s="1"/>
  <c r="AO2" i="10" s="1"/>
  <c r="AP2" i="10" s="1"/>
  <c r="AQ2" i="10" s="1"/>
  <c r="AR2" i="10" s="1"/>
  <c r="AS2" i="10" s="1"/>
  <c r="AT2" i="10" s="1"/>
  <c r="AU2" i="10" s="1"/>
  <c r="AV2" i="10" s="1"/>
  <c r="AW2" i="10" s="1"/>
  <c r="AX2" i="10" s="1"/>
  <c r="AY2" i="10" s="1"/>
  <c r="AZ2" i="10" s="1"/>
  <c r="BA2" i="10" s="1"/>
  <c r="BB2" i="10" s="1"/>
  <c r="BC2" i="10" s="1"/>
  <c r="BD2" i="10" s="1"/>
  <c r="BE2" i="10" s="1"/>
  <c r="BF2" i="10" s="1"/>
  <c r="BG2" i="10" s="1"/>
  <c r="BH2" i="10" s="1"/>
  <c r="BI2" i="10" s="1"/>
  <c r="AH61" i="13"/>
  <c r="AG61" i="13"/>
  <c r="AF61" i="13"/>
  <c r="AE61" i="13"/>
  <c r="AD61" i="13"/>
  <c r="AC61" i="13"/>
  <c r="AB61" i="13"/>
  <c r="AA61" i="13"/>
  <c r="Z61" i="13"/>
  <c r="Y61" i="13"/>
  <c r="X61" i="13"/>
  <c r="W61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J61" i="13"/>
  <c r="I61" i="13"/>
  <c r="H61" i="13"/>
  <c r="AH60" i="13"/>
  <c r="AG60" i="13"/>
  <c r="AF60" i="13"/>
  <c r="AE60" i="13"/>
  <c r="AD60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K60" i="13"/>
  <c r="J60" i="13"/>
  <c r="I60" i="13"/>
  <c r="H60" i="13"/>
  <c r="AH59" i="13"/>
  <c r="AG59" i="13"/>
  <c r="AF59" i="13"/>
  <c r="AE59" i="13"/>
  <c r="AD59" i="13"/>
  <c r="AC59" i="13"/>
  <c r="AB59" i="13"/>
  <c r="AA59" i="13"/>
  <c r="Z59" i="13"/>
  <c r="Y59" i="13"/>
  <c r="X59" i="13"/>
  <c r="W59" i="13"/>
  <c r="V59" i="13"/>
  <c r="U59" i="13"/>
  <c r="T59" i="13"/>
  <c r="S59" i="13"/>
  <c r="R59" i="13"/>
  <c r="Q59" i="13"/>
  <c r="P59" i="13"/>
  <c r="O59" i="13"/>
  <c r="N59" i="13"/>
  <c r="M59" i="13"/>
  <c r="L59" i="13"/>
  <c r="K59" i="13"/>
  <c r="J59" i="13"/>
  <c r="I59" i="13"/>
  <c r="H59" i="13"/>
  <c r="AH58" i="13"/>
  <c r="AG58" i="13"/>
  <c r="AF58" i="13"/>
  <c r="AE58" i="13"/>
  <c r="AD58" i="13"/>
  <c r="AC58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AH57" i="13"/>
  <c r="AG57" i="13"/>
  <c r="AF57" i="13"/>
  <c r="AE57" i="13"/>
  <c r="AD57" i="13"/>
  <c r="AC57" i="13"/>
  <c r="AB57" i="13"/>
  <c r="AA57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B9" i="13"/>
  <c r="B10" i="13" s="1"/>
  <c r="B11" i="13" s="1"/>
  <c r="B12" i="13" s="1"/>
  <c r="B13" i="13" s="1"/>
  <c r="B14" i="13" s="1"/>
  <c r="B15" i="13" s="1"/>
  <c r="B16" i="13" s="1"/>
  <c r="B17" i="13" s="1"/>
  <c r="E7" i="13"/>
  <c r="G43" i="10"/>
  <c r="F43" i="10"/>
  <c r="G42" i="10"/>
  <c r="F42" i="10"/>
  <c r="G41" i="10"/>
  <c r="F41" i="10"/>
  <c r="G40" i="10"/>
  <c r="F40" i="10"/>
  <c r="G39" i="10"/>
  <c r="F39" i="10"/>
  <c r="G38" i="10"/>
  <c r="F38" i="10"/>
  <c r="G37" i="10"/>
  <c r="F37" i="10"/>
  <c r="G36" i="10"/>
  <c r="F36" i="10"/>
  <c r="G35" i="10"/>
  <c r="F35" i="10"/>
  <c r="G34" i="10"/>
  <c r="F34" i="10"/>
  <c r="G33" i="10"/>
  <c r="F33" i="10"/>
  <c r="G32" i="10"/>
  <c r="F32" i="10"/>
  <c r="G31" i="10"/>
  <c r="F31" i="10"/>
  <c r="G30" i="10"/>
  <c r="F30" i="10"/>
  <c r="G29" i="10"/>
  <c r="F29" i="10"/>
  <c r="G28" i="10"/>
  <c r="F28" i="10"/>
  <c r="G27" i="10"/>
  <c r="F27" i="10"/>
  <c r="G26" i="10"/>
  <c r="F26" i="10"/>
  <c r="G25" i="10"/>
  <c r="F25" i="10"/>
  <c r="G24" i="10"/>
  <c r="F24" i="10"/>
  <c r="G23" i="10"/>
  <c r="F23" i="10"/>
  <c r="G22" i="10"/>
  <c r="F22" i="10"/>
  <c r="G21" i="10"/>
  <c r="F21" i="10"/>
  <c r="G20" i="10"/>
  <c r="F20" i="10"/>
  <c r="G19" i="10"/>
  <c r="F19" i="10"/>
  <c r="G18" i="10"/>
  <c r="F18" i="10"/>
  <c r="G17" i="10"/>
  <c r="F17" i="10"/>
  <c r="G16" i="10"/>
  <c r="F16" i="10"/>
  <c r="G15" i="10"/>
  <c r="F15" i="10"/>
  <c r="G14" i="10"/>
  <c r="F14" i="10"/>
  <c r="G13" i="10"/>
  <c r="F13" i="10"/>
  <c r="G12" i="10"/>
  <c r="F12" i="10"/>
  <c r="G11" i="10"/>
  <c r="F11" i="10"/>
  <c r="G10" i="10"/>
  <c r="F10" i="10"/>
  <c r="G9" i="10"/>
  <c r="F9" i="10"/>
  <c r="G8" i="10"/>
  <c r="F8" i="10"/>
  <c r="AX43" i="10"/>
  <c r="AX42" i="10"/>
  <c r="AX40" i="10"/>
  <c r="AX39" i="10"/>
  <c r="AX38" i="10"/>
  <c r="AX37" i="10"/>
  <c r="AX36" i="10"/>
  <c r="AX35" i="10"/>
  <c r="AX34" i="10"/>
  <c r="AX33" i="10"/>
  <c r="AX32" i="10"/>
  <c r="AX31" i="10"/>
  <c r="AX30" i="10"/>
  <c r="AX29" i="10"/>
  <c r="AX28" i="10"/>
  <c r="AX27" i="10"/>
  <c r="AX26" i="10"/>
  <c r="AX25" i="10"/>
  <c r="AX24" i="10"/>
  <c r="AX23" i="10"/>
  <c r="AX22" i="10"/>
  <c r="AX21" i="10"/>
  <c r="AX20" i="10"/>
  <c r="AX19" i="10"/>
  <c r="AX18" i="10"/>
  <c r="AX17" i="10"/>
  <c r="AX16" i="10"/>
  <c r="AX15" i="10"/>
  <c r="AX14" i="10"/>
  <c r="AX13" i="10"/>
  <c r="AX12" i="10"/>
  <c r="AX11" i="10"/>
  <c r="AX10" i="10"/>
  <c r="AX9" i="10"/>
  <c r="AX8" i="10"/>
  <c r="AY43" i="10"/>
  <c r="AY42" i="10"/>
  <c r="AY40" i="10"/>
  <c r="AY39" i="10"/>
  <c r="AY38" i="10"/>
  <c r="AY37" i="10"/>
  <c r="AY36" i="10"/>
  <c r="AY35" i="10"/>
  <c r="AY34" i="10"/>
  <c r="AY33" i="10"/>
  <c r="AY32" i="10"/>
  <c r="AY31" i="10"/>
  <c r="AY30" i="10"/>
  <c r="AY29" i="10"/>
  <c r="AY28" i="10"/>
  <c r="AY27" i="10"/>
  <c r="AY26" i="10"/>
  <c r="AY25" i="10"/>
  <c r="AY24" i="10"/>
  <c r="AY23" i="10"/>
  <c r="AY22" i="10"/>
  <c r="AY21" i="10"/>
  <c r="AY20" i="10"/>
  <c r="AY19" i="10"/>
  <c r="AY18" i="10"/>
  <c r="AY17" i="10"/>
  <c r="AY16" i="10"/>
  <c r="AY15" i="10"/>
  <c r="AY14" i="10"/>
  <c r="AY13" i="10"/>
  <c r="AY12" i="10"/>
  <c r="AY11" i="10"/>
  <c r="AY10" i="10"/>
  <c r="AY9" i="10"/>
  <c r="AY8" i="10"/>
  <c r="BC43" i="10"/>
  <c r="BH43" i="10" s="1"/>
  <c r="BC42" i="10"/>
  <c r="BH42" i="10" s="1"/>
  <c r="BC41" i="10"/>
  <c r="BH41" i="10" s="1"/>
  <c r="AM10" i="13" s="1"/>
  <c r="BC40" i="10"/>
  <c r="BH40" i="10" s="1"/>
  <c r="AM33" i="13" s="1"/>
  <c r="BC39" i="10"/>
  <c r="BH39" i="10" s="1"/>
  <c r="BC38" i="10"/>
  <c r="BH38" i="10" s="1"/>
  <c r="AM31" i="13" s="1"/>
  <c r="BC37" i="10"/>
  <c r="BH37" i="10" s="1"/>
  <c r="AM30" i="13" s="1"/>
  <c r="BC36" i="10"/>
  <c r="BH36" i="10" s="1"/>
  <c r="AM29" i="13" s="1"/>
  <c r="BC35" i="10"/>
  <c r="BH35" i="10" s="1"/>
  <c r="AM28" i="13" s="1"/>
  <c r="BC34" i="10"/>
  <c r="BH34" i="10" s="1"/>
  <c r="AM34" i="13" s="1"/>
  <c r="BC33" i="10"/>
  <c r="BH33" i="10" s="1"/>
  <c r="AM23" i="13" s="1"/>
  <c r="BC32" i="10"/>
  <c r="BH32" i="10" s="1"/>
  <c r="AM35" i="13" s="1"/>
  <c r="BC31" i="10"/>
  <c r="BH31" i="10" s="1"/>
  <c r="AM27" i="13" s="1"/>
  <c r="BC30" i="10"/>
  <c r="BH30" i="10" s="1"/>
  <c r="AM20" i="13" s="1"/>
  <c r="BC29" i="10"/>
  <c r="BH29" i="10" s="1"/>
  <c r="AM38" i="13" s="1"/>
  <c r="BC28" i="10"/>
  <c r="BH28" i="10" s="1"/>
  <c r="AM22" i="13" s="1"/>
  <c r="BC27" i="10"/>
  <c r="BH27" i="10" s="1"/>
  <c r="AM21" i="13" s="1"/>
  <c r="BC26" i="10"/>
  <c r="BH26" i="10" s="1"/>
  <c r="AM37" i="13" s="1"/>
  <c r="BC25" i="10"/>
  <c r="BH25" i="10" s="1"/>
  <c r="AM26" i="13" s="1"/>
  <c r="BC24" i="10"/>
  <c r="BH24" i="10" s="1"/>
  <c r="AM25" i="13" s="1"/>
  <c r="BC23" i="10"/>
  <c r="BH23" i="10" s="1"/>
  <c r="AM24" i="13" s="1"/>
  <c r="BC22" i="10"/>
  <c r="BH22" i="10" s="1"/>
  <c r="AM36" i="13" s="1"/>
  <c r="BC21" i="10"/>
  <c r="BH21" i="10" s="1"/>
  <c r="AM17" i="13" s="1"/>
  <c r="BC20" i="10"/>
  <c r="BH20" i="10" s="1"/>
  <c r="AM16" i="13" s="1"/>
  <c r="BC19" i="10"/>
  <c r="BH19" i="10" s="1"/>
  <c r="AM32" i="13" s="1"/>
  <c r="BC18" i="10"/>
  <c r="BH18" i="10" s="1"/>
  <c r="AM19" i="13" s="1"/>
  <c r="BC17" i="10"/>
  <c r="BH17" i="10" s="1"/>
  <c r="AM14" i="13" s="1"/>
  <c r="BC16" i="10"/>
  <c r="BH16" i="10" s="1"/>
  <c r="AM18" i="13" s="1"/>
  <c r="BC15" i="10"/>
  <c r="BH15" i="10" s="1"/>
  <c r="AM39" i="13" s="1"/>
  <c r="BC14" i="10"/>
  <c r="BH14" i="10" s="1"/>
  <c r="AM15" i="13" s="1"/>
  <c r="BC13" i="10"/>
  <c r="BH13" i="10" s="1"/>
  <c r="AM40" i="13" s="1"/>
  <c r="BB40" i="13" s="1"/>
  <c r="BC12" i="10"/>
  <c r="BH12" i="10" s="1"/>
  <c r="AM9" i="13" s="1"/>
  <c r="BC11" i="10"/>
  <c r="BH11" i="10" s="1"/>
  <c r="AM8" i="13" s="1"/>
  <c r="BC10" i="10"/>
  <c r="BH10" i="10" s="1"/>
  <c r="AM13" i="13" s="1"/>
  <c r="BC9" i="10"/>
  <c r="BH9" i="10" s="1"/>
  <c r="AM12" i="13" s="1"/>
  <c r="BC8" i="10"/>
  <c r="BH8" i="10" s="1"/>
  <c r="AM11" i="13" s="1"/>
  <c r="H6" i="10"/>
  <c r="H7" i="10"/>
  <c r="AN53" i="10"/>
  <c r="AM53" i="10"/>
  <c r="AL53" i="10"/>
  <c r="AK53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AN52" i="10"/>
  <c r="AM52" i="10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AN51" i="10"/>
  <c r="AM51" i="10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AN49" i="10"/>
  <c r="AM49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AN48" i="10"/>
  <c r="AM48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AN47" i="10"/>
  <c r="AM47" i="10"/>
  <c r="AL47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5" i="10"/>
  <c r="G7" i="10" s="1"/>
  <c r="F5" i="10"/>
  <c r="F7" i="10" s="1"/>
  <c r="C9" i="10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I5" i="10"/>
  <c r="J5" i="10" s="1"/>
  <c r="J7" i="10" s="1"/>
  <c r="J9" i="22" l="1"/>
  <c r="K9" i="22"/>
  <c r="G9" i="22"/>
  <c r="N2" i="18"/>
  <c r="E9" i="22"/>
  <c r="L9" i="22"/>
  <c r="C9" i="22"/>
  <c r="F9" i="22"/>
  <c r="I9" i="22"/>
  <c r="O5" i="18"/>
  <c r="I10" i="22" s="1"/>
  <c r="H6" i="16"/>
  <c r="I5" i="16"/>
  <c r="H7" i="16"/>
  <c r="AP2" i="15"/>
  <c r="AQ2" i="15" s="1"/>
  <c r="AR2" i="15" s="1"/>
  <c r="AS2" i="15" s="1"/>
  <c r="AT2" i="15" s="1"/>
  <c r="AU2" i="15" s="1"/>
  <c r="AV2" i="15" s="1"/>
  <c r="AW2" i="15" s="1"/>
  <c r="AX2" i="15" s="1"/>
  <c r="AY2" i="15" s="1"/>
  <c r="AZ2" i="15" s="1"/>
  <c r="BA2" i="15" s="1"/>
  <c r="BB2" i="15" s="1"/>
  <c r="BC2" i="15" s="1"/>
  <c r="BD2" i="15" s="1"/>
  <c r="BE2" i="15" s="1"/>
  <c r="BF2" i="15" s="1"/>
  <c r="BG2" i="15" s="1"/>
  <c r="BH2" i="15" s="1"/>
  <c r="BI2" i="15" s="1"/>
  <c r="BJ2" i="15" s="1"/>
  <c r="BK2" i="15" s="1"/>
  <c r="BL2" i="15" s="1"/>
  <c r="AX48" i="13"/>
  <c r="AX44" i="13"/>
  <c r="AX42" i="13"/>
  <c r="AK18" i="14"/>
  <c r="AK26" i="14"/>
  <c r="BF18" i="15"/>
  <c r="BB18" i="15"/>
  <c r="BA18" i="15"/>
  <c r="BF38" i="15"/>
  <c r="BB38" i="15"/>
  <c r="BA38" i="15"/>
  <c r="BA33" i="15"/>
  <c r="BF10" i="15"/>
  <c r="BB10" i="15"/>
  <c r="BA10" i="15"/>
  <c r="BA30" i="15"/>
  <c r="BF30" i="15"/>
  <c r="BB30" i="15"/>
  <c r="AN27" i="14"/>
  <c r="BC27" i="14" s="1"/>
  <c r="AV33" i="15" s="1"/>
  <c r="BB33" i="15"/>
  <c r="AZ44" i="13"/>
  <c r="BB9" i="15"/>
  <c r="AZ48" i="13"/>
  <c r="AN36" i="14"/>
  <c r="BC36" i="14" s="1"/>
  <c r="AV18" i="15" s="1"/>
  <c r="AZ42" i="13"/>
  <c r="BF41" i="15"/>
  <c r="BF9" i="15"/>
  <c r="AN34" i="14"/>
  <c r="BC34" i="14" s="1"/>
  <c r="AV20" i="15" s="1"/>
  <c r="BA24" i="15"/>
  <c r="BB24" i="15"/>
  <c r="BF20" i="15"/>
  <c r="AK34" i="14"/>
  <c r="AK32" i="14"/>
  <c r="AK27" i="14"/>
  <c r="AN28" i="14"/>
  <c r="BC28" i="14" s="1"/>
  <c r="AV10" i="15" s="1"/>
  <c r="BF22" i="15"/>
  <c r="BB22" i="15"/>
  <c r="BA22" i="15"/>
  <c r="AK24" i="14"/>
  <c r="AL32" i="14"/>
  <c r="AN24" i="14"/>
  <c r="BC24" i="14" s="1"/>
  <c r="AV28" i="15" s="1"/>
  <c r="BK28" i="15" s="1"/>
  <c r="I5" i="14"/>
  <c r="I7" i="14" s="1"/>
  <c r="AK10" i="14"/>
  <c r="AK36" i="14"/>
  <c r="AN13" i="14"/>
  <c r="BC13" i="14" s="1"/>
  <c r="AV12" i="15" s="1"/>
  <c r="AK28" i="14"/>
  <c r="AK13" i="14"/>
  <c r="AN26" i="14"/>
  <c r="BC26" i="14" s="1"/>
  <c r="AV24" i="15" s="1"/>
  <c r="BK24" i="15" s="1"/>
  <c r="AL28" i="14"/>
  <c r="BA41" i="15"/>
  <c r="BF42" i="15"/>
  <c r="BB42" i="15"/>
  <c r="BA42" i="15"/>
  <c r="BA14" i="15"/>
  <c r="BF14" i="15"/>
  <c r="BB14" i="15"/>
  <c r="AL13" i="14"/>
  <c r="AX50" i="13"/>
  <c r="BF34" i="15"/>
  <c r="BB34" i="15"/>
  <c r="BA34" i="15"/>
  <c r="AL10" i="14"/>
  <c r="AN18" i="14"/>
  <c r="BC18" i="14" s="1"/>
  <c r="AV34" i="15" s="1"/>
  <c r="AL24" i="14"/>
  <c r="BF26" i="15"/>
  <c r="BB26" i="15"/>
  <c r="BA26" i="15"/>
  <c r="BB28" i="15"/>
  <c r="I7" i="15"/>
  <c r="J5" i="15"/>
  <c r="K5" i="15" s="1"/>
  <c r="AX46" i="13"/>
  <c r="AX47" i="13"/>
  <c r="BC50" i="13"/>
  <c r="AL34" i="14"/>
  <c r="BC46" i="13"/>
  <c r="AL27" i="14"/>
  <c r="BC47" i="13"/>
  <c r="BC45" i="13"/>
  <c r="AX45" i="13"/>
  <c r="BC41" i="13"/>
  <c r="BC43" i="13"/>
  <c r="AX41" i="13"/>
  <c r="AX43" i="13"/>
  <c r="BC49" i="13"/>
  <c r="AX49" i="13"/>
  <c r="Q53" i="13"/>
  <c r="U53" i="13"/>
  <c r="G7" i="13"/>
  <c r="H6" i="14"/>
  <c r="H7" i="14"/>
  <c r="I53" i="13"/>
  <c r="AG53" i="13"/>
  <c r="AB53" i="13"/>
  <c r="AC53" i="13"/>
  <c r="Y53" i="13"/>
  <c r="T53" i="13"/>
  <c r="M53" i="13"/>
  <c r="L53" i="13"/>
  <c r="J53" i="13"/>
  <c r="R53" i="13"/>
  <c r="Z53" i="13"/>
  <c r="AH53" i="13"/>
  <c r="A9" i="13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K53" i="13"/>
  <c r="S53" i="13"/>
  <c r="AA53" i="13"/>
  <c r="V53" i="13"/>
  <c r="O53" i="13"/>
  <c r="W53" i="13"/>
  <c r="AE53" i="13"/>
  <c r="N53" i="13"/>
  <c r="AD53" i="13"/>
  <c r="H53" i="13"/>
  <c r="P53" i="13"/>
  <c r="X53" i="13"/>
  <c r="AF53" i="13"/>
  <c r="BB19" i="13"/>
  <c r="BB30" i="13"/>
  <c r="BB18" i="13"/>
  <c r="BB26" i="13"/>
  <c r="BB51" i="13"/>
  <c r="BB8" i="13"/>
  <c r="BB29" i="13"/>
  <c r="BB32" i="13"/>
  <c r="BB24" i="13"/>
  <c r="BB27" i="13"/>
  <c r="BB14" i="13"/>
  <c r="BB21" i="13"/>
  <c r="BB35" i="13"/>
  <c r="BB22" i="13"/>
  <c r="BB9" i="13"/>
  <c r="BB17" i="13"/>
  <c r="BB25" i="13"/>
  <c r="BB13" i="13"/>
  <c r="BB16" i="13"/>
  <c r="BB12" i="13"/>
  <c r="BB28" i="13"/>
  <c r="BB15" i="13"/>
  <c r="BB23" i="13"/>
  <c r="BB31" i="13"/>
  <c r="BB36" i="13"/>
  <c r="BB37" i="13"/>
  <c r="BB10" i="13"/>
  <c r="BB39" i="13"/>
  <c r="BB20" i="13"/>
  <c r="BB38" i="13"/>
  <c r="BB11" i="13"/>
  <c r="BB34" i="13"/>
  <c r="BB33" i="13"/>
  <c r="F2" i="13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AC2" i="13" s="1"/>
  <c r="AD2" i="13" s="1"/>
  <c r="AE2" i="13" s="1"/>
  <c r="AF2" i="13" s="1"/>
  <c r="AG2" i="13" s="1"/>
  <c r="AH2" i="13" s="1"/>
  <c r="AI2" i="13" s="1"/>
  <c r="AJ2" i="13" s="1"/>
  <c r="AK2" i="13" s="1"/>
  <c r="AL2" i="13" s="1"/>
  <c r="AM2" i="13" s="1"/>
  <c r="AN2" i="13" s="1"/>
  <c r="AO2" i="13" s="1"/>
  <c r="AP2" i="13" s="1"/>
  <c r="AQ2" i="13" s="1"/>
  <c r="AR2" i="13" s="1"/>
  <c r="AS2" i="13" s="1"/>
  <c r="AT2" i="13" s="1"/>
  <c r="AU2" i="13" s="1"/>
  <c r="AV2" i="13" s="1"/>
  <c r="AW2" i="13" s="1"/>
  <c r="AX2" i="13" s="1"/>
  <c r="AY2" i="13" s="1"/>
  <c r="AZ2" i="13" s="1"/>
  <c r="BA2" i="13" s="1"/>
  <c r="BB2" i="13" s="1"/>
  <c r="BC2" i="13" s="1"/>
  <c r="F6" i="13"/>
  <c r="F7" i="13"/>
  <c r="B18" i="13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H5" i="13"/>
  <c r="G6" i="13"/>
  <c r="I6" i="10"/>
  <c r="E6" i="13"/>
  <c r="J6" i="10"/>
  <c r="F6" i="10"/>
  <c r="G6" i="10"/>
  <c r="J45" i="10"/>
  <c r="H45" i="10"/>
  <c r="I7" i="10"/>
  <c r="I45" i="10" s="1"/>
  <c r="K5" i="10"/>
  <c r="L10" i="22" l="1"/>
  <c r="O2" i="18"/>
  <c r="P5" i="18"/>
  <c r="I6" i="16"/>
  <c r="J5" i="16"/>
  <c r="I7" i="16"/>
  <c r="BC44" i="13"/>
  <c r="AL26" i="14"/>
  <c r="J5" i="14"/>
  <c r="J7" i="14" s="1"/>
  <c r="AL36" i="14"/>
  <c r="AL18" i="14"/>
  <c r="BC48" i="13"/>
  <c r="BK34" i="15"/>
  <c r="BK10" i="15"/>
  <c r="BC42" i="13"/>
  <c r="I6" i="14"/>
  <c r="AN14" i="14"/>
  <c r="BC14" i="14" s="1"/>
  <c r="AV16" i="15" s="1"/>
  <c r="BK16" i="15" s="1"/>
  <c r="AN40" i="14"/>
  <c r="BC40" i="14" s="1"/>
  <c r="AV30" i="15" s="1"/>
  <c r="BK30" i="15" s="1"/>
  <c r="AN19" i="14"/>
  <c r="BC19" i="14" s="1"/>
  <c r="AV15" i="15" s="1"/>
  <c r="BK15" i="15" s="1"/>
  <c r="AN8" i="14"/>
  <c r="BC8" i="14" s="1"/>
  <c r="AV13" i="15" s="1"/>
  <c r="BK13" i="15" s="1"/>
  <c r="AN31" i="14"/>
  <c r="BC31" i="14" s="1"/>
  <c r="AV26" i="15" s="1"/>
  <c r="BK26" i="15" s="1"/>
  <c r="AN42" i="14"/>
  <c r="BC42" i="14" s="1"/>
  <c r="AN22" i="14"/>
  <c r="BC22" i="14" s="1"/>
  <c r="AV32" i="15" s="1"/>
  <c r="BK32" i="15" s="1"/>
  <c r="AN12" i="14"/>
  <c r="BC12" i="14" s="1"/>
  <c r="AV39" i="15" s="1"/>
  <c r="BK39" i="15" s="1"/>
  <c r="BK12" i="15"/>
  <c r="AN33" i="14"/>
  <c r="BC33" i="14" s="1"/>
  <c r="AV9" i="15" s="1"/>
  <c r="BK9" i="15" s="1"/>
  <c r="BK33" i="15"/>
  <c r="AN11" i="14"/>
  <c r="BC11" i="14" s="1"/>
  <c r="AV37" i="15" s="1"/>
  <c r="BK37" i="15" s="1"/>
  <c r="AN15" i="14"/>
  <c r="BC15" i="14" s="1"/>
  <c r="AV19" i="15" s="1"/>
  <c r="BK19" i="15" s="1"/>
  <c r="BK18" i="15"/>
  <c r="AN37" i="14"/>
  <c r="BC37" i="14" s="1"/>
  <c r="AV21" i="15" s="1"/>
  <c r="BK21" i="15" s="1"/>
  <c r="AN39" i="14"/>
  <c r="BC39" i="14" s="1"/>
  <c r="AV8" i="15" s="1"/>
  <c r="AN23" i="14"/>
  <c r="BC23" i="14" s="1"/>
  <c r="AV27" i="15" s="1"/>
  <c r="BK27" i="15" s="1"/>
  <c r="BK23" i="15"/>
  <c r="AN43" i="14"/>
  <c r="BC43" i="14" s="1"/>
  <c r="AV29" i="15" s="1"/>
  <c r="BK29" i="15" s="1"/>
  <c r="AN38" i="14"/>
  <c r="BC38" i="14" s="1"/>
  <c r="AV35" i="15" s="1"/>
  <c r="BK35" i="15" s="1"/>
  <c r="AN9" i="14"/>
  <c r="BC9" i="14" s="1"/>
  <c r="AV41" i="15" s="1"/>
  <c r="BK41" i="15" s="1"/>
  <c r="AN29" i="14"/>
  <c r="BC29" i="14" s="1"/>
  <c r="AV31" i="15" s="1"/>
  <c r="BK31" i="15" s="1"/>
  <c r="AN20" i="14"/>
  <c r="BC20" i="14" s="1"/>
  <c r="AV38" i="15" s="1"/>
  <c r="BK38" i="15" s="1"/>
  <c r="BK20" i="15"/>
  <c r="AN25" i="14"/>
  <c r="BC25" i="14" s="1"/>
  <c r="AV22" i="15" s="1"/>
  <c r="BK22" i="15" s="1"/>
  <c r="AN16" i="14"/>
  <c r="BC16" i="14" s="1"/>
  <c r="AV42" i="15" s="1"/>
  <c r="BK42" i="15" s="1"/>
  <c r="AN17" i="14"/>
  <c r="BC17" i="14" s="1"/>
  <c r="AV14" i="15" s="1"/>
  <c r="BK14" i="15" s="1"/>
  <c r="BK17" i="15"/>
  <c r="AN41" i="14"/>
  <c r="BC41" i="14" s="1"/>
  <c r="AV11" i="15" s="1"/>
  <c r="BK11" i="15" s="1"/>
  <c r="J7" i="15"/>
  <c r="AN30" i="14"/>
  <c r="BC30" i="14" s="1"/>
  <c r="AN21" i="14"/>
  <c r="BC21" i="14" s="1"/>
  <c r="AV25" i="15" s="1"/>
  <c r="BK25" i="15" s="1"/>
  <c r="AN35" i="14"/>
  <c r="BC35" i="14" s="1"/>
  <c r="AV43" i="15" s="1"/>
  <c r="BK43" i="15" s="1"/>
  <c r="J6" i="15"/>
  <c r="L5" i="15"/>
  <c r="K6" i="15"/>
  <c r="K7" i="15"/>
  <c r="A38" i="13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B38" i="13"/>
  <c r="B39" i="13" s="1"/>
  <c r="H7" i="13"/>
  <c r="H6" i="13"/>
  <c r="I5" i="13"/>
  <c r="K7" i="10"/>
  <c r="K45" i="10" s="1"/>
  <c r="K6" i="10"/>
  <c r="L5" i="10"/>
  <c r="P2" i="18" l="1"/>
  <c r="Q5" i="18"/>
  <c r="Q2" i="18" s="1"/>
  <c r="J6" i="16"/>
  <c r="K5" i="16"/>
  <c r="J7" i="16"/>
  <c r="J6" i="14"/>
  <c r="K5" i="14"/>
  <c r="K6" i="14" s="1"/>
  <c r="L6" i="15"/>
  <c r="L7" i="15"/>
  <c r="M5" i="15"/>
  <c r="B40" i="13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I6" i="13"/>
  <c r="J5" i="13"/>
  <c r="I7" i="13"/>
  <c r="L7" i="10"/>
  <c r="L45" i="10" s="1"/>
  <c r="L6" i="10"/>
  <c r="M5" i="10"/>
  <c r="R5" i="18" l="1"/>
  <c r="R2" i="18" s="1"/>
  <c r="K6" i="16"/>
  <c r="L5" i="16"/>
  <c r="K7" i="16"/>
  <c r="K7" i="14"/>
  <c r="L5" i="14"/>
  <c r="L6" i="14" s="1"/>
  <c r="M6" i="15"/>
  <c r="M7" i="15"/>
  <c r="N5" i="15"/>
  <c r="AQ20" i="13"/>
  <c r="AP20" i="13"/>
  <c r="AO20" i="13"/>
  <c r="AN20" i="13"/>
  <c r="J7" i="13"/>
  <c r="K5" i="13"/>
  <c r="J6" i="13"/>
  <c r="M7" i="10"/>
  <c r="M45" i="10" s="1"/>
  <c r="M6" i="10"/>
  <c r="N5" i="10"/>
  <c r="S5" i="18" l="1"/>
  <c r="S2" i="18" s="1"/>
  <c r="M5" i="16"/>
  <c r="L7" i="16"/>
  <c r="L6" i="16"/>
  <c r="M5" i="14"/>
  <c r="M7" i="14" s="1"/>
  <c r="L7" i="14"/>
  <c r="N7" i="15"/>
  <c r="N6" i="15"/>
  <c r="O5" i="15"/>
  <c r="L5" i="13"/>
  <c r="K6" i="13"/>
  <c r="K7" i="13"/>
  <c r="N7" i="10"/>
  <c r="N45" i="10" s="1"/>
  <c r="N6" i="10"/>
  <c r="O5" i="10"/>
  <c r="T5" i="18" l="1"/>
  <c r="T2" i="18" s="1"/>
  <c r="M6" i="16"/>
  <c r="M7" i="16"/>
  <c r="N5" i="16"/>
  <c r="N5" i="14"/>
  <c r="N6" i="14" s="1"/>
  <c r="M6" i="14"/>
  <c r="O6" i="15"/>
  <c r="P5" i="15"/>
  <c r="O7" i="15"/>
  <c r="M5" i="13"/>
  <c r="L7" i="13"/>
  <c r="L6" i="13"/>
  <c r="O7" i="10"/>
  <c r="O45" i="10" s="1"/>
  <c r="O6" i="10"/>
  <c r="P5" i="10"/>
  <c r="U5" i="18" l="1"/>
  <c r="U2" i="18" s="1"/>
  <c r="N6" i="16"/>
  <c r="O5" i="16"/>
  <c r="N7" i="16"/>
  <c r="N7" i="14"/>
  <c r="O5" i="14"/>
  <c r="P5" i="14" s="1"/>
  <c r="Q5" i="14" s="1"/>
  <c r="Q5" i="15"/>
  <c r="P6" i="15"/>
  <c r="P7" i="15"/>
  <c r="M6" i="13"/>
  <c r="M7" i="13"/>
  <c r="N5" i="13"/>
  <c r="P7" i="10"/>
  <c r="P45" i="10" s="1"/>
  <c r="P6" i="10"/>
  <c r="Q5" i="10"/>
  <c r="V5" i="18" l="1"/>
  <c r="V2" i="18" s="1"/>
  <c r="O6" i="16"/>
  <c r="P5" i="16"/>
  <c r="O7" i="16"/>
  <c r="O6" i="14"/>
  <c r="P7" i="14"/>
  <c r="P6" i="14"/>
  <c r="O7" i="14"/>
  <c r="R5" i="15"/>
  <c r="Q6" i="15"/>
  <c r="Q7" i="15"/>
  <c r="R5" i="14"/>
  <c r="Q6" i="14"/>
  <c r="Q7" i="14"/>
  <c r="AP39" i="13"/>
  <c r="AO39" i="13"/>
  <c r="AN39" i="13"/>
  <c r="AQ39" i="13"/>
  <c r="N7" i="13"/>
  <c r="N6" i="13"/>
  <c r="O5" i="13"/>
  <c r="Q7" i="10"/>
  <c r="Q45" i="10" s="1"/>
  <c r="Q6" i="10"/>
  <c r="R5" i="10"/>
  <c r="W5" i="18" l="1"/>
  <c r="W2" i="18" s="1"/>
  <c r="P7" i="16"/>
  <c r="P6" i="16"/>
  <c r="Q5" i="16"/>
  <c r="S5" i="15"/>
  <c r="R6" i="15"/>
  <c r="R7" i="15"/>
  <c r="R6" i="14"/>
  <c r="R7" i="14"/>
  <c r="S5" i="14"/>
  <c r="P5" i="13"/>
  <c r="O7" i="13"/>
  <c r="O6" i="13"/>
  <c r="R7" i="10"/>
  <c r="R45" i="10" s="1"/>
  <c r="R6" i="10"/>
  <c r="S5" i="10"/>
  <c r="X5" i="18" l="1"/>
  <c r="X2" i="18" s="1"/>
  <c r="Q6" i="16"/>
  <c r="Q7" i="16"/>
  <c r="R5" i="16"/>
  <c r="T5" i="15"/>
  <c r="S6" i="15"/>
  <c r="S7" i="15"/>
  <c r="S6" i="14"/>
  <c r="S7" i="14"/>
  <c r="T5" i="14"/>
  <c r="T6" i="14" s="1"/>
  <c r="AQ36" i="13"/>
  <c r="AP36" i="13"/>
  <c r="AN36" i="13"/>
  <c r="AO36" i="13"/>
  <c r="P6" i="13"/>
  <c r="P7" i="13"/>
  <c r="Q5" i="13"/>
  <c r="S7" i="10"/>
  <c r="S45" i="10" s="1"/>
  <c r="S6" i="10"/>
  <c r="T5" i="10"/>
  <c r="Y5" i="18" l="1"/>
  <c r="Y2" i="18" s="1"/>
  <c r="R7" i="16"/>
  <c r="S5" i="16"/>
  <c r="R6" i="16"/>
  <c r="T6" i="15"/>
  <c r="U5" i="15"/>
  <c r="T7" i="15"/>
  <c r="AO19" i="14"/>
  <c r="AR19" i="14"/>
  <c r="AP19" i="14"/>
  <c r="AQ19" i="14"/>
  <c r="AO21" i="14"/>
  <c r="AQ21" i="14"/>
  <c r="AR21" i="14"/>
  <c r="AP21" i="14"/>
  <c r="T7" i="14"/>
  <c r="U5" i="14"/>
  <c r="U6" i="14" s="1"/>
  <c r="Q6" i="13"/>
  <c r="R5" i="13"/>
  <c r="Q7" i="13"/>
  <c r="T7" i="10"/>
  <c r="T45" i="10" s="1"/>
  <c r="T6" i="10"/>
  <c r="U5" i="10"/>
  <c r="Z5" i="18" l="1"/>
  <c r="Z2" i="18" s="1"/>
  <c r="T5" i="16"/>
  <c r="S7" i="16"/>
  <c r="S6" i="16"/>
  <c r="V5" i="15"/>
  <c r="U6" i="15"/>
  <c r="U7" i="15"/>
  <c r="AU21" i="14"/>
  <c r="AV21" i="14"/>
  <c r="AU19" i="14"/>
  <c r="AV19" i="14"/>
  <c r="U7" i="14"/>
  <c r="V5" i="14"/>
  <c r="R7" i="13"/>
  <c r="S5" i="13"/>
  <c r="R6" i="13"/>
  <c r="U7" i="10"/>
  <c r="U45" i="10" s="1"/>
  <c r="U6" i="10"/>
  <c r="V5" i="10"/>
  <c r="AA5" i="18" l="1"/>
  <c r="AA2" i="18" s="1"/>
  <c r="U5" i="16"/>
  <c r="T7" i="16"/>
  <c r="T6" i="16"/>
  <c r="W5" i="15"/>
  <c r="V6" i="15"/>
  <c r="V7" i="15"/>
  <c r="AY19" i="14"/>
  <c r="AY21" i="14"/>
  <c r="V7" i="14"/>
  <c r="W5" i="14"/>
  <c r="V6" i="14"/>
  <c r="T5" i="13"/>
  <c r="S7" i="13"/>
  <c r="V7" i="10"/>
  <c r="V45" i="10" s="1"/>
  <c r="V6" i="10"/>
  <c r="W5" i="10"/>
  <c r="AB5" i="18" l="1"/>
  <c r="AB2" i="18" s="1"/>
  <c r="U7" i="16"/>
  <c r="U6" i="16"/>
  <c r="V5" i="16"/>
  <c r="X5" i="15"/>
  <c r="W6" i="15"/>
  <c r="W7" i="15"/>
  <c r="X5" i="14"/>
  <c r="W7" i="14"/>
  <c r="W6" i="14"/>
  <c r="T7" i="13"/>
  <c r="U5" i="13"/>
  <c r="W7" i="10"/>
  <c r="W45" i="10" s="1"/>
  <c r="W6" i="10"/>
  <c r="X5" i="10"/>
  <c r="AC5" i="18" l="1"/>
  <c r="AC2" i="18" s="1"/>
  <c r="V7" i="16"/>
  <c r="V6" i="16"/>
  <c r="W5" i="16"/>
  <c r="Y5" i="15"/>
  <c r="X6" i="15"/>
  <c r="X7" i="15"/>
  <c r="Y5" i="14"/>
  <c r="X6" i="14"/>
  <c r="X7" i="14"/>
  <c r="U6" i="13"/>
  <c r="U7" i="13"/>
  <c r="V5" i="13"/>
  <c r="X7" i="10"/>
  <c r="X45" i="10" s="1"/>
  <c r="X6" i="10"/>
  <c r="Y5" i="10"/>
  <c r="AD5" i="18" l="1"/>
  <c r="AD2" i="18" s="1"/>
  <c r="W7" i="16"/>
  <c r="W6" i="16"/>
  <c r="X5" i="16"/>
  <c r="Z5" i="15"/>
  <c r="Y6" i="15"/>
  <c r="Y7" i="15"/>
  <c r="AQ30" i="14"/>
  <c r="AP30" i="14"/>
  <c r="AR30" i="14"/>
  <c r="AO30" i="14"/>
  <c r="Z5" i="14"/>
  <c r="Y6" i="14"/>
  <c r="Y7" i="14"/>
  <c r="V7" i="13"/>
  <c r="W5" i="13"/>
  <c r="V6" i="13"/>
  <c r="Y7" i="10"/>
  <c r="Y45" i="10" s="1"/>
  <c r="Y6" i="10"/>
  <c r="Z5" i="10"/>
  <c r="AE5" i="18" l="1"/>
  <c r="AE2" i="18" s="1"/>
  <c r="X6" i="16"/>
  <c r="X7" i="16"/>
  <c r="Y5" i="16"/>
  <c r="AA5" i="15"/>
  <c r="Z6" i="15"/>
  <c r="Z7" i="15"/>
  <c r="AU30" i="14"/>
  <c r="AV30" i="14"/>
  <c r="Z6" i="14"/>
  <c r="Z7" i="14"/>
  <c r="AA5" i="14"/>
  <c r="AQ40" i="13"/>
  <c r="AO40" i="13"/>
  <c r="AP40" i="13"/>
  <c r="AN40" i="13"/>
  <c r="X5" i="13"/>
  <c r="W6" i="13"/>
  <c r="W7" i="13"/>
  <c r="Z7" i="10"/>
  <c r="Z45" i="10" s="1"/>
  <c r="Z6" i="10"/>
  <c r="AW40" i="10"/>
  <c r="AV40" i="10"/>
  <c r="AT40" i="10"/>
  <c r="AU40" i="10"/>
  <c r="AA5" i="10"/>
  <c r="AF5" i="18" l="1"/>
  <c r="AF2" i="18" s="1"/>
  <c r="Y6" i="16"/>
  <c r="Z5" i="16"/>
  <c r="Y7" i="16"/>
  <c r="AB5" i="15"/>
  <c r="AA6" i="15"/>
  <c r="AA7" i="15"/>
  <c r="AY30" i="14"/>
  <c r="AA6" i="14"/>
  <c r="AA7" i="14"/>
  <c r="AB5" i="14"/>
  <c r="AN33" i="13"/>
  <c r="AO33" i="13"/>
  <c r="AQ33" i="13"/>
  <c r="AP33" i="13"/>
  <c r="AU40" i="13"/>
  <c r="AT40" i="13"/>
  <c r="X6" i="13"/>
  <c r="Y5" i="13"/>
  <c r="X7" i="13"/>
  <c r="AA7" i="10"/>
  <c r="AA45" i="10" s="1"/>
  <c r="AA6" i="10"/>
  <c r="AZ40" i="10"/>
  <c r="BE40" i="10" s="1"/>
  <c r="AJ33" i="13" s="1"/>
  <c r="BA40" i="10"/>
  <c r="AB5" i="10"/>
  <c r="AG5" i="18" l="1"/>
  <c r="AG2" i="18" s="1"/>
  <c r="AO32" i="16"/>
  <c r="AP32" i="16"/>
  <c r="AQ32" i="16"/>
  <c r="Z6" i="16"/>
  <c r="AA5" i="16"/>
  <c r="Z7" i="16"/>
  <c r="AQ14" i="16"/>
  <c r="AP14" i="16"/>
  <c r="AO14" i="16"/>
  <c r="AN14" i="16"/>
  <c r="AB6" i="15"/>
  <c r="AB7" i="15"/>
  <c r="AC5" i="15"/>
  <c r="AR39" i="14"/>
  <c r="AQ39" i="14"/>
  <c r="AP39" i="14"/>
  <c r="AO39" i="14"/>
  <c r="AQ12" i="14"/>
  <c r="AP12" i="14"/>
  <c r="AO12" i="14"/>
  <c r="AR12" i="14"/>
  <c r="AB6" i="14"/>
  <c r="AB7" i="14"/>
  <c r="AC5" i="14"/>
  <c r="AX40" i="13"/>
  <c r="Y7" i="13"/>
  <c r="Y6" i="13"/>
  <c r="Z5" i="13"/>
  <c r="BD40" i="10"/>
  <c r="BF40" i="10"/>
  <c r="AB7" i="10"/>
  <c r="AB45" i="10" s="1"/>
  <c r="AB6" i="10"/>
  <c r="AC5" i="10"/>
  <c r="AH5" i="18" l="1"/>
  <c r="AH2" i="18" s="1"/>
  <c r="AU14" i="16"/>
  <c r="AT14" i="16"/>
  <c r="AA6" i="16"/>
  <c r="AB5" i="16"/>
  <c r="AA7" i="16"/>
  <c r="BI40" i="10"/>
  <c r="AK33" i="13"/>
  <c r="AC6" i="15"/>
  <c r="AC7" i="15"/>
  <c r="AD5" i="15"/>
  <c r="AU12" i="14"/>
  <c r="AV12" i="14"/>
  <c r="AR17" i="14"/>
  <c r="AO17" i="14"/>
  <c r="AP17" i="14"/>
  <c r="AQ17" i="14"/>
  <c r="AU39" i="14"/>
  <c r="AV39" i="14"/>
  <c r="AC6" i="14"/>
  <c r="AC7" i="14"/>
  <c r="AD5" i="14"/>
  <c r="AN37" i="13"/>
  <c r="AP37" i="13"/>
  <c r="AO37" i="13"/>
  <c r="AQ37" i="13"/>
  <c r="Z7" i="13"/>
  <c r="Z6" i="13"/>
  <c r="AA5" i="13"/>
  <c r="AW36" i="10"/>
  <c r="AV36" i="10"/>
  <c r="AT36" i="10"/>
  <c r="AU36" i="10"/>
  <c r="AC7" i="10"/>
  <c r="AC45" i="10" s="1"/>
  <c r="AC6" i="10"/>
  <c r="AD5" i="10"/>
  <c r="AI5" i="18" l="1"/>
  <c r="AP8" i="16"/>
  <c r="AN8" i="16"/>
  <c r="AB6" i="16"/>
  <c r="AC5" i="16"/>
  <c r="AB7" i="16"/>
  <c r="AN43" i="16"/>
  <c r="AP43" i="16"/>
  <c r="AQ43" i="16"/>
  <c r="AO43" i="16"/>
  <c r="AX14" i="16"/>
  <c r="AD7" i="15"/>
  <c r="AE5" i="15"/>
  <c r="AY39" i="14"/>
  <c r="AQ38" i="14"/>
  <c r="AO38" i="14"/>
  <c r="AP38" i="14"/>
  <c r="AR38" i="14"/>
  <c r="AY12" i="14"/>
  <c r="AR41" i="14"/>
  <c r="AO41" i="14"/>
  <c r="AP41" i="14"/>
  <c r="AQ41" i="14"/>
  <c r="AQ14" i="14"/>
  <c r="AP14" i="14"/>
  <c r="AR14" i="14"/>
  <c r="AO14" i="14"/>
  <c r="AU17" i="14"/>
  <c r="AV17" i="14"/>
  <c r="AD7" i="14"/>
  <c r="AE5" i="14"/>
  <c r="AD6" i="14"/>
  <c r="AP19" i="13"/>
  <c r="AN19" i="13"/>
  <c r="AO19" i="13"/>
  <c r="AQ19" i="13"/>
  <c r="AP10" i="13"/>
  <c r="AN10" i="13"/>
  <c r="AQ10" i="13"/>
  <c r="AO10" i="13"/>
  <c r="AN38" i="13"/>
  <c r="AO38" i="13"/>
  <c r="AP38" i="13"/>
  <c r="AQ38" i="13"/>
  <c r="AA6" i="13"/>
  <c r="AB5" i="13"/>
  <c r="AA7" i="13"/>
  <c r="AD7" i="10"/>
  <c r="AD45" i="10" s="1"/>
  <c r="AD6" i="10"/>
  <c r="BA36" i="10"/>
  <c r="AZ36" i="10"/>
  <c r="BE36" i="10" s="1"/>
  <c r="AJ29" i="13" s="1"/>
  <c r="AE5" i="10"/>
  <c r="AJ5" i="18" l="1"/>
  <c r="AJ2" i="18" s="1"/>
  <c r="AI2" i="18"/>
  <c r="AU43" i="16"/>
  <c r="AT43" i="16"/>
  <c r="AC6" i="16"/>
  <c r="AC7" i="16"/>
  <c r="AD5" i="16"/>
  <c r="AE7" i="15"/>
  <c r="AF5" i="15"/>
  <c r="AU38" i="14"/>
  <c r="AV38" i="14"/>
  <c r="AU41" i="14"/>
  <c r="AV41" i="14"/>
  <c r="AR10" i="14"/>
  <c r="AO10" i="14"/>
  <c r="AQ10" i="14"/>
  <c r="AP10" i="14"/>
  <c r="AY17" i="14"/>
  <c r="AV14" i="14"/>
  <c r="AU14" i="14"/>
  <c r="AF5" i="14"/>
  <c r="AE7" i="14"/>
  <c r="AE6" i="14"/>
  <c r="AB7" i="13"/>
  <c r="AC5" i="13"/>
  <c r="AB6" i="13"/>
  <c r="BD36" i="10"/>
  <c r="BF36" i="10"/>
  <c r="AE7" i="10"/>
  <c r="AE45" i="10" s="1"/>
  <c r="AE6" i="10"/>
  <c r="AF5" i="10"/>
  <c r="AK5" i="18" l="1"/>
  <c r="AK2" i="18" s="1"/>
  <c r="AO36" i="16"/>
  <c r="AP36" i="16"/>
  <c r="AN36" i="16"/>
  <c r="AQ36" i="16"/>
  <c r="AD7" i="16"/>
  <c r="AE5" i="16"/>
  <c r="AN31" i="16"/>
  <c r="AO31" i="16"/>
  <c r="AQ31" i="16"/>
  <c r="AP31" i="16"/>
  <c r="AX43" i="16"/>
  <c r="AY38" i="14"/>
  <c r="AY41" i="14"/>
  <c r="BI36" i="10"/>
  <c r="AK29" i="13"/>
  <c r="AF7" i="15"/>
  <c r="AG5" i="15"/>
  <c r="AF6" i="15"/>
  <c r="AZ42" i="15"/>
  <c r="AY42" i="15"/>
  <c r="AX42" i="15"/>
  <c r="AW42" i="15"/>
  <c r="AY14" i="14"/>
  <c r="AQ25" i="14"/>
  <c r="AP25" i="14"/>
  <c r="AO25" i="14"/>
  <c r="AR25" i="14"/>
  <c r="AQ42" i="14"/>
  <c r="AP29" i="14"/>
  <c r="AR29" i="14"/>
  <c r="AO42" i="14"/>
  <c r="AR42" i="14"/>
  <c r="AO29" i="14"/>
  <c r="AP42" i="14"/>
  <c r="AQ29" i="14"/>
  <c r="AU10" i="14"/>
  <c r="AZ10" i="14" s="1"/>
  <c r="AV10" i="14"/>
  <c r="AG5" i="14"/>
  <c r="AH5" i="14" s="1"/>
  <c r="AF6" i="14"/>
  <c r="AF7" i="14"/>
  <c r="AN24" i="13"/>
  <c r="AO24" i="13"/>
  <c r="AP24" i="13"/>
  <c r="AO32" i="13"/>
  <c r="AQ32" i="13"/>
  <c r="AN32" i="13"/>
  <c r="AQ24" i="13"/>
  <c r="AP32" i="13"/>
  <c r="AC6" i="13"/>
  <c r="AC7" i="13"/>
  <c r="AD5" i="13"/>
  <c r="AF7" i="10"/>
  <c r="AF45" i="10" s="1"/>
  <c r="AF6" i="10"/>
  <c r="AG5" i="10"/>
  <c r="AL5" i="18" l="1"/>
  <c r="AL2" i="18" s="1"/>
  <c r="AM5" i="18"/>
  <c r="AM2" i="18" s="1"/>
  <c r="AT36" i="16"/>
  <c r="AY36" i="16" s="1"/>
  <c r="AU36" i="16"/>
  <c r="AR37" i="14"/>
  <c r="AP37" i="14"/>
  <c r="AQ37" i="14"/>
  <c r="AO37" i="14"/>
  <c r="AS23" i="15"/>
  <c r="AF5" i="16"/>
  <c r="AE7" i="16"/>
  <c r="AU31" i="16"/>
  <c r="AT31" i="16"/>
  <c r="BD42" i="15"/>
  <c r="BC42" i="15"/>
  <c r="AH5" i="15"/>
  <c r="AI5" i="15" s="1"/>
  <c r="AI7" i="15" s="1"/>
  <c r="AG6" i="15"/>
  <c r="AG7" i="15"/>
  <c r="AV25" i="14"/>
  <c r="AU25" i="14"/>
  <c r="AU29" i="14"/>
  <c r="AV29" i="14"/>
  <c r="BA10" i="14"/>
  <c r="AY10" i="14"/>
  <c r="AV42" i="14"/>
  <c r="AU42" i="14"/>
  <c r="AR43" i="14"/>
  <c r="AP43" i="14"/>
  <c r="AQ43" i="14"/>
  <c r="AO43" i="14"/>
  <c r="AQ20" i="14"/>
  <c r="AO20" i="14"/>
  <c r="AR20" i="14"/>
  <c r="AP20" i="14"/>
  <c r="AH7" i="14"/>
  <c r="AI5" i="14"/>
  <c r="AH6" i="14"/>
  <c r="AQ8" i="14"/>
  <c r="AO8" i="14"/>
  <c r="AP8" i="14"/>
  <c r="AR8" i="14"/>
  <c r="AG6" i="14"/>
  <c r="AG7" i="14"/>
  <c r="AQ16" i="13"/>
  <c r="AO16" i="13"/>
  <c r="AP16" i="13"/>
  <c r="AN16" i="13"/>
  <c r="AE5" i="13"/>
  <c r="AD6" i="13"/>
  <c r="AD7" i="13"/>
  <c r="AG7" i="10"/>
  <c r="AG45" i="10" s="1"/>
  <c r="AG6" i="10"/>
  <c r="AU43" i="10"/>
  <c r="AW43" i="10"/>
  <c r="AV43" i="10"/>
  <c r="AT43" i="10"/>
  <c r="AH5" i="10"/>
  <c r="AN5" i="18" l="1"/>
  <c r="AN2" i="18" s="1"/>
  <c r="AZ36" i="16"/>
  <c r="AX36" i="16"/>
  <c r="AT23" i="15"/>
  <c r="AV37" i="14"/>
  <c r="AU37" i="14"/>
  <c r="AX31" i="16"/>
  <c r="AG5" i="16"/>
  <c r="AF7" i="16"/>
  <c r="AF6" i="16"/>
  <c r="AZ19" i="15"/>
  <c r="AW19" i="15"/>
  <c r="AY19" i="15"/>
  <c r="AX19" i="15"/>
  <c r="AJ5" i="15"/>
  <c r="AJ7" i="15" s="1"/>
  <c r="AI6" i="15"/>
  <c r="AH6" i="15"/>
  <c r="AH7" i="15"/>
  <c r="BG42" i="15"/>
  <c r="AZ15" i="15"/>
  <c r="AW15" i="15"/>
  <c r="AX15" i="15"/>
  <c r="AY15" i="15"/>
  <c r="AY29" i="14"/>
  <c r="BD10" i="14"/>
  <c r="AQ26" i="14"/>
  <c r="AO26" i="14"/>
  <c r="AR26" i="14"/>
  <c r="AP26" i="14"/>
  <c r="AP31" i="14"/>
  <c r="AQ31" i="14"/>
  <c r="AO31" i="14"/>
  <c r="AR31" i="14"/>
  <c r="AP9" i="14"/>
  <c r="AR9" i="14"/>
  <c r="AQ9" i="14"/>
  <c r="AO9" i="14"/>
  <c r="AR35" i="14"/>
  <c r="AO35" i="14"/>
  <c r="AP35" i="14"/>
  <c r="AQ35" i="14"/>
  <c r="AO36" i="14"/>
  <c r="AP28" i="14"/>
  <c r="AR36" i="14"/>
  <c r="AO28" i="14"/>
  <c r="AP36" i="14"/>
  <c r="AR28" i="14"/>
  <c r="AQ28" i="14"/>
  <c r="AQ36" i="14"/>
  <c r="AU20" i="14"/>
  <c r="AV20" i="14"/>
  <c r="AR16" i="14"/>
  <c r="AP16" i="14"/>
  <c r="AO16" i="14"/>
  <c r="AQ16" i="14"/>
  <c r="AO24" i="14"/>
  <c r="AP24" i="14"/>
  <c r="AQ24" i="14"/>
  <c r="AR24" i="14"/>
  <c r="AO15" i="14"/>
  <c r="AP33" i="14"/>
  <c r="AR33" i="14"/>
  <c r="AQ15" i="14"/>
  <c r="AP15" i="14"/>
  <c r="AO33" i="14"/>
  <c r="AQ33" i="14"/>
  <c r="AR15" i="14"/>
  <c r="AP22" i="14"/>
  <c r="AQ22" i="14"/>
  <c r="AQ11" i="14"/>
  <c r="AR11" i="14"/>
  <c r="AP11" i="14"/>
  <c r="AO11" i="14"/>
  <c r="AO22" i="14"/>
  <c r="AR22" i="14"/>
  <c r="AY42" i="14"/>
  <c r="AU43" i="14"/>
  <c r="AV43" i="14"/>
  <c r="AY25" i="14"/>
  <c r="AV8" i="14"/>
  <c r="AU8" i="14"/>
  <c r="AI6" i="14"/>
  <c r="AI7" i="14"/>
  <c r="AO23" i="13"/>
  <c r="AQ23" i="13"/>
  <c r="AP23" i="13"/>
  <c r="AN23" i="13"/>
  <c r="AE7" i="13"/>
  <c r="AE6" i="13"/>
  <c r="AF5" i="13"/>
  <c r="AH7" i="10"/>
  <c r="AH45" i="10" s="1"/>
  <c r="AH6" i="10"/>
  <c r="BA43" i="10"/>
  <c r="AZ43" i="10"/>
  <c r="BE43" i="10" s="1"/>
  <c r="AT42" i="10"/>
  <c r="AU42" i="10"/>
  <c r="AV42" i="10"/>
  <c r="AW42" i="10"/>
  <c r="AV37" i="10"/>
  <c r="AW37" i="10"/>
  <c r="AT37" i="10"/>
  <c r="AU37" i="10"/>
  <c r="AV19" i="10"/>
  <c r="AW19" i="10"/>
  <c r="AT19" i="10"/>
  <c r="AU19" i="10"/>
  <c r="AI5" i="10"/>
  <c r="AO5" i="18" l="1"/>
  <c r="AO2" i="18" s="1"/>
  <c r="BC36" i="16"/>
  <c r="AY37" i="14"/>
  <c r="AQ25" i="16"/>
  <c r="AP25" i="16"/>
  <c r="AO25" i="16"/>
  <c r="AN25" i="16"/>
  <c r="AH5" i="16"/>
  <c r="AG6" i="16"/>
  <c r="AG7" i="16"/>
  <c r="AY14" i="15"/>
  <c r="AX14" i="15"/>
  <c r="AZ14" i="15"/>
  <c r="AW14" i="15"/>
  <c r="AY21" i="15"/>
  <c r="AZ21" i="15"/>
  <c r="AX21" i="15"/>
  <c r="AW21" i="15"/>
  <c r="AY12" i="15"/>
  <c r="AX12" i="15"/>
  <c r="AW12" i="15"/>
  <c r="AZ12" i="15"/>
  <c r="AZ29" i="15"/>
  <c r="AY29" i="15"/>
  <c r="AX29" i="15"/>
  <c r="AW29" i="15"/>
  <c r="BD19" i="15"/>
  <c r="BC19" i="15"/>
  <c r="AR40" i="14"/>
  <c r="AQ40" i="14"/>
  <c r="AP40" i="14"/>
  <c r="AO40" i="14"/>
  <c r="AY20" i="14"/>
  <c r="AJ6" i="15"/>
  <c r="AK5" i="15"/>
  <c r="AK7" i="15" s="1"/>
  <c r="AW26" i="10"/>
  <c r="AU26" i="10"/>
  <c r="AV26" i="10"/>
  <c r="AT26" i="10"/>
  <c r="BD15" i="15"/>
  <c r="BC15" i="15"/>
  <c r="AY26" i="15"/>
  <c r="AX26" i="15"/>
  <c r="AW26" i="15"/>
  <c r="AZ26" i="15"/>
  <c r="AW9" i="15"/>
  <c r="AZ9" i="15"/>
  <c r="AY9" i="15"/>
  <c r="AX9" i="15"/>
  <c r="AY43" i="14"/>
  <c r="AU11" i="14"/>
  <c r="AV11" i="14"/>
  <c r="AV33" i="14"/>
  <c r="AU33" i="14"/>
  <c r="AV16" i="14"/>
  <c r="AU16" i="14"/>
  <c r="AV28" i="14"/>
  <c r="AU28" i="14"/>
  <c r="AZ28" i="14" s="1"/>
  <c r="AU9" i="14"/>
  <c r="AV9" i="14"/>
  <c r="AV35" i="14"/>
  <c r="AU35" i="14"/>
  <c r="AV15" i="14"/>
  <c r="AU15" i="14"/>
  <c r="AV26" i="14"/>
  <c r="AU26" i="14"/>
  <c r="AZ26" i="14" s="1"/>
  <c r="AU24" i="14"/>
  <c r="AZ24" i="14" s="1"/>
  <c r="AV24" i="14"/>
  <c r="AV31" i="14"/>
  <c r="AU31" i="14"/>
  <c r="AP27" i="14"/>
  <c r="AO27" i="14"/>
  <c r="AQ27" i="14"/>
  <c r="AR27" i="14"/>
  <c r="AQ23" i="14"/>
  <c r="AR23" i="14"/>
  <c r="AP23" i="14"/>
  <c r="AO23" i="14"/>
  <c r="AQ13" i="14"/>
  <c r="AO13" i="14"/>
  <c r="AP13" i="14"/>
  <c r="AR13" i="14"/>
  <c r="AO18" i="14"/>
  <c r="AQ18" i="14"/>
  <c r="AR18" i="14"/>
  <c r="AR32" i="14"/>
  <c r="AO32" i="14"/>
  <c r="AP32" i="14"/>
  <c r="AP18" i="14"/>
  <c r="AQ32" i="14"/>
  <c r="AO34" i="14"/>
  <c r="AQ34" i="14"/>
  <c r="AR34" i="14"/>
  <c r="AP34" i="14"/>
  <c r="AU22" i="14"/>
  <c r="AV22" i="14"/>
  <c r="AU36" i="14"/>
  <c r="AZ36" i="14" s="1"/>
  <c r="AV36" i="14"/>
  <c r="AW32" i="14"/>
  <c r="AW37" i="14"/>
  <c r="AW40" i="14"/>
  <c r="AW19" i="14"/>
  <c r="AW29" i="14"/>
  <c r="AW27" i="14"/>
  <c r="AW28" i="14"/>
  <c r="AW9" i="14"/>
  <c r="AW16" i="14"/>
  <c r="AW38" i="14"/>
  <c r="AW11" i="14"/>
  <c r="AW43" i="14"/>
  <c r="AW26" i="14"/>
  <c r="AW41" i="14"/>
  <c r="AW30" i="14"/>
  <c r="AW17" i="14"/>
  <c r="AW39" i="14"/>
  <c r="AW15" i="14"/>
  <c r="AW35" i="14"/>
  <c r="AW18" i="14"/>
  <c r="AW31" i="14"/>
  <c r="AW34" i="14"/>
  <c r="AW22" i="14"/>
  <c r="AW24" i="14"/>
  <c r="AW13" i="14"/>
  <c r="AW42" i="14"/>
  <c r="AW33" i="14"/>
  <c r="AW23" i="14"/>
  <c r="AW10" i="14"/>
  <c r="AW36" i="14"/>
  <c r="AW25" i="14"/>
  <c r="AW12" i="14"/>
  <c r="AW21" i="14"/>
  <c r="AW14" i="14"/>
  <c r="AW20" i="14"/>
  <c r="AY8" i="14"/>
  <c r="AN8" i="13"/>
  <c r="AQ8" i="13"/>
  <c r="AO8" i="13"/>
  <c r="AP8" i="13"/>
  <c r="AN27" i="13"/>
  <c r="AQ27" i="13"/>
  <c r="AP27" i="13"/>
  <c r="AO27" i="13"/>
  <c r="AP11" i="13"/>
  <c r="AO11" i="13"/>
  <c r="AQ11" i="13"/>
  <c r="AN11" i="13"/>
  <c r="AQ31" i="13"/>
  <c r="AN31" i="13"/>
  <c r="AO31" i="13"/>
  <c r="AP31" i="13"/>
  <c r="AG5" i="13"/>
  <c r="AF7" i="13"/>
  <c r="AF6" i="13"/>
  <c r="BA42" i="10"/>
  <c r="AZ42" i="10"/>
  <c r="BE42" i="10" s="1"/>
  <c r="BA19" i="10"/>
  <c r="AZ19" i="10"/>
  <c r="BE19" i="10" s="1"/>
  <c r="AJ32" i="13" s="1"/>
  <c r="AI7" i="10"/>
  <c r="AI45" i="10" s="1"/>
  <c r="AI6" i="10"/>
  <c r="BF43" i="10"/>
  <c r="BI43" i="10" s="1"/>
  <c r="BD43" i="10"/>
  <c r="AZ37" i="10"/>
  <c r="BE37" i="10" s="1"/>
  <c r="AJ30" i="13" s="1"/>
  <c r="BA37" i="10"/>
  <c r="AJ5" i="10"/>
  <c r="AP5" i="18" l="1"/>
  <c r="AQ5" i="18" s="1"/>
  <c r="AQ2" i="18" s="1"/>
  <c r="AQ41" i="16"/>
  <c r="AO41" i="16"/>
  <c r="AP41" i="16"/>
  <c r="AN41" i="16"/>
  <c r="AS18" i="15"/>
  <c r="AS10" i="15"/>
  <c r="AS28" i="15"/>
  <c r="AS24" i="15"/>
  <c r="AP18" i="16"/>
  <c r="AN18" i="16"/>
  <c r="AQ18" i="16"/>
  <c r="AO8" i="16"/>
  <c r="AQ8" i="16"/>
  <c r="AP33" i="16"/>
  <c r="AQ33" i="16"/>
  <c r="AN33" i="16"/>
  <c r="AU25" i="16"/>
  <c r="AT25" i="16"/>
  <c r="AH7" i="16"/>
  <c r="AH6" i="16"/>
  <c r="AO33" i="16" s="1"/>
  <c r="AY8" i="15"/>
  <c r="AX8" i="15"/>
  <c r="AZ8" i="15"/>
  <c r="AW8" i="15"/>
  <c r="BD14" i="15"/>
  <c r="BC14" i="15"/>
  <c r="BC29" i="15"/>
  <c r="BD29" i="15"/>
  <c r="BG19" i="15"/>
  <c r="BD12" i="15"/>
  <c r="BC12" i="15"/>
  <c r="BC21" i="15"/>
  <c r="BD21" i="15"/>
  <c r="AV40" i="14"/>
  <c r="AU40" i="14"/>
  <c r="AL5" i="15"/>
  <c r="AL7" i="15" s="1"/>
  <c r="AY9" i="14"/>
  <c r="BA26" i="10"/>
  <c r="AZ26" i="10"/>
  <c r="BE26" i="10" s="1"/>
  <c r="AJ37" i="13" s="1"/>
  <c r="BD26" i="15"/>
  <c r="BC26" i="15"/>
  <c r="BG15" i="15"/>
  <c r="BD9" i="15"/>
  <c r="BC9" i="15"/>
  <c r="AX27" i="15"/>
  <c r="AY27" i="15"/>
  <c r="AZ27" i="15"/>
  <c r="AW27" i="15"/>
  <c r="AX32" i="15"/>
  <c r="AZ32" i="15"/>
  <c r="AW32" i="15"/>
  <c r="AY32" i="15"/>
  <c r="AY34" i="15"/>
  <c r="AW34" i="15"/>
  <c r="AX34" i="15"/>
  <c r="AZ34" i="15"/>
  <c r="AY22" i="14"/>
  <c r="AY31" i="14"/>
  <c r="AY35" i="14"/>
  <c r="AY33" i="14"/>
  <c r="AY11" i="14"/>
  <c r="AY36" i="14"/>
  <c r="BA36" i="14"/>
  <c r="AY26" i="14"/>
  <c r="BA26" i="14"/>
  <c r="BA28" i="14"/>
  <c r="AY28" i="14"/>
  <c r="AU13" i="14"/>
  <c r="AZ13" i="14" s="1"/>
  <c r="AV13" i="14"/>
  <c r="AU27" i="14"/>
  <c r="AZ27" i="14" s="1"/>
  <c r="AV27" i="14"/>
  <c r="AU32" i="14"/>
  <c r="AZ32" i="14" s="1"/>
  <c r="AV32" i="14"/>
  <c r="AY15" i="14"/>
  <c r="AY16" i="14"/>
  <c r="AU23" i="14"/>
  <c r="AV23" i="14"/>
  <c r="BA24" i="14"/>
  <c r="AY24" i="14"/>
  <c r="AU34" i="14"/>
  <c r="AZ34" i="14" s="1"/>
  <c r="AV34" i="14"/>
  <c r="AU18" i="14"/>
  <c r="AZ18" i="14" s="1"/>
  <c r="AV18" i="14"/>
  <c r="AW8" i="14"/>
  <c r="AQ28" i="13"/>
  <c r="AO28" i="13"/>
  <c r="AQ34" i="13"/>
  <c r="AO34" i="13"/>
  <c r="AN15" i="13"/>
  <c r="AP28" i="13"/>
  <c r="AN28" i="13"/>
  <c r="AN34" i="13"/>
  <c r="AQ15" i="13"/>
  <c r="AP15" i="13"/>
  <c r="AP34" i="13"/>
  <c r="AO15" i="13"/>
  <c r="AP9" i="13"/>
  <c r="AQ9" i="13"/>
  <c r="AN9" i="13"/>
  <c r="AO9" i="13"/>
  <c r="AQ13" i="13"/>
  <c r="AQ26" i="13"/>
  <c r="AP13" i="13"/>
  <c r="AO13" i="13"/>
  <c r="AN13" i="13"/>
  <c r="AO26" i="13"/>
  <c r="AN26" i="13"/>
  <c r="AP26" i="13"/>
  <c r="AT24" i="13"/>
  <c r="AU24" i="13"/>
  <c r="AG6" i="13"/>
  <c r="AG7" i="13"/>
  <c r="AH5" i="13"/>
  <c r="AJ7" i="10"/>
  <c r="AJ45" i="10" s="1"/>
  <c r="AJ6" i="10"/>
  <c r="BF37" i="10"/>
  <c r="BD37" i="10"/>
  <c r="AV17" i="10"/>
  <c r="AT17" i="10"/>
  <c r="AU17" i="10"/>
  <c r="AW17" i="10"/>
  <c r="AW27" i="10"/>
  <c r="AV27" i="10"/>
  <c r="AU27" i="10"/>
  <c r="AT27" i="10"/>
  <c r="AU39" i="10"/>
  <c r="AT39" i="10"/>
  <c r="AV39" i="10"/>
  <c r="AW39" i="10"/>
  <c r="AU34" i="10"/>
  <c r="AW34" i="10"/>
  <c r="AV34" i="10"/>
  <c r="AT34" i="10"/>
  <c r="BD19" i="10"/>
  <c r="BF19" i="10"/>
  <c r="BF42" i="10"/>
  <c r="BI42" i="10" s="1"/>
  <c r="BD42" i="10"/>
  <c r="AK5" i="10"/>
  <c r="AP2" i="18" l="1"/>
  <c r="AR5" i="18"/>
  <c r="AO18" i="16"/>
  <c r="AT18" i="16" s="1"/>
  <c r="AQ35" i="16"/>
  <c r="AO35" i="16"/>
  <c r="AN35" i="16"/>
  <c r="AP35" i="16"/>
  <c r="AU41" i="16"/>
  <c r="AT41" i="16"/>
  <c r="AY41" i="16" s="1"/>
  <c r="AV41" i="16"/>
  <c r="BA41" i="16" s="1"/>
  <c r="AV36" i="16"/>
  <c r="BA36" i="16" s="1"/>
  <c r="AV35" i="16"/>
  <c r="BA35" i="16" s="1"/>
  <c r="AV32" i="16"/>
  <c r="AT28" i="15"/>
  <c r="AT18" i="15"/>
  <c r="AS34" i="15"/>
  <c r="AT10" i="15"/>
  <c r="AT24" i="15"/>
  <c r="AS17" i="15"/>
  <c r="AS33" i="15"/>
  <c r="AS20" i="15"/>
  <c r="AS12" i="15"/>
  <c r="AU18" i="16"/>
  <c r="AU33" i="16"/>
  <c r="AT33" i="16"/>
  <c r="AU8" i="16"/>
  <c r="AT8" i="16"/>
  <c r="AQ28" i="16"/>
  <c r="AO28" i="16"/>
  <c r="AN28" i="16"/>
  <c r="AP28" i="16"/>
  <c r="AQ11" i="16"/>
  <c r="AN11" i="16"/>
  <c r="AO11" i="16"/>
  <c r="AP11" i="16"/>
  <c r="AX25" i="16"/>
  <c r="BG14" i="15"/>
  <c r="BD8" i="15"/>
  <c r="BC8" i="15"/>
  <c r="BG29" i="15"/>
  <c r="BG21" i="15"/>
  <c r="BG12" i="15"/>
  <c r="AY40" i="14"/>
  <c r="AM5" i="15"/>
  <c r="AM7" i="15" s="1"/>
  <c r="BF26" i="10"/>
  <c r="BD26" i="10"/>
  <c r="BI37" i="10"/>
  <c r="AK30" i="13"/>
  <c r="BI19" i="10"/>
  <c r="AK32" i="13"/>
  <c r="BD32" i="15"/>
  <c r="BC32" i="15"/>
  <c r="BG9" i="15"/>
  <c r="BD27" i="15"/>
  <c r="BC27" i="15"/>
  <c r="BD34" i="15"/>
  <c r="BC34" i="15"/>
  <c r="BH34" i="15" s="1"/>
  <c r="BG26" i="15"/>
  <c r="AY23" i="14"/>
  <c r="BD26" i="14"/>
  <c r="BD24" i="14"/>
  <c r="BD36" i="14"/>
  <c r="BD28" i="14"/>
  <c r="AY13" i="14"/>
  <c r="BA13" i="14"/>
  <c r="AY18" i="14"/>
  <c r="BA18" i="14"/>
  <c r="AY34" i="14"/>
  <c r="BA34" i="14"/>
  <c r="AY32" i="14"/>
  <c r="BA32" i="14"/>
  <c r="AY27" i="14"/>
  <c r="BA27" i="14"/>
  <c r="AP14" i="13"/>
  <c r="AN14" i="13"/>
  <c r="AQ14" i="13"/>
  <c r="AO14" i="13"/>
  <c r="AP21" i="13"/>
  <c r="AN29" i="13"/>
  <c r="AP29" i="13"/>
  <c r="AO21" i="13"/>
  <c r="AQ29" i="13"/>
  <c r="AQ21" i="13"/>
  <c r="AN21" i="13"/>
  <c r="AO29" i="13"/>
  <c r="AO18" i="13"/>
  <c r="AN25" i="13"/>
  <c r="AQ18" i="13"/>
  <c r="AP25" i="13"/>
  <c r="AO25" i="13"/>
  <c r="AN18" i="13"/>
  <c r="AN35" i="13"/>
  <c r="AP18" i="13"/>
  <c r="AQ35" i="13"/>
  <c r="AP35" i="13"/>
  <c r="AO35" i="13"/>
  <c r="AQ25" i="13"/>
  <c r="AT26" i="13"/>
  <c r="AU26" i="13"/>
  <c r="AU34" i="13"/>
  <c r="AT34" i="13"/>
  <c r="AX24" i="13"/>
  <c r="AH7" i="13"/>
  <c r="AH6" i="13"/>
  <c r="BA27" i="10"/>
  <c r="AZ27" i="10"/>
  <c r="BE27" i="10" s="1"/>
  <c r="AJ21" i="13" s="1"/>
  <c r="AK7" i="10"/>
  <c r="AK45" i="10" s="1"/>
  <c r="AK6" i="10"/>
  <c r="BA34" i="10"/>
  <c r="AZ34" i="10"/>
  <c r="BE34" i="10" s="1"/>
  <c r="AJ34" i="13" s="1"/>
  <c r="AZ39" i="10"/>
  <c r="BE39" i="10" s="1"/>
  <c r="BA39" i="10"/>
  <c r="AT16" i="10"/>
  <c r="AU16" i="10"/>
  <c r="AW16" i="10"/>
  <c r="AV16" i="10"/>
  <c r="AW24" i="10"/>
  <c r="AT24" i="10"/>
  <c r="AV24" i="10"/>
  <c r="AU24" i="10"/>
  <c r="BA17" i="10"/>
  <c r="AZ17" i="10"/>
  <c r="BE17" i="10" s="1"/>
  <c r="AJ14" i="13" s="1"/>
  <c r="AL5" i="10"/>
  <c r="G39" i="22" l="1"/>
  <c r="H39" i="22"/>
  <c r="I39" i="22"/>
  <c r="K39" i="22"/>
  <c r="J39" i="22"/>
  <c r="C39" i="22"/>
  <c r="E39" i="22"/>
  <c r="F39" i="22"/>
  <c r="D39" i="22"/>
  <c r="L39" i="22"/>
  <c r="F40" i="22"/>
  <c r="I40" i="22"/>
  <c r="C40" i="22"/>
  <c r="G40" i="22"/>
  <c r="K40" i="22"/>
  <c r="E40" i="22"/>
  <c r="D40" i="22"/>
  <c r="J40" i="22"/>
  <c r="L40" i="22"/>
  <c r="H40" i="22"/>
  <c r="D41" i="22"/>
  <c r="L41" i="22"/>
  <c r="G41" i="22"/>
  <c r="K41" i="22"/>
  <c r="J41" i="22"/>
  <c r="E41" i="22"/>
  <c r="C41" i="22"/>
  <c r="I41" i="22"/>
  <c r="F41" i="22"/>
  <c r="H41" i="22"/>
  <c r="F42" i="22"/>
  <c r="I42" i="22"/>
  <c r="C42" i="22"/>
  <c r="K42" i="22"/>
  <c r="H42" i="22"/>
  <c r="J42" i="22"/>
  <c r="L42" i="22"/>
  <c r="D42" i="22"/>
  <c r="G42" i="22"/>
  <c r="E42" i="22"/>
  <c r="H43" i="22"/>
  <c r="J43" i="22"/>
  <c r="F43" i="22"/>
  <c r="G43" i="22"/>
  <c r="I43" i="22"/>
  <c r="E43" i="22"/>
  <c r="C43" i="22"/>
  <c r="D43" i="22"/>
  <c r="K43" i="22"/>
  <c r="L43" i="22"/>
  <c r="AR2" i="18"/>
  <c r="K15" i="22"/>
  <c r="D10" i="22"/>
  <c r="J34" i="22"/>
  <c r="K14" i="22"/>
  <c r="L30" i="22"/>
  <c r="I27" i="22"/>
  <c r="L17" i="22"/>
  <c r="F23" i="22"/>
  <c r="D22" i="22"/>
  <c r="C34" i="22"/>
  <c r="F31" i="22"/>
  <c r="L33" i="22"/>
  <c r="K13" i="22"/>
  <c r="G30" i="22"/>
  <c r="D9" i="22"/>
  <c r="C36" i="22"/>
  <c r="E35" i="22"/>
  <c r="I36" i="22"/>
  <c r="G13" i="22"/>
  <c r="H16" i="22"/>
  <c r="K38" i="22"/>
  <c r="L19" i="22"/>
  <c r="H21" i="22"/>
  <c r="L29" i="22"/>
  <c r="G22" i="22"/>
  <c r="D36" i="22"/>
  <c r="J10" i="22"/>
  <c r="G26" i="22"/>
  <c r="J31" i="22"/>
  <c r="H33" i="22"/>
  <c r="K12" i="22"/>
  <c r="H28" i="22"/>
  <c r="K10" i="22"/>
  <c r="C17" i="22"/>
  <c r="K27" i="22"/>
  <c r="J17" i="22"/>
  <c r="C15" i="22"/>
  <c r="J38" i="22"/>
  <c r="H36" i="22"/>
  <c r="G24" i="22"/>
  <c r="J16" i="22"/>
  <c r="D34" i="22"/>
  <c r="I29" i="22"/>
  <c r="F30" i="22"/>
  <c r="D38" i="22"/>
  <c r="L35" i="22"/>
  <c r="F10" i="22"/>
  <c r="L21" i="22"/>
  <c r="J11" i="22"/>
  <c r="H37" i="22"/>
  <c r="E17" i="22"/>
  <c r="F26" i="22"/>
  <c r="D28" i="22"/>
  <c r="J14" i="22"/>
  <c r="F32" i="22"/>
  <c r="L32" i="22"/>
  <c r="I32" i="22"/>
  <c r="K28" i="22"/>
  <c r="C21" i="22"/>
  <c r="H22" i="22"/>
  <c r="E36" i="22"/>
  <c r="F37" i="22"/>
  <c r="C12" i="22"/>
  <c r="F12" i="22"/>
  <c r="C33" i="22"/>
  <c r="L13" i="22"/>
  <c r="G37" i="22"/>
  <c r="J35" i="22"/>
  <c r="H30" i="22"/>
  <c r="D17" i="22"/>
  <c r="K25" i="22"/>
  <c r="H20" i="22"/>
  <c r="L28" i="22"/>
  <c r="C13" i="22"/>
  <c r="E14" i="22"/>
  <c r="J28" i="22"/>
  <c r="C24" i="22"/>
  <c r="C26" i="22"/>
  <c r="H27" i="22"/>
  <c r="E15" i="22"/>
  <c r="G33" i="22"/>
  <c r="E29" i="22"/>
  <c r="H10" i="22"/>
  <c r="D21" i="22"/>
  <c r="K17" i="22"/>
  <c r="I12" i="22"/>
  <c r="I22" i="22"/>
  <c r="G19" i="22"/>
  <c r="J27" i="22"/>
  <c r="C10" i="22"/>
  <c r="E23" i="22"/>
  <c r="H34" i="22"/>
  <c r="I18" i="22"/>
  <c r="D12" i="22"/>
  <c r="H35" i="22"/>
  <c r="K24" i="22"/>
  <c r="C30" i="22"/>
  <c r="F34" i="22"/>
  <c r="C32" i="22"/>
  <c r="K11" i="22"/>
  <c r="K31" i="22"/>
  <c r="G34" i="22"/>
  <c r="L22" i="22"/>
  <c r="I11" i="22"/>
  <c r="L18" i="22"/>
  <c r="H18" i="22"/>
  <c r="K29" i="22"/>
  <c r="F20" i="22"/>
  <c r="I15" i="22"/>
  <c r="D19" i="22"/>
  <c r="D16" i="22"/>
  <c r="K33" i="22"/>
  <c r="I28" i="22"/>
  <c r="F11" i="22"/>
  <c r="D30" i="22"/>
  <c r="J26" i="22"/>
  <c r="C35" i="22"/>
  <c r="J32" i="22"/>
  <c r="D31" i="22"/>
  <c r="L12" i="22"/>
  <c r="I34" i="22"/>
  <c r="G15" i="22"/>
  <c r="K19" i="22"/>
  <c r="H23" i="22"/>
  <c r="I14" i="22"/>
  <c r="F22" i="22"/>
  <c r="E20" i="22"/>
  <c r="I25" i="22"/>
  <c r="E11" i="22"/>
  <c r="L27" i="22"/>
  <c r="L11" i="22"/>
  <c r="E27" i="22"/>
  <c r="G11" i="22"/>
  <c r="C18" i="22"/>
  <c r="K22" i="22"/>
  <c r="H11" i="22"/>
  <c r="E13" i="22"/>
  <c r="H14" i="22"/>
  <c r="E21" i="22"/>
  <c r="K20" i="22"/>
  <c r="G35" i="22"/>
  <c r="D37" i="22"/>
  <c r="D29" i="22"/>
  <c r="F13" i="22"/>
  <c r="F24" i="22"/>
  <c r="I35" i="22"/>
  <c r="L20" i="22"/>
  <c r="I24" i="22"/>
  <c r="H12" i="22"/>
  <c r="H19" i="22"/>
  <c r="G20" i="22"/>
  <c r="F33" i="22"/>
  <c r="K30" i="22"/>
  <c r="G12" i="22"/>
  <c r="C22" i="22"/>
  <c r="C38" i="22"/>
  <c r="L36" i="22"/>
  <c r="C19" i="22"/>
  <c r="K21" i="22"/>
  <c r="J20" i="22"/>
  <c r="I26" i="22"/>
  <c r="H25" i="22"/>
  <c r="J37" i="22"/>
  <c r="L31" i="22"/>
  <c r="I37" i="22"/>
  <c r="L37" i="22"/>
  <c r="K16" i="22"/>
  <c r="H29" i="22"/>
  <c r="E10" i="22"/>
  <c r="C20" i="22"/>
  <c r="H38" i="22"/>
  <c r="C11" i="22"/>
  <c r="D13" i="22"/>
  <c r="E32" i="22"/>
  <c r="F38" i="22"/>
  <c r="F27" i="22"/>
  <c r="F28" i="22"/>
  <c r="J29" i="22"/>
  <c r="G36" i="22"/>
  <c r="J24" i="22"/>
  <c r="I13" i="22"/>
  <c r="C25" i="22"/>
  <c r="H31" i="22"/>
  <c r="D23" i="22"/>
  <c r="I30" i="22"/>
  <c r="K26" i="22"/>
  <c r="E16" i="22"/>
  <c r="K32" i="22"/>
  <c r="E37" i="22"/>
  <c r="H32" i="22"/>
  <c r="E28" i="22"/>
  <c r="J36" i="22"/>
  <c r="H15" i="22"/>
  <c r="D35" i="22"/>
  <c r="K34" i="22"/>
  <c r="D20" i="22"/>
  <c r="D32" i="22"/>
  <c r="L15" i="22"/>
  <c r="K23" i="22"/>
  <c r="E34" i="22"/>
  <c r="J13" i="22"/>
  <c r="D24" i="22"/>
  <c r="J33" i="22"/>
  <c r="D25" i="22"/>
  <c r="G10" i="22"/>
  <c r="J12" i="22"/>
  <c r="C16" i="22"/>
  <c r="E31" i="22"/>
  <c r="G38" i="22"/>
  <c r="G16" i="22"/>
  <c r="G17" i="22"/>
  <c r="J19" i="22"/>
  <c r="F15" i="22"/>
  <c r="E26" i="22"/>
  <c r="H17" i="22"/>
  <c r="C37" i="22"/>
  <c r="D14" i="22"/>
  <c r="I31" i="22"/>
  <c r="F29" i="22"/>
  <c r="H26" i="22"/>
  <c r="E18" i="22"/>
  <c r="E22" i="22"/>
  <c r="G23" i="22"/>
  <c r="F21" i="22"/>
  <c r="E25" i="22"/>
  <c r="L34" i="22"/>
  <c r="C29" i="22"/>
  <c r="E38" i="22"/>
  <c r="G21" i="22"/>
  <c r="C31" i="22"/>
  <c r="J25" i="22"/>
  <c r="I23" i="22"/>
  <c r="F35" i="22"/>
  <c r="D18" i="22"/>
  <c r="I16" i="22"/>
  <c r="G14" i="22"/>
  <c r="F19" i="22"/>
  <c r="E19" i="22"/>
  <c r="F25" i="22"/>
  <c r="C28" i="22"/>
  <c r="I38" i="22"/>
  <c r="J21" i="22"/>
  <c r="D26" i="22"/>
  <c r="L14" i="22"/>
  <c r="L25" i="22"/>
  <c r="C14" i="22"/>
  <c r="K36" i="22"/>
  <c r="J22" i="22"/>
  <c r="K18" i="22"/>
  <c r="K35" i="22"/>
  <c r="J15" i="22"/>
  <c r="E12" i="22"/>
  <c r="D15" i="22"/>
  <c r="E24" i="22"/>
  <c r="J18" i="22"/>
  <c r="E33" i="22"/>
  <c r="C27" i="22"/>
  <c r="I19" i="22"/>
  <c r="H13" i="22"/>
  <c r="H24" i="22"/>
  <c r="I20" i="22"/>
  <c r="L26" i="22"/>
  <c r="I21" i="22"/>
  <c r="F18" i="22"/>
  <c r="G28" i="22"/>
  <c r="I17" i="22"/>
  <c r="L38" i="22"/>
  <c r="K37" i="22"/>
  <c r="D33" i="22"/>
  <c r="L24" i="22"/>
  <c r="G25" i="22"/>
  <c r="C23" i="22"/>
  <c r="F16" i="22"/>
  <c r="D11" i="22"/>
  <c r="G18" i="22"/>
  <c r="F14" i="22"/>
  <c r="G31" i="22"/>
  <c r="F36" i="22"/>
  <c r="D27" i="22"/>
  <c r="G27" i="22"/>
  <c r="J23" i="22"/>
  <c r="G29" i="22"/>
  <c r="L16" i="22"/>
  <c r="G32" i="22"/>
  <c r="I33" i="22"/>
  <c r="E30" i="22"/>
  <c r="F17" i="22"/>
  <c r="L23" i="22"/>
  <c r="J30" i="22"/>
  <c r="AU35" i="16"/>
  <c r="AT35" i="16"/>
  <c r="AY35" i="16" s="1"/>
  <c r="AX41" i="16"/>
  <c r="AZ41" i="16"/>
  <c r="AY33" i="16"/>
  <c r="AT20" i="15"/>
  <c r="AT33" i="15"/>
  <c r="AT34" i="15"/>
  <c r="BI34" i="15" s="1"/>
  <c r="AZ33" i="16"/>
  <c r="AT12" i="15"/>
  <c r="AT17" i="15"/>
  <c r="AX33" i="16"/>
  <c r="AU28" i="16"/>
  <c r="AT28" i="16"/>
  <c r="AX8" i="16"/>
  <c r="AU11" i="16"/>
  <c r="AT11" i="16"/>
  <c r="AX18" i="16"/>
  <c r="BG8" i="15"/>
  <c r="AM6" i="15"/>
  <c r="AN5" i="15"/>
  <c r="AN7" i="15" s="1"/>
  <c r="AY34" i="13"/>
  <c r="AV44" i="13"/>
  <c r="BA44" i="13" s="1"/>
  <c r="AV41" i="13"/>
  <c r="BA41" i="13" s="1"/>
  <c r="AV43" i="13"/>
  <c r="BA43" i="13" s="1"/>
  <c r="AV50" i="13"/>
  <c r="BA50" i="13" s="1"/>
  <c r="AV42" i="13"/>
  <c r="BA42" i="13" s="1"/>
  <c r="AV48" i="13"/>
  <c r="BA48" i="13" s="1"/>
  <c r="AV46" i="13"/>
  <c r="BA46" i="13" s="1"/>
  <c r="AV49" i="13"/>
  <c r="BA49" i="13" s="1"/>
  <c r="AV45" i="13"/>
  <c r="BA45" i="13" s="1"/>
  <c r="AV47" i="13"/>
  <c r="BA47" i="13" s="1"/>
  <c r="AK37" i="13"/>
  <c r="BI26" i="10"/>
  <c r="BG32" i="15"/>
  <c r="BG27" i="15"/>
  <c r="BG34" i="15"/>
  <c r="BD32" i="14"/>
  <c r="BD34" i="14"/>
  <c r="BD18" i="14"/>
  <c r="BD27" i="14"/>
  <c r="BD13" i="14"/>
  <c r="AV8" i="13"/>
  <c r="AV33" i="13"/>
  <c r="AV21" i="13"/>
  <c r="AV34" i="13"/>
  <c r="AV20" i="13"/>
  <c r="AV23" i="13"/>
  <c r="AV12" i="13"/>
  <c r="AV19" i="13"/>
  <c r="AV15" i="13"/>
  <c r="AV11" i="13"/>
  <c r="AV24" i="13"/>
  <c r="AV51" i="13"/>
  <c r="AV30" i="13"/>
  <c r="AV29" i="13"/>
  <c r="AV25" i="13"/>
  <c r="AV32" i="13"/>
  <c r="AV28" i="13"/>
  <c r="AV27" i="13"/>
  <c r="AV40" i="13"/>
  <c r="AV37" i="13"/>
  <c r="AV17" i="13"/>
  <c r="AV22" i="13"/>
  <c r="AV35" i="13"/>
  <c r="AV14" i="13"/>
  <c r="AV16" i="13"/>
  <c r="AV39" i="13"/>
  <c r="AV18" i="13"/>
  <c r="AV31" i="13"/>
  <c r="AV26" i="13"/>
  <c r="AV38" i="13"/>
  <c r="AV9" i="13"/>
  <c r="AV13" i="13"/>
  <c r="AV10" i="13"/>
  <c r="AV36" i="13"/>
  <c r="AN22" i="13"/>
  <c r="AO22" i="13"/>
  <c r="AQ22" i="13"/>
  <c r="AP22" i="13"/>
  <c r="AO51" i="13"/>
  <c r="AN51" i="13"/>
  <c r="AQ51" i="13"/>
  <c r="AP51" i="13"/>
  <c r="AO17" i="13"/>
  <c r="AQ17" i="13"/>
  <c r="AN17" i="13"/>
  <c r="AP17" i="13"/>
  <c r="AO12" i="13"/>
  <c r="AP12" i="13"/>
  <c r="AQ12" i="13"/>
  <c r="AN12" i="13"/>
  <c r="AN30" i="13"/>
  <c r="AQ30" i="13"/>
  <c r="AO30" i="13"/>
  <c r="AP30" i="13"/>
  <c r="AX26" i="13"/>
  <c r="AX34" i="13"/>
  <c r="AU35" i="13"/>
  <c r="AT35" i="13"/>
  <c r="AU39" i="13"/>
  <c r="AT39" i="13"/>
  <c r="BD17" i="10"/>
  <c r="BF17" i="10"/>
  <c r="BF39" i="10"/>
  <c r="BI39" i="10" s="1"/>
  <c r="BD39" i="10"/>
  <c r="AL7" i="10"/>
  <c r="AL45" i="10" s="1"/>
  <c r="AL6" i="10"/>
  <c r="BF34" i="10"/>
  <c r="BD34" i="10"/>
  <c r="AV38" i="10"/>
  <c r="AT38" i="10"/>
  <c r="AU38" i="10"/>
  <c r="AW38" i="10"/>
  <c r="AT10" i="10"/>
  <c r="AW10" i="10"/>
  <c r="AU20" i="10"/>
  <c r="AT20" i="10"/>
  <c r="AW20" i="10"/>
  <c r="AU10" i="10"/>
  <c r="AV20" i="10"/>
  <c r="AV10" i="10"/>
  <c r="AU22" i="10"/>
  <c r="AW22" i="10"/>
  <c r="AV22" i="10"/>
  <c r="AT22" i="10"/>
  <c r="AV31" i="10"/>
  <c r="AT31" i="10"/>
  <c r="AW31" i="10"/>
  <c r="AU31" i="10"/>
  <c r="AZ24" i="10"/>
  <c r="BE24" i="10" s="1"/>
  <c r="AJ25" i="13" s="1"/>
  <c r="BA24" i="10"/>
  <c r="AZ16" i="10"/>
  <c r="BE16" i="10" s="1"/>
  <c r="AJ18" i="13" s="1"/>
  <c r="BA16" i="10"/>
  <c r="BD27" i="10"/>
  <c r="BF27" i="10"/>
  <c r="AM5" i="10"/>
  <c r="BC41" i="16" l="1"/>
  <c r="AZ35" i="16"/>
  <c r="AX35" i="16"/>
  <c r="AY11" i="16"/>
  <c r="BC33" i="16"/>
  <c r="AX28" i="16"/>
  <c r="AX11" i="16"/>
  <c r="AZ11" i="16"/>
  <c r="AO26" i="16"/>
  <c r="AQ26" i="16"/>
  <c r="AN26" i="16"/>
  <c r="AP26" i="16"/>
  <c r="AZ23" i="15"/>
  <c r="AW23" i="15"/>
  <c r="AX23" i="15"/>
  <c r="AY23" i="15"/>
  <c r="BL34" i="15"/>
  <c r="AN6" i="15"/>
  <c r="AO5" i="15"/>
  <c r="AM32" i="14"/>
  <c r="BB32" i="14" s="1"/>
  <c r="AM24" i="14"/>
  <c r="BB24" i="14" s="1"/>
  <c r="AM28" i="14"/>
  <c r="BB28" i="14" s="1"/>
  <c r="AW28" i="10"/>
  <c r="AV28" i="10"/>
  <c r="AU28" i="10"/>
  <c r="AT28" i="10"/>
  <c r="AM27" i="14"/>
  <c r="BB27" i="14" s="1"/>
  <c r="AM36" i="14"/>
  <c r="BB36" i="14" s="1"/>
  <c r="AM18" i="14"/>
  <c r="BB18" i="14" s="1"/>
  <c r="BI34" i="10"/>
  <c r="AK34" i="13"/>
  <c r="AZ34" i="13" s="1"/>
  <c r="AM34" i="14"/>
  <c r="BB34" i="14" s="1"/>
  <c r="BI17" i="10"/>
  <c r="AK14" i="13"/>
  <c r="AM10" i="14"/>
  <c r="BB10" i="14" s="1"/>
  <c r="AM13" i="14"/>
  <c r="BB13" i="14" s="1"/>
  <c r="AM26" i="14"/>
  <c r="BB26" i="14" s="1"/>
  <c r="AK20" i="14"/>
  <c r="AZ20" i="14" s="1"/>
  <c r="BI27" i="10"/>
  <c r="AK21" i="13"/>
  <c r="AU51" i="13"/>
  <c r="AT51" i="13"/>
  <c r="AY51" i="13" s="1"/>
  <c r="AX39" i="13"/>
  <c r="AX35" i="13"/>
  <c r="BD16" i="10"/>
  <c r="BF16" i="10"/>
  <c r="AZ22" i="10"/>
  <c r="BE22" i="10" s="1"/>
  <c r="AJ36" i="13" s="1"/>
  <c r="BA22" i="10"/>
  <c r="BA20" i="10"/>
  <c r="AZ20" i="10"/>
  <c r="BE20" i="10" s="1"/>
  <c r="AJ16" i="13" s="1"/>
  <c r="AU9" i="10"/>
  <c r="AT9" i="10"/>
  <c r="AV9" i="10"/>
  <c r="AT15" i="10"/>
  <c r="AW15" i="10"/>
  <c r="AV15" i="10"/>
  <c r="AU15" i="10"/>
  <c r="AW25" i="10"/>
  <c r="AU25" i="10"/>
  <c r="AV25" i="10"/>
  <c r="AT25" i="10"/>
  <c r="AV18" i="10"/>
  <c r="AU18" i="10"/>
  <c r="AT18" i="10"/>
  <c r="AW18" i="10"/>
  <c r="AV14" i="10"/>
  <c r="AU14" i="10"/>
  <c r="AW14" i="10"/>
  <c r="AT14" i="10"/>
  <c r="AT33" i="10"/>
  <c r="AU33" i="10"/>
  <c r="AV33" i="10"/>
  <c r="AW33" i="10"/>
  <c r="BD24" i="10"/>
  <c r="BF24" i="10"/>
  <c r="BA10" i="10"/>
  <c r="AZ10" i="10"/>
  <c r="BE10" i="10" s="1"/>
  <c r="AJ13" i="13" s="1"/>
  <c r="AM7" i="10"/>
  <c r="AM45" i="10" s="1"/>
  <c r="AM6" i="10"/>
  <c r="AZ31" i="10"/>
  <c r="BE31" i="10" s="1"/>
  <c r="AJ27" i="13" s="1"/>
  <c r="BA31" i="10"/>
  <c r="AZ38" i="10"/>
  <c r="BE38" i="10" s="1"/>
  <c r="AJ31" i="13" s="1"/>
  <c r="BA38" i="10"/>
  <c r="AN5" i="10"/>
  <c r="BC35" i="16" l="1"/>
  <c r="BC11" i="16"/>
  <c r="AU20" i="15"/>
  <c r="AU18" i="15"/>
  <c r="AU33" i="15"/>
  <c r="AS38" i="15"/>
  <c r="AU24" i="15"/>
  <c r="AU12" i="15"/>
  <c r="AU28" i="15"/>
  <c r="AU17" i="15"/>
  <c r="AU34" i="15"/>
  <c r="AU23" i="15"/>
  <c r="AU10" i="15"/>
  <c r="AU26" i="16"/>
  <c r="AT26" i="16"/>
  <c r="AX37" i="15"/>
  <c r="AW37" i="15"/>
  <c r="AY37" i="15"/>
  <c r="AZ37" i="15"/>
  <c r="BD23" i="15"/>
  <c r="BC23" i="15"/>
  <c r="AY38" i="15"/>
  <c r="AW38" i="15"/>
  <c r="AX38" i="15"/>
  <c r="AZ38" i="15"/>
  <c r="AX43" i="15"/>
  <c r="AY43" i="15"/>
  <c r="AZ43" i="15"/>
  <c r="AW43" i="15"/>
  <c r="AY11" i="15"/>
  <c r="AZ11" i="15"/>
  <c r="AX11" i="15"/>
  <c r="AW11" i="15"/>
  <c r="AY35" i="15"/>
  <c r="AZ35" i="15"/>
  <c r="AX35" i="15"/>
  <c r="AW35" i="15"/>
  <c r="AX31" i="15"/>
  <c r="AW31" i="15"/>
  <c r="AZ31" i="15"/>
  <c r="AY31" i="15"/>
  <c r="BC34" i="13"/>
  <c r="AL20" i="14"/>
  <c r="BA20" i="14" s="1"/>
  <c r="AO7" i="15"/>
  <c r="AP5" i="15"/>
  <c r="AO6" i="15"/>
  <c r="AZ28" i="10"/>
  <c r="BE28" i="10" s="1"/>
  <c r="AJ22" i="13" s="1"/>
  <c r="BA28" i="10"/>
  <c r="BI16" i="10"/>
  <c r="AK18" i="13"/>
  <c r="AK23" i="14"/>
  <c r="AZ23" i="14" s="1"/>
  <c r="BH23" i="15"/>
  <c r="BI24" i="10"/>
  <c r="AK25" i="13"/>
  <c r="BD20" i="14"/>
  <c r="AX51" i="13"/>
  <c r="AZ51" i="13"/>
  <c r="AU37" i="13"/>
  <c r="AT37" i="13"/>
  <c r="AY37" i="13" s="1"/>
  <c r="AT25" i="13"/>
  <c r="AY25" i="13" s="1"/>
  <c r="AU25" i="13"/>
  <c r="AT17" i="13"/>
  <c r="AU17" i="13"/>
  <c r="AT32" i="13"/>
  <c r="AY32" i="13" s="1"/>
  <c r="AU32" i="13"/>
  <c r="AN7" i="10"/>
  <c r="AN45" i="10" s="1"/>
  <c r="AN6" i="10"/>
  <c r="AV32" i="10" s="1"/>
  <c r="BD10" i="10"/>
  <c r="BF10" i="10"/>
  <c r="BF38" i="10"/>
  <c r="BD38" i="10"/>
  <c r="BD20" i="10"/>
  <c r="BF20" i="10"/>
  <c r="BA18" i="10"/>
  <c r="AZ18" i="10"/>
  <c r="BE18" i="10" s="1"/>
  <c r="AJ19" i="13" s="1"/>
  <c r="BD22" i="10"/>
  <c r="BF22" i="10"/>
  <c r="BA33" i="10"/>
  <c r="AZ33" i="10"/>
  <c r="BE33" i="10" s="1"/>
  <c r="AJ23" i="13" s="1"/>
  <c r="AZ15" i="10"/>
  <c r="BE15" i="10" s="1"/>
  <c r="AJ39" i="13" s="1"/>
  <c r="AY39" i="13" s="1"/>
  <c r="BA15" i="10"/>
  <c r="BF31" i="10"/>
  <c r="BD31" i="10"/>
  <c r="AV35" i="10"/>
  <c r="AT35" i="10"/>
  <c r="AW35" i="10"/>
  <c r="AU35" i="10"/>
  <c r="AU30" i="10"/>
  <c r="AT13" i="10"/>
  <c r="AW13" i="10"/>
  <c r="AV30" i="10"/>
  <c r="AU13" i="10"/>
  <c r="AW30" i="10"/>
  <c r="AV13" i="10"/>
  <c r="AT30" i="10"/>
  <c r="AV8" i="10"/>
  <c r="AU8" i="10"/>
  <c r="AT8" i="10"/>
  <c r="AW8" i="10"/>
  <c r="AU12" i="10"/>
  <c r="AV12" i="10"/>
  <c r="AW12" i="10"/>
  <c r="AT12" i="10"/>
  <c r="AZ14" i="10"/>
  <c r="BE14" i="10" s="1"/>
  <c r="AJ15" i="13" s="1"/>
  <c r="BA14" i="10"/>
  <c r="BA25" i="10"/>
  <c r="AZ25" i="10"/>
  <c r="BE25" i="10" s="1"/>
  <c r="AJ26" i="13" s="1"/>
  <c r="AY26" i="13" s="1"/>
  <c r="AS27" i="15" l="1"/>
  <c r="BH27" i="15" s="1"/>
  <c r="AY26" i="16"/>
  <c r="AT38" i="15"/>
  <c r="AX26" i="16"/>
  <c r="BG23" i="15"/>
  <c r="BD37" i="15"/>
  <c r="BC37" i="15"/>
  <c r="AW36" i="15"/>
  <c r="AZ36" i="15"/>
  <c r="AX36" i="15"/>
  <c r="AY36" i="15"/>
  <c r="AZ18" i="15"/>
  <c r="AY18" i="15"/>
  <c r="AW18" i="15"/>
  <c r="AX18" i="15"/>
  <c r="AW40" i="15"/>
  <c r="AX40" i="15"/>
  <c r="AY40" i="15"/>
  <c r="AZ40" i="15"/>
  <c r="BC11" i="15"/>
  <c r="BD11" i="15"/>
  <c r="BD43" i="15"/>
  <c r="BC43" i="15"/>
  <c r="BD31" i="15"/>
  <c r="BC31" i="15"/>
  <c r="AZ22" i="15"/>
  <c r="AW22" i="15"/>
  <c r="AX22" i="15"/>
  <c r="AY22" i="15"/>
  <c r="AZ13" i="15"/>
  <c r="AY13" i="15"/>
  <c r="AW13" i="15"/>
  <c r="AX13" i="15"/>
  <c r="BD35" i="15"/>
  <c r="BC35" i="15"/>
  <c r="BC38" i="15"/>
  <c r="BD38" i="15"/>
  <c r="AU32" i="10"/>
  <c r="BI23" i="15"/>
  <c r="AT32" i="10"/>
  <c r="AW32" i="10"/>
  <c r="AP7" i="15"/>
  <c r="AP6" i="15"/>
  <c r="AQ5" i="15"/>
  <c r="BI38" i="10"/>
  <c r="AK31" i="13"/>
  <c r="BI20" i="10"/>
  <c r="AK16" i="13"/>
  <c r="BI31" i="10"/>
  <c r="AK27" i="13"/>
  <c r="AK33" i="14"/>
  <c r="AZ33" i="14" s="1"/>
  <c r="AK42" i="14"/>
  <c r="AZ42" i="14" s="1"/>
  <c r="BI10" i="10"/>
  <c r="AK13" i="13"/>
  <c r="BD28" i="10"/>
  <c r="BF28" i="10"/>
  <c r="AK43" i="14"/>
  <c r="AZ43" i="14" s="1"/>
  <c r="BI22" i="10"/>
  <c r="AK36" i="13"/>
  <c r="BC51" i="13"/>
  <c r="AL23" i="14"/>
  <c r="BA23" i="14" s="1"/>
  <c r="AX25" i="13"/>
  <c r="AZ25" i="13"/>
  <c r="AU22" i="13"/>
  <c r="AT22" i="13"/>
  <c r="AY22" i="13" s="1"/>
  <c r="AX37" i="13"/>
  <c r="AZ37" i="13"/>
  <c r="BC37" i="13" s="1"/>
  <c r="AZ32" i="13"/>
  <c r="AX32" i="13"/>
  <c r="AX17" i="13"/>
  <c r="AU16" i="13"/>
  <c r="AT16" i="13"/>
  <c r="AY16" i="13" s="1"/>
  <c r="BB24" i="10"/>
  <c r="BG24" i="10" s="1"/>
  <c r="AL25" i="13" s="1"/>
  <c r="BB39" i="10"/>
  <c r="BG39" i="10" s="1"/>
  <c r="BB15" i="10"/>
  <c r="BG15" i="10" s="1"/>
  <c r="AL39" i="13" s="1"/>
  <c r="BB10" i="10"/>
  <c r="BG10" i="10" s="1"/>
  <c r="AL13" i="13" s="1"/>
  <c r="BB20" i="10"/>
  <c r="BG20" i="10" s="1"/>
  <c r="AL16" i="13" s="1"/>
  <c r="BB21" i="10"/>
  <c r="BG21" i="10" s="1"/>
  <c r="AL17" i="13" s="1"/>
  <c r="BB12" i="10"/>
  <c r="BG12" i="10" s="1"/>
  <c r="AL9" i="13" s="1"/>
  <c r="BB9" i="10"/>
  <c r="BG9" i="10" s="1"/>
  <c r="AL12" i="13" s="1"/>
  <c r="BB29" i="10"/>
  <c r="BG29" i="10" s="1"/>
  <c r="AL38" i="13" s="1"/>
  <c r="BB37" i="10"/>
  <c r="BG37" i="10" s="1"/>
  <c r="AL30" i="13" s="1"/>
  <c r="BB31" i="10"/>
  <c r="BG31" i="10" s="1"/>
  <c r="AL27" i="13" s="1"/>
  <c r="BB32" i="10"/>
  <c r="BG32" i="10" s="1"/>
  <c r="AL35" i="13" s="1"/>
  <c r="BB34" i="10"/>
  <c r="BG34" i="10" s="1"/>
  <c r="AL34" i="13" s="1"/>
  <c r="BB14" i="10"/>
  <c r="BG14" i="10" s="1"/>
  <c r="AL15" i="13" s="1"/>
  <c r="BB35" i="10"/>
  <c r="BG35" i="10" s="1"/>
  <c r="AL28" i="13" s="1"/>
  <c r="BB13" i="10"/>
  <c r="BG13" i="10" s="1"/>
  <c r="AL40" i="13" s="1"/>
  <c r="BA40" i="13" s="1"/>
  <c r="BB8" i="10"/>
  <c r="BG8" i="10" s="1"/>
  <c r="AL11" i="13" s="1"/>
  <c r="BB18" i="10"/>
  <c r="BG18" i="10" s="1"/>
  <c r="AL19" i="13" s="1"/>
  <c r="BB25" i="10"/>
  <c r="BG25" i="10" s="1"/>
  <c r="AL26" i="13" s="1"/>
  <c r="BB27" i="10"/>
  <c r="BG27" i="10" s="1"/>
  <c r="AL21" i="13" s="1"/>
  <c r="BB40" i="10"/>
  <c r="BG40" i="10" s="1"/>
  <c r="AL33" i="13" s="1"/>
  <c r="BB30" i="10"/>
  <c r="BG30" i="10" s="1"/>
  <c r="AL20" i="13" s="1"/>
  <c r="BB42" i="10"/>
  <c r="BG42" i="10" s="1"/>
  <c r="BB33" i="10"/>
  <c r="BG33" i="10" s="1"/>
  <c r="AL23" i="13" s="1"/>
  <c r="BB22" i="10"/>
  <c r="BG22" i="10" s="1"/>
  <c r="AL36" i="13" s="1"/>
  <c r="BB23" i="10"/>
  <c r="BG23" i="10" s="1"/>
  <c r="AL24" i="13" s="1"/>
  <c r="BB43" i="10"/>
  <c r="BG43" i="10" s="1"/>
  <c r="BB28" i="10"/>
  <c r="BG28" i="10" s="1"/>
  <c r="AL22" i="13" s="1"/>
  <c r="BB38" i="10"/>
  <c r="BG38" i="10" s="1"/>
  <c r="AL31" i="13" s="1"/>
  <c r="BB17" i="10"/>
  <c r="BG17" i="10" s="1"/>
  <c r="AL14" i="13" s="1"/>
  <c r="BB11" i="10"/>
  <c r="BG11" i="10" s="1"/>
  <c r="AL8" i="13" s="1"/>
  <c r="BB16" i="10"/>
  <c r="BG16" i="10" s="1"/>
  <c r="AL18" i="13" s="1"/>
  <c r="BB19" i="10"/>
  <c r="BG19" i="10" s="1"/>
  <c r="AL32" i="13" s="1"/>
  <c r="BB36" i="10"/>
  <c r="BG36" i="10" s="1"/>
  <c r="AL29" i="13" s="1"/>
  <c r="BB41" i="10"/>
  <c r="BG41" i="10" s="1"/>
  <c r="AL10" i="13" s="1"/>
  <c r="BB26" i="10"/>
  <c r="BG26" i="10" s="1"/>
  <c r="AL37" i="13" s="1"/>
  <c r="AZ32" i="10"/>
  <c r="BE32" i="10" s="1"/>
  <c r="AJ35" i="13" s="1"/>
  <c r="AY35" i="13" s="1"/>
  <c r="BA32" i="10"/>
  <c r="BF25" i="10"/>
  <c r="BD25" i="10"/>
  <c r="AZ8" i="10"/>
  <c r="BA8" i="10"/>
  <c r="BF8" i="10" s="1"/>
  <c r="AK11" i="13" s="1"/>
  <c r="BF33" i="10"/>
  <c r="BD33" i="10"/>
  <c r="AZ12" i="10"/>
  <c r="BE12" i="10" s="1"/>
  <c r="AJ9" i="13" s="1"/>
  <c r="BA12" i="10"/>
  <c r="AZ30" i="10"/>
  <c r="BE30" i="10" s="1"/>
  <c r="AJ20" i="13" s="1"/>
  <c r="BA30" i="10"/>
  <c r="AW9" i="10"/>
  <c r="AW41" i="10"/>
  <c r="AV41" i="10"/>
  <c r="AT41" i="10"/>
  <c r="AU41" i="10"/>
  <c r="AW21" i="10"/>
  <c r="AU21" i="10"/>
  <c r="AW23" i="10"/>
  <c r="AT21" i="10"/>
  <c r="AV21" i="10"/>
  <c r="AU23" i="10"/>
  <c r="AV23" i="10"/>
  <c r="AT23" i="10"/>
  <c r="AV29" i="10"/>
  <c r="AU29" i="10"/>
  <c r="AT29" i="10"/>
  <c r="AW29" i="10"/>
  <c r="AV11" i="10"/>
  <c r="AU11" i="10"/>
  <c r="AT11" i="10"/>
  <c r="AW11" i="10"/>
  <c r="BD18" i="10"/>
  <c r="BF18" i="10"/>
  <c r="BA35" i="10"/>
  <c r="AZ35" i="10"/>
  <c r="BE35" i="10" s="1"/>
  <c r="AJ28" i="13" s="1"/>
  <c r="BF15" i="10"/>
  <c r="BD15" i="10"/>
  <c r="BF14" i="10"/>
  <c r="BD14" i="10"/>
  <c r="AZ13" i="10"/>
  <c r="BE13" i="10" s="1"/>
  <c r="AJ40" i="13" s="1"/>
  <c r="AY40" i="13" s="1"/>
  <c r="BA13" i="10"/>
  <c r="AS9" i="15" l="1"/>
  <c r="BH9" i="15" s="1"/>
  <c r="AY8" i="16"/>
  <c r="AS29" i="15"/>
  <c r="AY28" i="16"/>
  <c r="AT27" i="15"/>
  <c r="BI27" i="15" s="1"/>
  <c r="BL27" i="15" s="1"/>
  <c r="AZ26" i="16"/>
  <c r="AS36" i="15"/>
  <c r="AO22" i="16"/>
  <c r="AN22" i="16"/>
  <c r="AQ22" i="16"/>
  <c r="AP22" i="16"/>
  <c r="AZ30" i="15"/>
  <c r="AX30" i="15"/>
  <c r="AY30" i="15"/>
  <c r="AW30" i="15"/>
  <c r="AZ25" i="15"/>
  <c r="AW25" i="15"/>
  <c r="AX25" i="15"/>
  <c r="AY25" i="15"/>
  <c r="AY16" i="15"/>
  <c r="AW16" i="15"/>
  <c r="AX16" i="15"/>
  <c r="AZ16" i="15"/>
  <c r="AZ39" i="15"/>
  <c r="AW39" i="15"/>
  <c r="AY39" i="15"/>
  <c r="AX39" i="15"/>
  <c r="BD18" i="15"/>
  <c r="BC18" i="15"/>
  <c r="BH18" i="15" s="1"/>
  <c r="BG37" i="15"/>
  <c r="BC36" i="15"/>
  <c r="BH36" i="15" s="1"/>
  <c r="BD36" i="15"/>
  <c r="BG35" i="15"/>
  <c r="BG11" i="15"/>
  <c r="BG38" i="15"/>
  <c r="BG31" i="15"/>
  <c r="BD40" i="15"/>
  <c r="BC40" i="15"/>
  <c r="BG43" i="15"/>
  <c r="BD22" i="15"/>
  <c r="BC22" i="15"/>
  <c r="AZ41" i="15"/>
  <c r="AW41" i="15"/>
  <c r="AX41" i="15"/>
  <c r="AY41" i="15"/>
  <c r="BD13" i="15"/>
  <c r="BC13" i="15"/>
  <c r="BL23" i="15"/>
  <c r="AQ7" i="15"/>
  <c r="AQ6" i="15"/>
  <c r="AK22" i="13"/>
  <c r="AZ22" i="13" s="1"/>
  <c r="BI38" i="15" s="1"/>
  <c r="BI28" i="10"/>
  <c r="AK38" i="14"/>
  <c r="AZ38" i="14" s="1"/>
  <c r="BH38" i="15"/>
  <c r="BI15" i="10"/>
  <c r="AK39" i="13"/>
  <c r="AZ39" i="13" s="1"/>
  <c r="BC39" i="13" s="1"/>
  <c r="BI18" i="10"/>
  <c r="AK19" i="13"/>
  <c r="BI25" i="10"/>
  <c r="AK26" i="13"/>
  <c r="AZ26" i="13" s="1"/>
  <c r="AK9" i="14"/>
  <c r="AZ9" i="14" s="1"/>
  <c r="AK31" i="14"/>
  <c r="AZ31" i="14" s="1"/>
  <c r="BD23" i="14"/>
  <c r="BC25" i="13"/>
  <c r="AL42" i="14"/>
  <c r="BA42" i="14" s="1"/>
  <c r="BC32" i="13"/>
  <c r="AL33" i="14"/>
  <c r="BA33" i="14" s="1"/>
  <c r="BI14" i="10"/>
  <c r="AK15" i="13"/>
  <c r="BI33" i="10"/>
  <c r="AK23" i="13"/>
  <c r="AU36" i="13"/>
  <c r="AT36" i="13"/>
  <c r="AY36" i="13" s="1"/>
  <c r="AU18" i="13"/>
  <c r="AT18" i="13"/>
  <c r="AY18" i="13" s="1"/>
  <c r="AU29" i="13"/>
  <c r="AT29" i="13"/>
  <c r="AY29" i="13" s="1"/>
  <c r="AX22" i="13"/>
  <c r="AX16" i="13"/>
  <c r="AZ16" i="13"/>
  <c r="AT10" i="13"/>
  <c r="AU10" i="13"/>
  <c r="AU20" i="13"/>
  <c r="AT20" i="13"/>
  <c r="AY20" i="13" s="1"/>
  <c r="BA38" i="13"/>
  <c r="BA51" i="13"/>
  <c r="BA19" i="13"/>
  <c r="BA39" i="13"/>
  <c r="BA27" i="13"/>
  <c r="BA21" i="13"/>
  <c r="BA11" i="13"/>
  <c r="BA20" i="13"/>
  <c r="BA11" i="10"/>
  <c r="AZ11" i="10"/>
  <c r="BE11" i="10" s="1"/>
  <c r="AJ8" i="13" s="1"/>
  <c r="AZ21" i="10"/>
  <c r="BE21" i="10" s="1"/>
  <c r="AJ17" i="13" s="1"/>
  <c r="AY17" i="13" s="1"/>
  <c r="BA21" i="10"/>
  <c r="BA9" i="10"/>
  <c r="AZ9" i="10"/>
  <c r="BE9" i="10" s="1"/>
  <c r="AJ12" i="13" s="1"/>
  <c r="BD8" i="10"/>
  <c r="BE8" i="10"/>
  <c r="BA41" i="10"/>
  <c r="AZ41" i="10"/>
  <c r="BE41" i="10" s="1"/>
  <c r="AJ10" i="13" s="1"/>
  <c r="BF35" i="10"/>
  <c r="BD35" i="10"/>
  <c r="BD30" i="10"/>
  <c r="BF30" i="10"/>
  <c r="AZ29" i="10"/>
  <c r="BE29" i="10" s="1"/>
  <c r="AJ38" i="13" s="1"/>
  <c r="BA29" i="10"/>
  <c r="BF13" i="10"/>
  <c r="BD13" i="10"/>
  <c r="BF12" i="10"/>
  <c r="BD12" i="10"/>
  <c r="BD32" i="10"/>
  <c r="BF32" i="10"/>
  <c r="AZ23" i="10"/>
  <c r="BE23" i="10" s="1"/>
  <c r="AJ24" i="13" s="1"/>
  <c r="AY24" i="13" s="1"/>
  <c r="BA23" i="10"/>
  <c r="BC26" i="16" l="1"/>
  <c r="AT36" i="15"/>
  <c r="BI36" i="15" s="1"/>
  <c r="BL36" i="15" s="1"/>
  <c r="AS35" i="15"/>
  <c r="AS26" i="15"/>
  <c r="BH26" i="15" s="1"/>
  <c r="AY25" i="16"/>
  <c r="AS41" i="15"/>
  <c r="AT9" i="15"/>
  <c r="AZ8" i="16"/>
  <c r="AP38" i="16"/>
  <c r="AQ38" i="16"/>
  <c r="AO38" i="16"/>
  <c r="AN38" i="16"/>
  <c r="AP39" i="16"/>
  <c r="AO39" i="16"/>
  <c r="AQ39" i="16"/>
  <c r="AN39" i="16"/>
  <c r="AN44" i="16"/>
  <c r="AP44" i="16"/>
  <c r="AQ44" i="16"/>
  <c r="AO44" i="16"/>
  <c r="AQ10" i="16"/>
  <c r="AP34" i="16"/>
  <c r="AN34" i="16"/>
  <c r="AQ34" i="16"/>
  <c r="AO10" i="16"/>
  <c r="AP10" i="16"/>
  <c r="AO34" i="16"/>
  <c r="AN10" i="16"/>
  <c r="AU22" i="16"/>
  <c r="AT22" i="16"/>
  <c r="BD30" i="15"/>
  <c r="BC30" i="15"/>
  <c r="BD25" i="15"/>
  <c r="BC25" i="15"/>
  <c r="BG36" i="15"/>
  <c r="BD16" i="15"/>
  <c r="BG16" i="15" s="1"/>
  <c r="BC16" i="15"/>
  <c r="BE40" i="15"/>
  <c r="BE36" i="15"/>
  <c r="AW20" i="15"/>
  <c r="AY20" i="15"/>
  <c r="AZ20" i="15"/>
  <c r="AX20" i="15"/>
  <c r="BD39" i="15"/>
  <c r="BG39" i="15" s="1"/>
  <c r="BC39" i="15"/>
  <c r="BG18" i="15"/>
  <c r="BI18" i="15"/>
  <c r="BL18" i="15" s="1"/>
  <c r="BG40" i="15"/>
  <c r="BD41" i="15"/>
  <c r="BC41" i="15"/>
  <c r="BG22" i="15"/>
  <c r="AZ10" i="15"/>
  <c r="AX10" i="15"/>
  <c r="AW10" i="15"/>
  <c r="AY10" i="15"/>
  <c r="AZ33" i="15"/>
  <c r="AW24" i="15"/>
  <c r="AY24" i="15"/>
  <c r="AX33" i="15"/>
  <c r="AX24" i="15"/>
  <c r="AW33" i="15"/>
  <c r="AZ24" i="15"/>
  <c r="AY33" i="15"/>
  <c r="AY28" i="15"/>
  <c r="AZ28" i="15"/>
  <c r="AX28" i="15"/>
  <c r="AW28" i="15"/>
  <c r="AZ17" i="15"/>
  <c r="AY17" i="15"/>
  <c r="AW17" i="15"/>
  <c r="AX17" i="15"/>
  <c r="BG13" i="15"/>
  <c r="BE15" i="15"/>
  <c r="BE24" i="15"/>
  <c r="BJ24" i="15" s="1"/>
  <c r="BE18" i="15"/>
  <c r="BJ18" i="15" s="1"/>
  <c r="BE38" i="15"/>
  <c r="BE39" i="15"/>
  <c r="BE16" i="15"/>
  <c r="BE21" i="15"/>
  <c r="BE9" i="15"/>
  <c r="BE35" i="15"/>
  <c r="BE11" i="15"/>
  <c r="BE25" i="15"/>
  <c r="BE30" i="15"/>
  <c r="BE17" i="15"/>
  <c r="BE31" i="15"/>
  <c r="BE26" i="15"/>
  <c r="BE20" i="15"/>
  <c r="BE41" i="15"/>
  <c r="BE12" i="15"/>
  <c r="BE14" i="15"/>
  <c r="BE8" i="15"/>
  <c r="BE19" i="15"/>
  <c r="BE27" i="15"/>
  <c r="BE29" i="15"/>
  <c r="BE22" i="15"/>
  <c r="BE23" i="15"/>
  <c r="BE13" i="15"/>
  <c r="BE32" i="15"/>
  <c r="BE10" i="15"/>
  <c r="BJ10" i="15" s="1"/>
  <c r="BE28" i="15"/>
  <c r="BJ28" i="15" s="1"/>
  <c r="BE42" i="15"/>
  <c r="BE34" i="15"/>
  <c r="BJ34" i="15" s="1"/>
  <c r="BE37" i="15"/>
  <c r="BE33" i="15"/>
  <c r="BE43" i="15"/>
  <c r="AK11" i="14"/>
  <c r="AZ11" i="14" s="1"/>
  <c r="BC26" i="13"/>
  <c r="AL43" i="14"/>
  <c r="BA43" i="14" s="1"/>
  <c r="AZ28" i="16" s="1"/>
  <c r="AM41" i="14"/>
  <c r="BB41" i="14" s="1"/>
  <c r="BI35" i="10"/>
  <c r="AK28" i="13"/>
  <c r="BI8" i="10"/>
  <c r="AJ11" i="13"/>
  <c r="AM16" i="14"/>
  <c r="BB16" i="14" s="1"/>
  <c r="AM29" i="14"/>
  <c r="BB29" i="14" s="1"/>
  <c r="AK40" i="14"/>
  <c r="AZ40" i="14" s="1"/>
  <c r="AM22" i="14"/>
  <c r="BB22" i="14" s="1"/>
  <c r="AM23" i="14"/>
  <c r="BB23" i="14" s="1"/>
  <c r="BI30" i="10"/>
  <c r="AK20" i="13"/>
  <c r="AZ20" i="13" s="1"/>
  <c r="BC20" i="13" s="1"/>
  <c r="AK35" i="14"/>
  <c r="AZ35" i="14" s="1"/>
  <c r="BH35" i="15"/>
  <c r="BI12" i="10"/>
  <c r="AK9" i="13"/>
  <c r="AK25" i="14"/>
  <c r="AZ25" i="14" s="1"/>
  <c r="BL38" i="15"/>
  <c r="BD33" i="14"/>
  <c r="BD42" i="14"/>
  <c r="BC16" i="13"/>
  <c r="AL31" i="14"/>
  <c r="BA31" i="14" s="1"/>
  <c r="BC22" i="13"/>
  <c r="AL38" i="14"/>
  <c r="BA38" i="14" s="1"/>
  <c r="AY10" i="13"/>
  <c r="BI32" i="10"/>
  <c r="AK35" i="13"/>
  <c r="AZ35" i="13" s="1"/>
  <c r="BI9" i="15" s="1"/>
  <c r="BI13" i="10"/>
  <c r="AK40" i="13"/>
  <c r="AZ40" i="13" s="1"/>
  <c r="BC40" i="13" s="1"/>
  <c r="AX20" i="13"/>
  <c r="AX29" i="13"/>
  <c r="AZ29" i="13"/>
  <c r="AX10" i="13"/>
  <c r="AU31" i="13"/>
  <c r="AT31" i="13"/>
  <c r="AY31" i="13" s="1"/>
  <c r="AZ18" i="13"/>
  <c r="AX18" i="13"/>
  <c r="AU9" i="13"/>
  <c r="AT9" i="13"/>
  <c r="AY9" i="13" s="1"/>
  <c r="AU23" i="13"/>
  <c r="AT23" i="13"/>
  <c r="AY23" i="13" s="1"/>
  <c r="AU14" i="13"/>
  <c r="AT14" i="13"/>
  <c r="AY14" i="13" s="1"/>
  <c r="BA23" i="13"/>
  <c r="AU15" i="13"/>
  <c r="AT15" i="13"/>
  <c r="AY15" i="13" s="1"/>
  <c r="AZ36" i="13"/>
  <c r="BC36" i="13" s="1"/>
  <c r="AX36" i="13"/>
  <c r="BF23" i="10"/>
  <c r="BD23" i="10"/>
  <c r="BF9" i="10"/>
  <c r="BD9" i="10"/>
  <c r="BD29" i="10"/>
  <c r="BF29" i="10"/>
  <c r="BD21" i="10"/>
  <c r="BF21" i="10"/>
  <c r="BF41" i="10"/>
  <c r="BD41" i="10"/>
  <c r="BF11" i="10"/>
  <c r="BD11" i="10"/>
  <c r="BC8" i="16" l="1"/>
  <c r="BC28" i="16"/>
  <c r="AY22" i="16"/>
  <c r="AS43" i="15"/>
  <c r="BH43" i="15" s="1"/>
  <c r="AS37" i="15"/>
  <c r="AU42" i="15"/>
  <c r="AU11" i="15"/>
  <c r="AT35" i="15"/>
  <c r="AT26" i="15"/>
  <c r="BI26" i="15" s="1"/>
  <c r="BL26" i="15" s="1"/>
  <c r="AZ25" i="16"/>
  <c r="AU27" i="15"/>
  <c r="BJ27" i="15" s="1"/>
  <c r="AU32" i="15"/>
  <c r="AS30" i="15"/>
  <c r="BH30" i="15" s="1"/>
  <c r="AU31" i="15"/>
  <c r="AS22" i="15"/>
  <c r="AU44" i="16"/>
  <c r="AT44" i="16"/>
  <c r="AU38" i="16"/>
  <c r="AT38" i="16"/>
  <c r="AU34" i="16"/>
  <c r="AT34" i="16"/>
  <c r="AU10" i="16"/>
  <c r="AT10" i="16"/>
  <c r="AU39" i="16"/>
  <c r="AT39" i="16"/>
  <c r="AY39" i="16" s="1"/>
  <c r="AZ22" i="16"/>
  <c r="AX22" i="16"/>
  <c r="AO37" i="16"/>
  <c r="AN37" i="16"/>
  <c r="AQ37" i="16"/>
  <c r="AP37" i="16"/>
  <c r="AN17" i="16"/>
  <c r="AQ17" i="16"/>
  <c r="AP17" i="16"/>
  <c r="AO17" i="16"/>
  <c r="AQ16" i="16"/>
  <c r="AO16" i="16"/>
  <c r="AP16" i="16"/>
  <c r="AN16" i="16"/>
  <c r="BD20" i="15"/>
  <c r="BC20" i="15"/>
  <c r="BH20" i="15" s="1"/>
  <c r="BG25" i="15"/>
  <c r="BG30" i="15"/>
  <c r="BC17" i="15"/>
  <c r="BH17" i="15" s="1"/>
  <c r="BD17" i="15"/>
  <c r="BD10" i="15"/>
  <c r="BC10" i="15"/>
  <c r="BH10" i="15" s="1"/>
  <c r="BD24" i="15"/>
  <c r="BC24" i="15"/>
  <c r="BH24" i="15" s="1"/>
  <c r="BD28" i="15"/>
  <c r="BC28" i="15"/>
  <c r="BH28" i="15" s="1"/>
  <c r="BD33" i="15"/>
  <c r="BC33" i="15"/>
  <c r="BH33" i="15" s="1"/>
  <c r="BG41" i="15"/>
  <c r="BL9" i="15"/>
  <c r="BD43" i="14"/>
  <c r="AT29" i="15"/>
  <c r="BJ32" i="15"/>
  <c r="BJ23" i="15"/>
  <c r="AM30" i="14"/>
  <c r="BB30" i="14" s="1"/>
  <c r="AK21" i="14"/>
  <c r="AZ21" i="14" s="1"/>
  <c r="AK17" i="14"/>
  <c r="AZ17" i="14" s="1"/>
  <c r="AK37" i="14"/>
  <c r="AZ37" i="14" s="1"/>
  <c r="BH37" i="15"/>
  <c r="AK30" i="14"/>
  <c r="AZ30" i="14" s="1"/>
  <c r="BI23" i="10"/>
  <c r="AK24" i="13"/>
  <c r="AZ24" i="13" s="1"/>
  <c r="BI29" i="10"/>
  <c r="AK38" i="13"/>
  <c r="BI9" i="10"/>
  <c r="AK12" i="13"/>
  <c r="AK12" i="14"/>
  <c r="AZ12" i="14" s="1"/>
  <c r="BH12" i="15"/>
  <c r="BI11" i="10"/>
  <c r="AK8" i="13"/>
  <c r="BI21" i="10"/>
  <c r="AK17" i="13"/>
  <c r="AZ17" i="13" s="1"/>
  <c r="BD31" i="14"/>
  <c r="BD38" i="14"/>
  <c r="BC35" i="13"/>
  <c r="AL9" i="14"/>
  <c r="BA9" i="14" s="1"/>
  <c r="BC29" i="13"/>
  <c r="AL11" i="14"/>
  <c r="BA11" i="14" s="1"/>
  <c r="BC18" i="13"/>
  <c r="AL40" i="14"/>
  <c r="BA40" i="14" s="1"/>
  <c r="BI41" i="10"/>
  <c r="AK10" i="13"/>
  <c r="AZ10" i="13" s="1"/>
  <c r="BC10" i="13" s="1"/>
  <c r="AX15" i="13"/>
  <c r="AZ15" i="13"/>
  <c r="AU28" i="13"/>
  <c r="AT28" i="13"/>
  <c r="AY28" i="13" s="1"/>
  <c r="AX14" i="13"/>
  <c r="AZ14" i="13"/>
  <c r="AU8" i="13"/>
  <c r="AT8" i="13"/>
  <c r="AY8" i="13" s="1"/>
  <c r="AX9" i="13"/>
  <c r="AZ9" i="13"/>
  <c r="AU33" i="13"/>
  <c r="AT33" i="13"/>
  <c r="AY33" i="13" s="1"/>
  <c r="AT13" i="13"/>
  <c r="AY13" i="13" s="1"/>
  <c r="AU13" i="13"/>
  <c r="AT30" i="13"/>
  <c r="AY30" i="13" s="1"/>
  <c r="AU30" i="13"/>
  <c r="AZ23" i="13"/>
  <c r="AX23" i="13"/>
  <c r="AT12" i="13"/>
  <c r="AY12" i="13" s="1"/>
  <c r="AU12" i="13"/>
  <c r="BA28" i="13"/>
  <c r="BA31" i="13"/>
  <c r="BA29" i="13"/>
  <c r="BA24" i="13"/>
  <c r="BA22" i="13"/>
  <c r="BA12" i="13"/>
  <c r="BA18" i="13"/>
  <c r="BA33" i="13"/>
  <c r="BA16" i="13"/>
  <c r="BA37" i="13"/>
  <c r="BA17" i="13"/>
  <c r="BA35" i="13"/>
  <c r="BA10" i="13"/>
  <c r="BA14" i="13"/>
  <c r="BA30" i="13"/>
  <c r="BA36" i="13"/>
  <c r="BA8" i="13"/>
  <c r="BA32" i="13"/>
  <c r="BA13" i="13"/>
  <c r="BA25" i="13"/>
  <c r="BA15" i="13"/>
  <c r="BA26" i="13"/>
  <c r="BA9" i="13"/>
  <c r="BA34" i="13"/>
  <c r="AX31" i="13"/>
  <c r="AZ31" i="13"/>
  <c r="BI12" i="15" s="1"/>
  <c r="BC25" i="16" l="1"/>
  <c r="BC22" i="16"/>
  <c r="AY34" i="16"/>
  <c r="AY44" i="16"/>
  <c r="AT30" i="15"/>
  <c r="AT37" i="15"/>
  <c r="AZ38" i="16"/>
  <c r="AT41" i="15"/>
  <c r="AS21" i="15"/>
  <c r="BH21" i="15" s="1"/>
  <c r="AS14" i="15"/>
  <c r="BH14" i="15" s="1"/>
  <c r="AU40" i="15"/>
  <c r="BJ40" i="15" s="1"/>
  <c r="AS40" i="15"/>
  <c r="BH40" i="15" s="1"/>
  <c r="AS39" i="15"/>
  <c r="AS25" i="15"/>
  <c r="BH25" i="15" s="1"/>
  <c r="AY38" i="16"/>
  <c r="AX10" i="16"/>
  <c r="AU16" i="16"/>
  <c r="AT16" i="16"/>
  <c r="AY16" i="16" s="1"/>
  <c r="AX38" i="16"/>
  <c r="AZ39" i="16"/>
  <c r="AX39" i="16"/>
  <c r="AQ24" i="16"/>
  <c r="AP24" i="16"/>
  <c r="AN24" i="16"/>
  <c r="AO24" i="16"/>
  <c r="AQ42" i="16"/>
  <c r="AO42" i="16"/>
  <c r="AN42" i="16"/>
  <c r="AP42" i="16"/>
  <c r="AQ29" i="16"/>
  <c r="AO29" i="16"/>
  <c r="AP29" i="16"/>
  <c r="AN29" i="16"/>
  <c r="AO15" i="16"/>
  <c r="AP15" i="16"/>
  <c r="AQ15" i="16"/>
  <c r="AN15" i="16"/>
  <c r="AU17" i="16"/>
  <c r="AT17" i="16"/>
  <c r="AU37" i="16"/>
  <c r="AT37" i="16"/>
  <c r="AZ34" i="16"/>
  <c r="AX34" i="16"/>
  <c r="AX44" i="16"/>
  <c r="BG20" i="15"/>
  <c r="BI20" i="15"/>
  <c r="BL20" i="15" s="1"/>
  <c r="BI17" i="15"/>
  <c r="BL17" i="15" s="1"/>
  <c r="BG10" i="15"/>
  <c r="BI10" i="15"/>
  <c r="BG24" i="15"/>
  <c r="BI24" i="15"/>
  <c r="BG28" i="15"/>
  <c r="BI28" i="15"/>
  <c r="BG17" i="15"/>
  <c r="BG33" i="15"/>
  <c r="BI33" i="15"/>
  <c r="BI37" i="15"/>
  <c r="BI30" i="15"/>
  <c r="BL12" i="15"/>
  <c r="AM31" i="14"/>
  <c r="BB31" i="14" s="1"/>
  <c r="BJ31" i="15"/>
  <c r="BI35" i="15"/>
  <c r="BC24" i="13"/>
  <c r="AL35" i="14"/>
  <c r="BA35" i="14" s="1"/>
  <c r="AZ44" i="16" s="1"/>
  <c r="AM25" i="14"/>
  <c r="BB25" i="14" s="1"/>
  <c r="AK19" i="14"/>
  <c r="AZ19" i="14" s="1"/>
  <c r="AM40" i="14"/>
  <c r="BB40" i="14" s="1"/>
  <c r="AK8" i="14"/>
  <c r="AZ8" i="14" s="1"/>
  <c r="AM37" i="14"/>
  <c r="BB37" i="14" s="1"/>
  <c r="AM9" i="14"/>
  <c r="BB9" i="14" s="1"/>
  <c r="AM43" i="14"/>
  <c r="BB43" i="14" s="1"/>
  <c r="AM14" i="14"/>
  <c r="BB14" i="14" s="1"/>
  <c r="AM38" i="14"/>
  <c r="BB38" i="14" s="1"/>
  <c r="AM35" i="14"/>
  <c r="BB35" i="14" s="1"/>
  <c r="AM11" i="14"/>
  <c r="BB11" i="14" s="1"/>
  <c r="BJ11" i="15"/>
  <c r="AM19" i="14"/>
  <c r="BB19" i="14" s="1"/>
  <c r="AM12" i="14"/>
  <c r="BB12" i="14" s="1"/>
  <c r="BJ12" i="15"/>
  <c r="AM33" i="14"/>
  <c r="BB33" i="14" s="1"/>
  <c r="BJ33" i="15"/>
  <c r="AM15" i="14"/>
  <c r="BB15" i="14" s="1"/>
  <c r="AM8" i="14"/>
  <c r="BB8" i="14" s="1"/>
  <c r="AK14" i="14"/>
  <c r="AZ14" i="14" s="1"/>
  <c r="AM17" i="14"/>
  <c r="BB17" i="14" s="1"/>
  <c r="BJ17" i="15"/>
  <c r="AM42" i="14"/>
  <c r="BB42" i="14" s="1"/>
  <c r="BJ42" i="15"/>
  <c r="AM39" i="14"/>
  <c r="BB39" i="14" s="1"/>
  <c r="AK39" i="14"/>
  <c r="AZ39" i="14" s="1"/>
  <c r="BH39" i="15"/>
  <c r="AM21" i="14"/>
  <c r="BB21" i="14" s="1"/>
  <c r="AM20" i="14"/>
  <c r="BB20" i="14" s="1"/>
  <c r="BJ20" i="15"/>
  <c r="AK15" i="14"/>
  <c r="AZ15" i="14" s="1"/>
  <c r="BC17" i="13"/>
  <c r="AL25" i="14"/>
  <c r="BA25" i="14" s="1"/>
  <c r="BD11" i="14"/>
  <c r="BD40" i="14"/>
  <c r="BD9" i="14"/>
  <c r="BC14" i="13"/>
  <c r="AL21" i="14"/>
  <c r="BA21" i="14" s="1"/>
  <c r="BC9" i="13"/>
  <c r="AL17" i="14"/>
  <c r="BA17" i="14" s="1"/>
  <c r="BC15" i="13"/>
  <c r="AL37" i="14"/>
  <c r="BA37" i="14" s="1"/>
  <c r="BC31" i="13"/>
  <c r="AL12" i="14"/>
  <c r="BA12" i="14" s="1"/>
  <c r="BC23" i="13"/>
  <c r="AL30" i="14"/>
  <c r="BA30" i="14" s="1"/>
  <c r="AZ30" i="13"/>
  <c r="AX30" i="13"/>
  <c r="AZ8" i="13"/>
  <c r="AX8" i="13"/>
  <c r="AX12" i="13"/>
  <c r="AZ12" i="13"/>
  <c r="AX13" i="13"/>
  <c r="AZ13" i="13"/>
  <c r="AU11" i="13"/>
  <c r="AT11" i="13"/>
  <c r="AY11" i="13" s="1"/>
  <c r="AT21" i="13"/>
  <c r="AY21" i="13" s="1"/>
  <c r="AU21" i="13"/>
  <c r="AU38" i="13"/>
  <c r="AT38" i="13"/>
  <c r="AY38" i="13" s="1"/>
  <c r="AX33" i="13"/>
  <c r="AZ33" i="13"/>
  <c r="BC33" i="13" s="1"/>
  <c r="AX28" i="13"/>
  <c r="AZ28" i="13"/>
  <c r="AU27" i="13"/>
  <c r="AT27" i="13"/>
  <c r="AY27" i="13" s="1"/>
  <c r="AT19" i="13"/>
  <c r="AY19" i="13" s="1"/>
  <c r="AU19" i="13"/>
  <c r="BC39" i="16" l="1"/>
  <c r="BC34" i="16"/>
  <c r="AY37" i="16"/>
  <c r="AY17" i="16"/>
  <c r="BC44" i="16"/>
  <c r="BC38" i="16"/>
  <c r="AU16" i="15"/>
  <c r="BJ16" i="15" s="1"/>
  <c r="AU29" i="15"/>
  <c r="BJ29" i="15" s="1"/>
  <c r="AU38" i="15"/>
  <c r="BJ38" i="15" s="1"/>
  <c r="AU9" i="15"/>
  <c r="BJ9" i="15" s="1"/>
  <c r="AU37" i="15"/>
  <c r="BJ37" i="15" s="1"/>
  <c r="AU26" i="15"/>
  <c r="BJ26" i="15" s="1"/>
  <c r="AU13" i="15"/>
  <c r="BJ13" i="15" s="1"/>
  <c r="AU19" i="15"/>
  <c r="BJ19" i="15" s="1"/>
  <c r="AS13" i="15"/>
  <c r="BH13" i="15" s="1"/>
  <c r="AU22" i="15"/>
  <c r="BJ22" i="15" s="1"/>
  <c r="AU36" i="15"/>
  <c r="BJ36" i="15" s="1"/>
  <c r="AU43" i="15"/>
  <c r="BJ43" i="15" s="1"/>
  <c r="AS19" i="15"/>
  <c r="BH19" i="15" s="1"/>
  <c r="AY18" i="16"/>
  <c r="AS16" i="15"/>
  <c r="AT21" i="15"/>
  <c r="BI21" i="15" s="1"/>
  <c r="AU41" i="15"/>
  <c r="BJ41" i="15" s="1"/>
  <c r="AT14" i="15"/>
  <c r="BI14" i="15" s="1"/>
  <c r="AU25" i="15"/>
  <c r="BJ25" i="15" s="1"/>
  <c r="AU21" i="15"/>
  <c r="BJ21" i="15" s="1"/>
  <c r="AT25" i="15"/>
  <c r="BI25" i="15" s="1"/>
  <c r="AU30" i="15"/>
  <c r="BJ30" i="15" s="1"/>
  <c r="AU8" i="15"/>
  <c r="BJ8" i="15" s="1"/>
  <c r="AU39" i="15"/>
  <c r="BJ39" i="15" s="1"/>
  <c r="AS15" i="15"/>
  <c r="BH15" i="15" s="1"/>
  <c r="AY14" i="16"/>
  <c r="AU15" i="15"/>
  <c r="BJ15" i="15" s="1"/>
  <c r="AT40" i="15"/>
  <c r="BI40" i="15" s="1"/>
  <c r="BL40" i="15" s="1"/>
  <c r="AU14" i="15"/>
  <c r="BJ14" i="15" s="1"/>
  <c r="AT39" i="15"/>
  <c r="AU35" i="15"/>
  <c r="BJ35" i="15" s="1"/>
  <c r="AZ17" i="16"/>
  <c r="AX17" i="16"/>
  <c r="AZ16" i="16"/>
  <c r="AX16" i="16"/>
  <c r="AU15" i="16"/>
  <c r="AT15" i="16"/>
  <c r="AU29" i="16"/>
  <c r="AT29" i="16"/>
  <c r="AX37" i="16"/>
  <c r="AZ37" i="16"/>
  <c r="AV39" i="16"/>
  <c r="AV16" i="16"/>
  <c r="BA16" i="16" s="1"/>
  <c r="AV20" i="16"/>
  <c r="AV26" i="16"/>
  <c r="BA26" i="16" s="1"/>
  <c r="AV29" i="16"/>
  <c r="AV22" i="16"/>
  <c r="BA22" i="16" s="1"/>
  <c r="AV21" i="16"/>
  <c r="AV33" i="16"/>
  <c r="BA33" i="16" s="1"/>
  <c r="AV23" i="16"/>
  <c r="BA23" i="16" s="1"/>
  <c r="AV27" i="16"/>
  <c r="BA27" i="16" s="1"/>
  <c r="AV42" i="16"/>
  <c r="AV11" i="16"/>
  <c r="BA11" i="16" s="1"/>
  <c r="AV13" i="16"/>
  <c r="AV34" i="16"/>
  <c r="AV14" i="16"/>
  <c r="BA14" i="16" s="1"/>
  <c r="AV9" i="16"/>
  <c r="BA9" i="16" s="1"/>
  <c r="AV8" i="16"/>
  <c r="AV24" i="16"/>
  <c r="BA32" i="16"/>
  <c r="AV28" i="16"/>
  <c r="AV18" i="16"/>
  <c r="AV44" i="16"/>
  <c r="AV12" i="16"/>
  <c r="BA12" i="16" s="1"/>
  <c r="AV38" i="16"/>
  <c r="AV19" i="16"/>
  <c r="BA19" i="16" s="1"/>
  <c r="AV17" i="16"/>
  <c r="BA17" i="16" s="1"/>
  <c r="AV37" i="16"/>
  <c r="AV31" i="16"/>
  <c r="BA31" i="16" s="1"/>
  <c r="AV43" i="16"/>
  <c r="BA43" i="16" s="1"/>
  <c r="AV30" i="16"/>
  <c r="BA30" i="16" s="1"/>
  <c r="AV15" i="16"/>
  <c r="BA15" i="16" s="1"/>
  <c r="AV25" i="16"/>
  <c r="AV40" i="16"/>
  <c r="AP20" i="16"/>
  <c r="AN20" i="16"/>
  <c r="AO20" i="16"/>
  <c r="AQ20" i="16"/>
  <c r="AV10" i="16"/>
  <c r="BA10" i="16" s="1"/>
  <c r="AO13" i="16"/>
  <c r="AP13" i="16"/>
  <c r="AN13" i="16"/>
  <c r="AQ13" i="16"/>
  <c r="AO21" i="16"/>
  <c r="AQ30" i="16"/>
  <c r="AN30" i="16"/>
  <c r="AQ21" i="16"/>
  <c r="AO30" i="16"/>
  <c r="AP21" i="16"/>
  <c r="AN21" i="16"/>
  <c r="AP30" i="16"/>
  <c r="AO19" i="16"/>
  <c r="AP19" i="16"/>
  <c r="AN19" i="16"/>
  <c r="AQ19" i="16"/>
  <c r="AP27" i="16"/>
  <c r="AQ27" i="16"/>
  <c r="AO27" i="16"/>
  <c r="AN27" i="16"/>
  <c r="AQ12" i="16"/>
  <c r="AP12" i="16"/>
  <c r="AO12" i="16"/>
  <c r="AN12" i="16"/>
  <c r="AP9" i="16"/>
  <c r="AN9" i="16"/>
  <c r="AP40" i="16"/>
  <c r="AP23" i="16"/>
  <c r="AN32" i="16"/>
  <c r="AO9" i="16"/>
  <c r="AN23" i="16"/>
  <c r="AQ40" i="16"/>
  <c r="AO23" i="16"/>
  <c r="AN40" i="16"/>
  <c r="AQ9" i="16"/>
  <c r="AQ23" i="16"/>
  <c r="AO40" i="16"/>
  <c r="AU42" i="16"/>
  <c r="AT42" i="16"/>
  <c r="AY42" i="16" s="1"/>
  <c r="AU24" i="16"/>
  <c r="AT24" i="16"/>
  <c r="BL33" i="15"/>
  <c r="BL28" i="15"/>
  <c r="BL24" i="15"/>
  <c r="BL10" i="15"/>
  <c r="BL35" i="15"/>
  <c r="BL37" i="15"/>
  <c r="BL30" i="15"/>
  <c r="BL25" i="15"/>
  <c r="BL21" i="15"/>
  <c r="BI39" i="15"/>
  <c r="BD25" i="14"/>
  <c r="AT22" i="15"/>
  <c r="BD35" i="14"/>
  <c r="AT43" i="15"/>
  <c r="BI43" i="15" s="1"/>
  <c r="AS8" i="15"/>
  <c r="BH8" i="15" s="1"/>
  <c r="BK8" i="15"/>
  <c r="AK22" i="14"/>
  <c r="AZ22" i="14" s="1"/>
  <c r="BH22" i="15"/>
  <c r="AK41" i="14"/>
  <c r="AZ41" i="14" s="1"/>
  <c r="BH41" i="15"/>
  <c r="AK29" i="14"/>
  <c r="AZ29" i="14" s="1"/>
  <c r="BH29" i="15"/>
  <c r="AK16" i="14"/>
  <c r="AZ16" i="14" s="1"/>
  <c r="BH16" i="15"/>
  <c r="BD12" i="14"/>
  <c r="BD21" i="14"/>
  <c r="BD37" i="14"/>
  <c r="BD30" i="14"/>
  <c r="BD17" i="14"/>
  <c r="BC12" i="13"/>
  <c r="AL14" i="14"/>
  <c r="BA14" i="14" s="1"/>
  <c r="BC8" i="13"/>
  <c r="AL15" i="14"/>
  <c r="BA15" i="14" s="1"/>
  <c r="BC28" i="13"/>
  <c r="AL39" i="14"/>
  <c r="BA39" i="14" s="1"/>
  <c r="BC30" i="13"/>
  <c r="AL8" i="14"/>
  <c r="BA8" i="14" s="1"/>
  <c r="BC13" i="13"/>
  <c r="AL19" i="14"/>
  <c r="BA19" i="14" s="1"/>
  <c r="AZ19" i="13"/>
  <c r="AX19" i="13"/>
  <c r="AZ38" i="13"/>
  <c r="BC38" i="13" s="1"/>
  <c r="AX38" i="13"/>
  <c r="AX21" i="13"/>
  <c r="AZ21" i="13"/>
  <c r="AZ27" i="13"/>
  <c r="AX27" i="13"/>
  <c r="AX11" i="13"/>
  <c r="AZ11" i="13"/>
  <c r="BC37" i="16" l="1"/>
  <c r="BC16" i="16"/>
  <c r="BC17" i="16"/>
  <c r="AY24" i="16"/>
  <c r="AY29" i="16"/>
  <c r="AT32" i="16"/>
  <c r="AU32" i="16"/>
  <c r="BA28" i="16"/>
  <c r="AY15" i="16"/>
  <c r="BA18" i="16"/>
  <c r="BA42" i="16"/>
  <c r="BA39" i="16"/>
  <c r="BA20" i="16"/>
  <c r="BA38" i="16"/>
  <c r="AT13" i="15"/>
  <c r="BI13" i="15" s="1"/>
  <c r="BL13" i="15" s="1"/>
  <c r="AT8" i="15"/>
  <c r="BI8" i="15" s="1"/>
  <c r="BA44" i="16"/>
  <c r="BA40" i="16"/>
  <c r="AT19" i="15"/>
  <c r="BI19" i="15" s="1"/>
  <c r="BL19" i="15" s="1"/>
  <c r="AZ18" i="16"/>
  <c r="BA25" i="16"/>
  <c r="AS11" i="15"/>
  <c r="BH11" i="15" s="1"/>
  <c r="AY10" i="16"/>
  <c r="BA37" i="16"/>
  <c r="AS31" i="15"/>
  <c r="BH31" i="15" s="1"/>
  <c r="AT16" i="15"/>
  <c r="AZ15" i="16"/>
  <c r="AS32" i="15"/>
  <c r="BH32" i="15" s="1"/>
  <c r="AY31" i="16"/>
  <c r="BA29" i="16"/>
  <c r="AT15" i="15"/>
  <c r="BI15" i="15" s="1"/>
  <c r="BL15" i="15" s="1"/>
  <c r="AZ14" i="16"/>
  <c r="BC14" i="16" s="1"/>
  <c r="BA34" i="16"/>
  <c r="AS42" i="15"/>
  <c r="BH42" i="15" s="1"/>
  <c r="AY43" i="16"/>
  <c r="BA21" i="16"/>
  <c r="BA24" i="16"/>
  <c r="BA8" i="16"/>
  <c r="BA13" i="16"/>
  <c r="AU21" i="16"/>
  <c r="AT21" i="16"/>
  <c r="AU27" i="16"/>
  <c r="AT27" i="16"/>
  <c r="AZ24" i="16"/>
  <c r="AX24" i="16"/>
  <c r="AU40" i="16"/>
  <c r="AT40" i="16"/>
  <c r="AU23" i="16"/>
  <c r="AT23" i="16"/>
  <c r="AU30" i="16"/>
  <c r="AT30" i="16"/>
  <c r="AZ42" i="16"/>
  <c r="AX42" i="16"/>
  <c r="AZ29" i="16"/>
  <c r="AX29" i="16"/>
  <c r="AU19" i="16"/>
  <c r="AT19" i="16"/>
  <c r="AU13" i="16"/>
  <c r="AT13" i="16"/>
  <c r="AX15" i="16"/>
  <c r="AU9" i="16"/>
  <c r="AT9" i="16"/>
  <c r="AT12" i="16"/>
  <c r="AY12" i="16" s="1"/>
  <c r="AU12" i="16"/>
  <c r="AU20" i="16"/>
  <c r="AT20" i="16"/>
  <c r="BL43" i="15"/>
  <c r="BL14" i="15"/>
  <c r="BL39" i="15"/>
  <c r="BL8" i="15"/>
  <c r="BI16" i="15"/>
  <c r="BI22" i="15"/>
  <c r="BI29" i="15"/>
  <c r="BI41" i="15"/>
  <c r="BD19" i="14"/>
  <c r="BD39" i="14"/>
  <c r="BD8" i="14"/>
  <c r="BD15" i="14"/>
  <c r="BD14" i="14"/>
  <c r="BC11" i="13"/>
  <c r="AL16" i="14"/>
  <c r="BA16" i="14" s="1"/>
  <c r="BC21" i="13"/>
  <c r="AL29" i="14"/>
  <c r="BA29" i="14" s="1"/>
  <c r="BC19" i="13"/>
  <c r="AL22" i="14"/>
  <c r="BA22" i="14" s="1"/>
  <c r="BC27" i="13"/>
  <c r="AL41" i="14"/>
  <c r="BA41" i="14" s="1"/>
  <c r="BC29" i="16" l="1"/>
  <c r="BC42" i="16"/>
  <c r="BC18" i="16"/>
  <c r="BC24" i="16"/>
  <c r="AY40" i="16"/>
  <c r="AY23" i="16"/>
  <c r="AY32" i="16"/>
  <c r="AY27" i="16"/>
  <c r="AY21" i="16"/>
  <c r="AY20" i="16"/>
  <c r="AY13" i="16"/>
  <c r="AY19" i="16"/>
  <c r="AY9" i="16"/>
  <c r="BC15" i="16"/>
  <c r="AT32" i="15"/>
  <c r="BI32" i="15" s="1"/>
  <c r="BL32" i="15" s="1"/>
  <c r="AZ31" i="16"/>
  <c r="AT11" i="15"/>
  <c r="BI11" i="15" s="1"/>
  <c r="AZ10" i="16"/>
  <c r="AT31" i="15"/>
  <c r="BI31" i="15" s="1"/>
  <c r="AZ30" i="16"/>
  <c r="AY30" i="16"/>
  <c r="AT42" i="15"/>
  <c r="BI42" i="15" s="1"/>
  <c r="AZ43" i="16"/>
  <c r="AZ23" i="16"/>
  <c r="AX23" i="16"/>
  <c r="AZ40" i="16"/>
  <c r="AX40" i="16"/>
  <c r="AZ20" i="16"/>
  <c r="AX20" i="16"/>
  <c r="AX27" i="16"/>
  <c r="AZ27" i="16"/>
  <c r="AZ13" i="16"/>
  <c r="AX13" i="16"/>
  <c r="AX32" i="16"/>
  <c r="AZ32" i="16"/>
  <c r="AZ19" i="16"/>
  <c r="AX19" i="16"/>
  <c r="AX12" i="16"/>
  <c r="AZ12" i="16"/>
  <c r="AX9" i="16"/>
  <c r="AZ9" i="16"/>
  <c r="AX30" i="16"/>
  <c r="AX21" i="16"/>
  <c r="AZ21" i="16"/>
  <c r="BL11" i="15"/>
  <c r="BL29" i="15"/>
  <c r="BL22" i="15"/>
  <c r="BL31" i="15"/>
  <c r="BL41" i="15"/>
  <c r="BL42" i="15"/>
  <c r="BL16" i="15"/>
  <c r="BD22" i="14"/>
  <c r="BD29" i="14"/>
  <c r="BD41" i="14"/>
  <c r="BD16" i="14"/>
  <c r="BC12" i="16" l="1"/>
  <c r="BC10" i="16"/>
  <c r="BC23" i="16"/>
  <c r="BC31" i="16"/>
  <c r="BC32" i="16"/>
  <c r="BC43" i="16"/>
  <c r="BC40" i="16"/>
  <c r="BC19" i="16"/>
  <c r="BC27" i="16"/>
  <c r="BC13" i="16"/>
  <c r="BC21" i="16"/>
  <c r="BC20" i="16"/>
  <c r="BC9" i="16"/>
  <c r="BC30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tc={6663A1E9-F38B-4BA5-BAC5-6973166C2FAA}</author>
  </authors>
  <commentList>
    <comment ref="S37" authorId="0" shapeId="0" xr:uid="{6663A1E9-F38B-4BA5-BAC5-6973166C2FAA}">
      <text>
        <t>[Threaded comment]
Your version of Excel allows you to read this threaded comment; however, any edits to it will get removed if the file is opened in a newer version of Excel. Learn more: https://go.microsoft.com/fwlink/?linkid=870924
Comment:
    Taking over from Ruth’s HO5 call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tc={2DA43C17-112E-4E8B-89D7-DFB0159A2D4D}</author>
  </authors>
  <commentList>
    <comment ref="AL27" authorId="0" shapeId="0" xr:uid="{2DA43C17-112E-4E8B-89D7-DFB0159A2D4D}">
      <text>
        <t>[Threaded comment]
Your version of Excel allows you to read this threaded comment; however, any edits to it will get removed if the file is opened in a newer version of Excel. Learn more: https://go.microsoft.com/fwlink/?linkid=870924
Comment:
    Activated as standby and rounded, subsequently HO5 call did by Maegan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9F0A54-C340-4B5C-8C59-D1A846AC88A9}" keepAlive="1" name="Query - Table3(1)" description="Connection to the 'Table3' query in the workbook." type="5" refreshedVersion="4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<sst xmlns="http://schemas.openxmlformats.org/spreadsheetml/2006/main" count="3213" uniqueCount="328">
  <si>
    <t>Old cycle</t>
  </si>
  <si>
    <t>New cycle</t>
  </si>
  <si>
    <t>Default</t>
  </si>
  <si>
    <t>House officers</t>
  </si>
  <si>
    <t>Home ward</t>
  </si>
  <si>
    <t>Sat</t>
  </si>
  <si>
    <t>Sun</t>
  </si>
  <si>
    <t>Mon</t>
  </si>
  <si>
    <t>Tue</t>
  </si>
  <si>
    <t>Wed</t>
  </si>
  <si>
    <t>Fri</t>
  </si>
  <si>
    <t>Points from last cycle</t>
  </si>
  <si>
    <t>Calls from last cycle</t>
  </si>
  <si>
    <t>Points in current cycle</t>
  </si>
  <si>
    <t>Cumulative points</t>
  </si>
  <si>
    <t>Calls this cycle</t>
  </si>
  <si>
    <t>Cumulative calls</t>
  </si>
  <si>
    <t>Avg. points per call</t>
  </si>
  <si>
    <t>WD</t>
  </si>
  <si>
    <t>HO6</t>
  </si>
  <si>
    <t>WR1</t>
  </si>
  <si>
    <t>WR2</t>
  </si>
  <si>
    <t>B</t>
  </si>
  <si>
    <t>WE off from last cycle</t>
  </si>
  <si>
    <t>WE off in current cycle</t>
  </si>
  <si>
    <t>Cumulative WE off</t>
  </si>
  <si>
    <t>Total WE</t>
  </si>
  <si>
    <t>% WE off</t>
  </si>
  <si>
    <t>66A</t>
  </si>
  <si>
    <t>HO4</t>
  </si>
  <si>
    <t>HO1</t>
  </si>
  <si>
    <t>HO5</t>
  </si>
  <si>
    <t>HO3</t>
  </si>
  <si>
    <t>62A</t>
  </si>
  <si>
    <t>HO2</t>
  </si>
  <si>
    <t>62B</t>
  </si>
  <si>
    <t>75A</t>
  </si>
  <si>
    <t>56B</t>
  </si>
  <si>
    <t>85B</t>
  </si>
  <si>
    <t>86A</t>
  </si>
  <si>
    <t>75 ONC</t>
  </si>
  <si>
    <t>76 ONC</t>
  </si>
  <si>
    <t>31A</t>
  </si>
  <si>
    <t>31B</t>
  </si>
  <si>
    <t>66B</t>
  </si>
  <si>
    <t>56A</t>
  </si>
  <si>
    <t>86B</t>
  </si>
  <si>
    <t>75B</t>
  </si>
  <si>
    <t>85A</t>
  </si>
  <si>
    <t>Legend</t>
  </si>
  <si>
    <t>HO on call</t>
  </si>
  <si>
    <t>On call</t>
  </si>
  <si>
    <t>Weekend rounder</t>
  </si>
  <si>
    <t>Backup</t>
  </si>
  <si>
    <t>BOLD</t>
  </si>
  <si>
    <t>Call request granted</t>
  </si>
  <si>
    <t>Block request</t>
  </si>
  <si>
    <t>Rounder</t>
  </si>
  <si>
    <t>Total</t>
  </si>
  <si>
    <t>Call</t>
  </si>
  <si>
    <t>Coverage</t>
  </si>
  <si>
    <t>62, 66 PASSIVE (weekends only)</t>
  </si>
  <si>
    <t>Weekend rounder 2</t>
  </si>
  <si>
    <t>Fri / Pre-PH</t>
  </si>
  <si>
    <t>31, 51, 65</t>
  </si>
  <si>
    <t>56, 46, 85</t>
  </si>
  <si>
    <t>62, 75, 76</t>
  </si>
  <si>
    <t>55, 86</t>
  </si>
  <si>
    <t>Weekend rounder 1</t>
  </si>
  <si>
    <t xml:space="preserve">Backup </t>
  </si>
  <si>
    <t>Standby</t>
  </si>
  <si>
    <t>HA</t>
  </si>
  <si>
    <t>75 HAE/ONC</t>
  </si>
  <si>
    <t>76 HAE/ONC</t>
  </si>
  <si>
    <t>HD</t>
  </si>
  <si>
    <t>41, 66, 44 (standby)</t>
  </si>
  <si>
    <t>Sat / PH</t>
  </si>
  <si>
    <t>S</t>
  </si>
  <si>
    <t xml:space="preserve">AL/OIL </t>
  </si>
  <si>
    <t>Number of WR from last cycle</t>
  </si>
  <si>
    <t>Cumulative WR</t>
  </si>
  <si>
    <t>WR3</t>
  </si>
  <si>
    <t>WR this cycle</t>
  </si>
  <si>
    <t>AL</t>
  </si>
  <si>
    <t>New cycle - TC</t>
  </si>
  <si>
    <t>X</t>
  </si>
  <si>
    <t>Auto</t>
  </si>
  <si>
    <t>To edit every cycle</t>
  </si>
  <si>
    <t>To adjust formula</t>
  </si>
  <si>
    <t>CVM</t>
  </si>
  <si>
    <t>R</t>
  </si>
  <si>
    <t>Soon Wei Ze</t>
  </si>
  <si>
    <t>Grace Lim</t>
  </si>
  <si>
    <t>Matthias Enrui</t>
  </si>
  <si>
    <t>Nagarajan</t>
  </si>
  <si>
    <t>Elizabeth Teo</t>
  </si>
  <si>
    <t>Ariel Chai</t>
  </si>
  <si>
    <t>Ng Qing Wei</t>
  </si>
  <si>
    <t>Donovan Ng</t>
  </si>
  <si>
    <t>Michele Lau</t>
  </si>
  <si>
    <t>Vikneshwaran</t>
  </si>
  <si>
    <t>Survya Varma</t>
  </si>
  <si>
    <t>Jasper Cha</t>
  </si>
  <si>
    <t>Nicole Lim</t>
  </si>
  <si>
    <t>Hannah Wong</t>
  </si>
  <si>
    <t>Adithya Srinivasan</t>
  </si>
  <si>
    <t>Heidi Yu</t>
  </si>
  <si>
    <t>Ng Tze Jie</t>
  </si>
  <si>
    <t>Hannah Kwok</t>
  </si>
  <si>
    <t>Narissa Hakim</t>
  </si>
  <si>
    <t>Carissa Chan</t>
  </si>
  <si>
    <t>Teh Jing Xuan</t>
  </si>
  <si>
    <t>Chew Kuan Yang</t>
  </si>
  <si>
    <t>Koshni Ravi</t>
  </si>
  <si>
    <t>Magdeleine Chen</t>
  </si>
  <si>
    <t>Cheng Hsin Yue</t>
  </si>
  <si>
    <t>Muhamed Shamir</t>
  </si>
  <si>
    <t>Debbie Siew</t>
  </si>
  <si>
    <t>Pang Yong Ting</t>
  </si>
  <si>
    <t>Hii Kai Qi</t>
  </si>
  <si>
    <t>Imported</t>
  </si>
  <si>
    <t>Jasmine Sim</t>
  </si>
  <si>
    <t>Lee Wen Hui</t>
  </si>
  <si>
    <t>Kinjo Lumi</t>
  </si>
  <si>
    <t>Shaun Low</t>
  </si>
  <si>
    <t>Dana Chow</t>
  </si>
  <si>
    <t>Amelia Tan</t>
  </si>
  <si>
    <t>Emmanuelle Koh</t>
  </si>
  <si>
    <t>Ang Jin Li</t>
  </si>
  <si>
    <t>Thurs</t>
  </si>
  <si>
    <t>AUTO</t>
  </si>
  <si>
    <t>HL</t>
  </si>
  <si>
    <t>House Officers</t>
  </si>
  <si>
    <t>Last cycle</t>
  </si>
  <si>
    <t>Aarthi Santhanakrishnan</t>
  </si>
  <si>
    <t>Elizabeth Leong</t>
  </si>
  <si>
    <t>Isaac Lee</t>
  </si>
  <si>
    <t>Saw Lip Wei</t>
  </si>
  <si>
    <t>Ewen Lee</t>
  </si>
  <si>
    <t>Isac Tan</t>
  </si>
  <si>
    <t>Lim Jun Xiang</t>
  </si>
  <si>
    <t>Joel Mahadevan Malcolm</t>
  </si>
  <si>
    <t>Marcus Chua</t>
  </si>
  <si>
    <t>Gayathri Basker</t>
  </si>
  <si>
    <t>Choo Jing Xian</t>
  </si>
  <si>
    <t>Rayna Mak</t>
  </si>
  <si>
    <t>Linus Ang</t>
  </si>
  <si>
    <t>Esther Quay</t>
  </si>
  <si>
    <t>Julian Koh</t>
  </si>
  <si>
    <t>Maegan Ng</t>
  </si>
  <si>
    <t>Ruth Teo</t>
  </si>
  <si>
    <t>Ashley Ko</t>
  </si>
  <si>
    <t>Sabharwal Sachi</t>
  </si>
  <si>
    <t>Nicholas Teo</t>
  </si>
  <si>
    <t>Ashlee Tan</t>
  </si>
  <si>
    <t>Seah Jing Yan</t>
  </si>
  <si>
    <t>Elizabeth Chua</t>
  </si>
  <si>
    <t>Sophie Tay</t>
  </si>
  <si>
    <t>S/N</t>
  </si>
  <si>
    <t>PH?</t>
  </si>
  <si>
    <t>N</t>
  </si>
  <si>
    <t>Check</t>
  </si>
  <si>
    <t>Monday</t>
  </si>
  <si>
    <t>Tuesday</t>
  </si>
  <si>
    <t>Wednesday</t>
  </si>
  <si>
    <t>Thursday</t>
  </si>
  <si>
    <t>Friday</t>
  </si>
  <si>
    <t>Saturday</t>
  </si>
  <si>
    <t>Sunday</t>
  </si>
  <si>
    <t>Weekday</t>
  </si>
  <si>
    <t>Culmulative</t>
  </si>
  <si>
    <t># of calls</t>
  </si>
  <si>
    <t>Call points</t>
  </si>
  <si>
    <t>Weekends off</t>
  </si>
  <si>
    <t>Weekend rounds</t>
  </si>
  <si>
    <t>This cycle</t>
  </si>
  <si>
    <t>Calls</t>
  </si>
  <si>
    <t>Friday/Pre-PH</t>
  </si>
  <si>
    <t>Satuday/PH</t>
  </si>
  <si>
    <t xml:space="preserve"> </t>
  </si>
  <si>
    <t>Average points per call</t>
  </si>
  <si>
    <t>Pledge</t>
  </si>
  <si>
    <t>PO</t>
  </si>
  <si>
    <t>Debbie Sieu</t>
  </si>
  <si>
    <t>Autoblock</t>
  </si>
  <si>
    <t>WR4</t>
  </si>
  <si>
    <t>WR5</t>
  </si>
  <si>
    <t>HO6/S</t>
  </si>
  <si>
    <t>Calculated</t>
  </si>
  <si>
    <t>Previous month:</t>
  </si>
  <si>
    <t>H Value:</t>
  </si>
  <si>
    <t>V Value:</t>
  </si>
  <si>
    <t>End column:</t>
  </si>
  <si>
    <t>Y</t>
  </si>
  <si>
    <t>Natalie Chew</t>
  </si>
  <si>
    <t>Zachary Loh</t>
  </si>
  <si>
    <t>MC</t>
  </si>
  <si>
    <t>Glenda Wee</t>
  </si>
  <si>
    <t>Elizabeth Cheng</t>
  </si>
  <si>
    <t>Gerald Ng</t>
  </si>
  <si>
    <t>Nicholas Han</t>
  </si>
  <si>
    <t>Grace Cheng</t>
  </si>
  <si>
    <t>Lee Yixuan</t>
  </si>
  <si>
    <t>Lai Jun Ting</t>
  </si>
  <si>
    <t>Teo Kaye Min</t>
  </si>
  <si>
    <t>Ooi Ewe Ming</t>
  </si>
  <si>
    <t>Khe Jia Siang</t>
  </si>
  <si>
    <t>AB</t>
  </si>
  <si>
    <t>BCLS</t>
  </si>
  <si>
    <t>PM</t>
  </si>
  <si>
    <t>FCL</t>
  </si>
  <si>
    <t>WR*</t>
  </si>
  <si>
    <t>WR</t>
  </si>
  <si>
    <t>Call request</t>
  </si>
  <si>
    <t>Call block</t>
  </si>
  <si>
    <t>Weekend Rounder</t>
  </si>
  <si>
    <t>SB</t>
  </si>
  <si>
    <t>Post call</t>
  </si>
  <si>
    <t>Lavanya Rawat</t>
  </si>
  <si>
    <t>Shaiful Aslam</t>
  </si>
  <si>
    <t>Fong Yi Hern</t>
  </si>
  <si>
    <t>Ewe Zi Feng</t>
  </si>
  <si>
    <t>Ashley Chen</t>
  </si>
  <si>
    <t>Sarah Chen</t>
  </si>
  <si>
    <t>Ezra Eio</t>
  </si>
  <si>
    <t>Lim Jieyu</t>
  </si>
  <si>
    <t>Angeline Ong</t>
  </si>
  <si>
    <t>Chermaine Seah</t>
  </si>
  <si>
    <t>Lee Jia Wei</t>
  </si>
  <si>
    <t>Tasha Anna Leow</t>
  </si>
  <si>
    <t>Brendon Loo</t>
  </si>
  <si>
    <t>Tang Adelina</t>
  </si>
  <si>
    <t>Nicole Tong</t>
  </si>
  <si>
    <t>Goh Shyer Wern</t>
  </si>
  <si>
    <t>Timothy Lam</t>
  </si>
  <si>
    <t>Goh Jue Shao</t>
  </si>
  <si>
    <t>Joshua Seow</t>
  </si>
  <si>
    <t>Alison Wong</t>
  </si>
  <si>
    <t>Celest Chiam</t>
  </si>
  <si>
    <t>Yong Jie Ning</t>
  </si>
  <si>
    <t>Mi Jiajing</t>
  </si>
  <si>
    <t>Gillian Xu</t>
  </si>
  <si>
    <t>Lincoln Low</t>
  </si>
  <si>
    <t>LEAVE</t>
  </si>
  <si>
    <t>REQUEST</t>
  </si>
  <si>
    <t>BLOCK</t>
  </si>
  <si>
    <t>AL/Autoblock</t>
  </si>
  <si>
    <t>POSTCALL</t>
  </si>
  <si>
    <t>Pre-leave</t>
  </si>
  <si>
    <t>PRE-LEAVE</t>
  </si>
  <si>
    <t>Name</t>
  </si>
  <si>
    <t>Ward</t>
  </si>
  <si>
    <t>Call coverage</t>
  </si>
  <si>
    <t>Ward 31, 51, 65 (HD)</t>
  </si>
  <si>
    <t>Ward 46, 56, 85</t>
  </si>
  <si>
    <t>Ward 41, 66, 44</t>
  </si>
  <si>
    <t>Ward 62, 75, 76 (ONC)</t>
  </si>
  <si>
    <t>Ward 55, 85</t>
  </si>
  <si>
    <t>Ward 62, 66 (passive) on weekend until 1730H</t>
  </si>
  <si>
    <t>Saturday/PH</t>
  </si>
  <si>
    <t>Haaroon Silmi</t>
  </si>
  <si>
    <t>Month</t>
  </si>
  <si>
    <t>Team</t>
  </si>
  <si>
    <t>Blocked due to recent call</t>
  </si>
  <si>
    <t>Day of week</t>
  </si>
  <si>
    <t>DATE/DAY</t>
  </si>
  <si>
    <t>(46/56/85)</t>
  </si>
  <si>
    <t>(62/75/76)</t>
  </si>
  <si>
    <t>Subspec</t>
  </si>
  <si>
    <t>MO1</t>
  </si>
  <si>
    <t>MO2</t>
  </si>
  <si>
    <t>MO3</t>
  </si>
  <si>
    <t>MO4</t>
  </si>
  <si>
    <t>MO5</t>
  </si>
  <si>
    <t>MO6</t>
  </si>
  <si>
    <t>Assign to Team (if possible)</t>
  </si>
  <si>
    <t xml:space="preserve">MO1 </t>
  </si>
  <si>
    <t>A / E</t>
  </si>
  <si>
    <t>31/51/65 + 55 (weekdays)</t>
  </si>
  <si>
    <t>46/56/ 85</t>
  </si>
  <si>
    <t>C / D</t>
  </si>
  <si>
    <t>41/66 / 44 + 86 (weekdays)</t>
  </si>
  <si>
    <t>D</t>
  </si>
  <si>
    <t>62/75/76 + 56</t>
  </si>
  <si>
    <t>ANY</t>
  </si>
  <si>
    <t>55 /86 (full day on weekends)</t>
  </si>
  <si>
    <t>MO 6</t>
  </si>
  <si>
    <t>-</t>
  </si>
  <si>
    <t>CICU</t>
  </si>
  <si>
    <t>Subspec limitation</t>
  </si>
  <si>
    <t>RECENTCALL</t>
  </si>
  <si>
    <t>SUBSPEC</t>
  </si>
  <si>
    <t>COURSE</t>
  </si>
  <si>
    <t>Leave or valid autoblock</t>
  </si>
  <si>
    <t>Subspec blocks</t>
  </si>
  <si>
    <t>Renal no post call tues &amp; thurs (grand rounds), VPC on 1st wed of the month</t>
  </si>
  <si>
    <t>Allergy no post call Mon/ thurs, Mon grand rounds, Thurs PM clinic</t>
  </si>
  <si>
    <t>ID no post call thurs(GWR) and fri(PM clinic)</t>
  </si>
  <si>
    <t>Cardio no post call Tuesday and Friday</t>
  </si>
  <si>
    <t>Gastro: IBD clinic 2nd Thurs, Liver clinic 4th Thurs</t>
  </si>
  <si>
    <t>Neuro no post call tues and wed (PM clinics), Fri grand round</t>
  </si>
  <si>
    <t>Rheum no post call tues, wed, fri</t>
  </si>
  <si>
    <t>Respi no post call tues and wed; Thurs grand rounds</t>
  </si>
  <si>
    <t>Ensure that same ward MOs are not all post call on same day</t>
  </si>
  <si>
    <t>Haem/Onco MO no post call Wednesday; +/- Thurs haem teaching</t>
  </si>
  <si>
    <t>Endocrine - Mon teaching clinic, Thurs PM clinic (if possible)</t>
  </si>
  <si>
    <t>ADME - Mon Tues non compulsory clinics</t>
  </si>
  <si>
    <t>DCD maximum of 2 post-call days on weekdays</t>
  </si>
  <si>
    <t>Ambu not more than 3 days post call weekday</t>
  </si>
  <si>
    <t>Electives no post call weekdays (PAN), if internal up to 1-2 weekdays</t>
  </si>
  <si>
    <t>TAG1/2/3</t>
  </si>
  <si>
    <t>Tag to MO1/2/3</t>
  </si>
  <si>
    <t>MEDICAL OFFICERS</t>
  </si>
  <si>
    <t>(31/51/65 + 55 Mon - Fri)</t>
  </si>
  <si>
    <t>(41/44/66 + 86 Mon - Fri)</t>
  </si>
  <si>
    <t>(55/86 Sat-Sun)</t>
  </si>
  <si>
    <t>(CICU)</t>
  </si>
  <si>
    <t>(Weekend Rounder)</t>
  </si>
  <si>
    <t>(Standby)</t>
  </si>
  <si>
    <t>Month-1</t>
  </si>
  <si>
    <t>Cumulative</t>
  </si>
  <si>
    <t>Call points last month</t>
  </si>
  <si>
    <t>Total call points</t>
  </si>
  <si>
    <t>Total # of calls</t>
  </si>
  <si>
    <t>Total months</t>
  </si>
  <si>
    <t>Avg. points per month</t>
  </si>
  <si>
    <t>This day is blocked for course (course may be day itself or day of)</t>
  </si>
  <si>
    <t>EligibleShifts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</si>
</sst>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Segoe UI"/>
      <family val="2"/>
    </font>
    <font>
      <sz val="11"/>
      <color theme="0"/>
      <name val="Segoe UI"/>
      <family val="2"/>
    </font>
    <font>
      <sz val="11"/>
      <color theme="2" tint="-0.249977111117893"/>
      <name val="Segoe UI"/>
      <family val="2"/>
    </font>
    <font>
      <sz val="11"/>
      <name val="Segoe UI"/>
      <family val="2"/>
    </font>
    <font>
      <sz val="11"/>
      <color theme="6"/>
      <name val="Segoe UI"/>
      <family val="2"/>
    </font>
    <font>
      <b/>
      <sz val="11"/>
      <color theme="0"/>
      <name val="Segoe UI"/>
      <family val="2"/>
    </font>
    <font>
      <b/>
      <sz val="11"/>
      <name val="Segoe UI"/>
      <family val="2"/>
    </font>
    <font>
      <b/>
      <sz val="11"/>
      <color theme="1"/>
      <name val="Segoe UI"/>
      <family val="2"/>
    </font>
    <font>
      <sz val="11"/>
      <color rgb="FFFF0000"/>
      <name val="Segoe UI"/>
      <family val="2"/>
    </font>
    <font>
      <sz val="11"/>
      <name val="Segoe UI"/>
      <family val="2"/>
      <charset val="1"/>
    </font>
    <font>
      <sz val="11"/>
      <color rgb="FF000000"/>
      <name val="Segoe UI"/>
      <family val="2"/>
      <charset val="1"/>
    </font>
    <font>
      <sz val="11"/>
      <color rgb="FF00B0F0"/>
      <name val="Segoe UI"/>
      <family val="2"/>
    </font>
    <font>
      <b/>
      <sz val="11"/>
      <color rgb="FF000000"/>
      <name val="Segoe UI"/>
      <family val="2"/>
      <charset val="1"/>
    </font>
    <font>
      <sz val="11"/>
      <color rgb="FFC00000"/>
      <name val="Segoe UI"/>
      <family val="2"/>
    </font>
    <font>
      <sz val="11"/>
      <color rgb="FF0070C0"/>
      <name val="Segoe UI"/>
      <family val="2"/>
    </font>
    <font>
      <sz val="11"/>
      <color theme="0" tint="-0.34998626667073579"/>
      <name val="Segoe U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color rgb="FFC0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6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B5FFF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4" tint="0.59999389629810485"/>
        <bgColor rgb="FFD9E2F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theme="4"/>
      </patternFill>
    </fill>
    <fill>
      <patternFill patternType="solid">
        <fgColor rgb="FFBDBAEF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E2F3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5" tint="0.79998168889431442"/>
        <bgColor rgb="FFD9E2F3"/>
      </patternFill>
    </fill>
    <fill>
      <patternFill patternType="solid">
        <fgColor theme="7" tint="0.79998168889431442"/>
        <bgColor rgb="FFFEF2CB"/>
      </patternFill>
    </fill>
    <fill>
      <patternFill patternType="solid">
        <fgColor theme="7" tint="0.79998168889431442"/>
        <bgColor rgb="FFD9E2F3"/>
      </patternFill>
    </fill>
    <fill>
      <patternFill patternType="solid">
        <fgColor rgb="FFC6EFCE"/>
        <bgColor indexed="64"/>
      </patternFill>
    </fill>
    <fill>
      <patternFill patternType="solid">
        <fgColor rgb="FFFBDCF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 tint="0.79998168889431442"/>
        <bgColor rgb="FFFEF2CB"/>
      </patternFill>
    </fill>
    <fill>
      <patternFill patternType="solid">
        <fgColor rgb="FFBDBAEF"/>
        <bgColor rgb="FFFEF2CB"/>
      </patternFill>
    </fill>
    <fill>
      <patternFill patternType="solid">
        <fgColor rgb="FFBDBAEF"/>
        <bgColor rgb="FFD9E2F3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CE4D6"/>
        <bgColor rgb="FFFEF2CB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4472C4"/>
      </patternFill>
    </fill>
    <fill>
      <patternFill patternType="solid">
        <fgColor rgb="FFABF1E7"/>
        <bgColor rgb="FF000000"/>
      </patternFill>
    </fill>
    <fill>
      <patternFill patternType="solid">
        <fgColor rgb="FF521B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883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rgb="FFC8E6C9"/>
      </patternFill>
    </fill>
    <fill>
      <patternFill patternType="solid">
        <fgColor rgb="FFFFCDD2"/>
        <bgColor rgb="FFFFCDD2"/>
      </patternFill>
    </fill>
    <fill>
      <patternFill patternType="solid">
        <fgColor theme="2" tint="-9.9978637043366805E-2"/>
        <bgColor rgb="FF404040"/>
      </patternFill>
    </fill>
    <fill>
      <patternFill patternType="solid">
        <fgColor rgb="FFBDBAEF"/>
        <bgColor indexed="64"/>
      </patternFill>
    </fill>
    <fill>
      <patternFill patternType="solid">
        <fgColor theme="2"/>
        <bgColor rgb="FF404040"/>
      </patternFill>
    </fill>
    <fill>
      <patternFill patternType="solid">
        <fgColor theme="2" tint="-0.249977111117893"/>
        <bgColor rgb="FFC0C0C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9D7F8"/>
        <bgColor rgb="FF404040"/>
      </patternFill>
    </fill>
    <fill>
      <patternFill patternType="solid">
        <fgColor rgb="FFE1BEE7"/>
        <bgColor rgb="FF404040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rgb="FF8EAADB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0" fontId="4" fillId="0" borderId="0"/>
    <xf numFmtId="0" fontId="3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</cellStyleXfs>
  <cellXfs count="425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15" fontId="0" fillId="0" borderId="0" xfId="0" applyNumberFormat="1" applyAlignment="1">
      <alignment horizontal="center" vertical="center"/>
    </xf>
    <xf numFmtId="0" fontId="0" fillId="19" borderId="2" xfId="0" applyFill="1" applyBorder="1" applyAlignment="1">
      <alignment horizontal="left" vertical="center"/>
    </xf>
    <xf numFmtId="0" fontId="21" fillId="19" borderId="2" xfId="0" applyFont="1" applyFill="1" applyBorder="1" applyAlignment="1">
      <alignment horizontal="left" vertical="center"/>
    </xf>
    <xf numFmtId="0" fontId="0" fillId="45" borderId="2" xfId="0" applyFill="1" applyBorder="1" applyAlignment="1">
      <alignment horizontal="left" vertical="center"/>
    </xf>
    <xf numFmtId="0" fontId="21" fillId="45" borderId="2" xfId="0" applyFont="1" applyFill="1" applyBorder="1" applyAlignment="1">
      <alignment horizontal="left" vertical="center"/>
    </xf>
    <xf numFmtId="0" fontId="21" fillId="5" borderId="2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21" fillId="16" borderId="2" xfId="0" applyFont="1" applyFill="1" applyBorder="1" applyAlignment="1">
      <alignment horizontal="left" vertical="center"/>
    </xf>
    <xf numFmtId="0" fontId="0" fillId="16" borderId="2" xfId="0" applyFill="1" applyBorder="1" applyAlignment="1">
      <alignment horizontal="left" vertical="center"/>
    </xf>
    <xf numFmtId="0" fontId="21" fillId="46" borderId="2" xfId="0" applyFont="1" applyFill="1" applyBorder="1" applyAlignment="1">
      <alignment horizontal="left" vertical="center"/>
    </xf>
    <xf numFmtId="0" fontId="0" fillId="47" borderId="2" xfId="0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1" fillId="39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1" fillId="39" borderId="25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48" borderId="38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48" borderId="39" xfId="0" applyFill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15" fontId="0" fillId="0" borderId="23" xfId="0" applyNumberFormat="1" applyBorder="1" applyAlignment="1">
      <alignment horizontal="center" vertical="center"/>
    </xf>
    <xf numFmtId="15" fontId="0" fillId="0" borderId="24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48" borderId="37" xfId="0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19" borderId="23" xfId="0" applyFill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17" borderId="23" xfId="0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0" fillId="17" borderId="25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21" fillId="46" borderId="26" xfId="0" applyFont="1" applyFill="1" applyBorder="1" applyAlignment="1">
      <alignment horizontal="left" vertical="center"/>
    </xf>
    <xf numFmtId="0" fontId="0" fillId="5" borderId="26" xfId="0" applyFill="1" applyBorder="1" applyAlignment="1">
      <alignment horizontal="center" vertical="center"/>
    </xf>
    <xf numFmtId="0" fontId="0" fillId="47" borderId="26" xfId="0" applyFill="1" applyBorder="1" applyAlignment="1">
      <alignment horizontal="center" vertical="center"/>
    </xf>
    <xf numFmtId="0" fontId="0" fillId="17" borderId="26" xfId="0" applyFill="1" applyBorder="1" applyAlignment="1">
      <alignment horizontal="center" vertical="center"/>
    </xf>
    <xf numFmtId="15" fontId="0" fillId="0" borderId="37" xfId="0" applyNumberFormat="1" applyBorder="1" applyAlignment="1">
      <alignment horizontal="center" vertical="center"/>
    </xf>
    <xf numFmtId="15" fontId="0" fillId="0" borderId="38" xfId="0" applyNumberForma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48" borderId="42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19" borderId="24" xfId="0" applyFill="1" applyBorder="1" applyAlignment="1">
      <alignment horizontal="left" vertical="center"/>
    </xf>
    <xf numFmtId="0" fontId="0" fillId="19" borderId="25" xfId="0" applyFill="1" applyBorder="1" applyAlignment="1">
      <alignment horizontal="left" vertical="center"/>
    </xf>
    <xf numFmtId="0" fontId="0" fillId="45" borderId="25" xfId="0" applyFill="1" applyBorder="1" applyAlignment="1">
      <alignment horizontal="left" vertical="center"/>
    </xf>
    <xf numFmtId="0" fontId="0" fillId="5" borderId="25" xfId="0" applyFill="1" applyBorder="1" applyAlignment="1">
      <alignment horizontal="left" vertical="center"/>
    </xf>
    <xf numFmtId="0" fontId="0" fillId="16" borderId="25" xfId="0" applyFill="1" applyBorder="1" applyAlignment="1">
      <alignment horizontal="left" vertical="center"/>
    </xf>
    <xf numFmtId="0" fontId="0" fillId="46" borderId="25" xfId="0" applyFill="1" applyBorder="1" applyAlignment="1">
      <alignment horizontal="left" vertical="center"/>
    </xf>
    <xf numFmtId="0" fontId="0" fillId="46" borderId="27" xfId="0" applyFill="1" applyBorder="1" applyAlignment="1">
      <alignment horizontal="left" vertical="center"/>
    </xf>
    <xf numFmtId="0" fontId="0" fillId="47" borderId="10" xfId="0" applyFill="1" applyBorder="1" applyAlignment="1">
      <alignment horizontal="center" vertical="center"/>
    </xf>
    <xf numFmtId="0" fontId="0" fillId="17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5" fontId="0" fillId="0" borderId="43" xfId="0" applyNumberForma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7" fillId="17" borderId="11" xfId="1" applyFont="1" applyFill="1" applyBorder="1" applyAlignment="1">
      <alignment vertical="center"/>
    </xf>
    <xf numFmtId="0" fontId="8" fillId="2" borderId="1" xfId="1" applyFont="1" applyFill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0" borderId="1" xfId="1" applyFont="1" applyBorder="1" applyAlignment="1">
      <alignment horizontal="center" vertical="center"/>
    </xf>
    <xf numFmtId="0" fontId="8" fillId="34" borderId="1" xfId="1" applyFont="1" applyFill="1" applyBorder="1" applyAlignment="1">
      <alignment horizontal="center" vertical="center"/>
    </xf>
    <xf numFmtId="16" fontId="9" fillId="0" borderId="2" xfId="1" applyNumberFormat="1" applyFont="1" applyBorder="1" applyAlignment="1">
      <alignment horizontal="center" vertical="center"/>
    </xf>
    <xf numFmtId="16" fontId="10" fillId="4" borderId="7" xfId="1" applyNumberFormat="1" applyFont="1" applyFill="1" applyBorder="1" applyAlignment="1">
      <alignment horizontal="center" vertical="center"/>
    </xf>
    <xf numFmtId="0" fontId="10" fillId="4" borderId="7" xfId="0" applyFont="1" applyFill="1" applyBorder="1"/>
    <xf numFmtId="0" fontId="8" fillId="33" borderId="2" xfId="1" applyFont="1" applyFill="1" applyBorder="1" applyAlignment="1">
      <alignment horizontal="center" vertical="center"/>
    </xf>
    <xf numFmtId="0" fontId="8" fillId="14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5" fillId="5" borderId="7" xfId="0" applyFont="1" applyFill="1" applyBorder="1"/>
    <xf numFmtId="0" fontId="5" fillId="18" borderId="2" xfId="0" applyFont="1" applyFill="1" applyBorder="1" applyAlignment="1">
      <alignment vertical="center"/>
    </xf>
    <xf numFmtId="0" fontId="5" fillId="8" borderId="7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34" borderId="2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12" borderId="14" xfId="0" applyFont="1" applyFill="1" applyBorder="1" applyAlignment="1">
      <alignment horizontal="center" vertical="center"/>
    </xf>
    <xf numFmtId="0" fontId="11" fillId="10" borderId="13" xfId="0" applyFont="1" applyFill="1" applyBorder="1" applyAlignment="1">
      <alignment horizontal="center" vertical="center"/>
    </xf>
    <xf numFmtId="0" fontId="12" fillId="10" borderId="13" xfId="0" applyFont="1" applyFill="1" applyBorder="1" applyAlignment="1">
      <alignment horizontal="center" vertical="center"/>
    </xf>
    <xf numFmtId="2" fontId="12" fillId="10" borderId="13" xfId="0" applyNumberFormat="1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3" borderId="2" xfId="0" applyFont="1" applyFill="1" applyBorder="1"/>
    <xf numFmtId="0" fontId="12" fillId="5" borderId="7" xfId="0" applyFont="1" applyFill="1" applyBorder="1"/>
    <xf numFmtId="0" fontId="5" fillId="19" borderId="2" xfId="0" applyFont="1" applyFill="1" applyBorder="1"/>
    <xf numFmtId="0" fontId="5" fillId="20" borderId="7" xfId="0" applyFont="1" applyFill="1" applyBorder="1" applyAlignment="1">
      <alignment horizontal="center"/>
    </xf>
    <xf numFmtId="0" fontId="5" fillId="8" borderId="7" xfId="0" applyFont="1" applyFill="1" applyBorder="1"/>
    <xf numFmtId="0" fontId="5" fillId="0" borderId="2" xfId="0" applyFont="1" applyBorder="1"/>
    <xf numFmtId="0" fontId="13" fillId="34" borderId="2" xfId="0" applyFont="1" applyFill="1" applyBorder="1" applyAlignment="1">
      <alignment horizontal="center" vertical="center"/>
    </xf>
    <xf numFmtId="0" fontId="5" fillId="18" borderId="17" xfId="0" applyFont="1" applyFill="1" applyBorder="1" applyAlignment="1">
      <alignment vertical="center"/>
    </xf>
    <xf numFmtId="0" fontId="5" fillId="21" borderId="7" xfId="0" applyFont="1" applyFill="1" applyBorder="1"/>
    <xf numFmtId="0" fontId="5" fillId="20" borderId="7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12" fillId="34" borderId="2" xfId="0" applyFont="1" applyFill="1" applyBorder="1" applyAlignment="1">
      <alignment horizontal="center" vertical="center"/>
    </xf>
    <xf numFmtId="0" fontId="12" fillId="34" borderId="2" xfId="0" applyFont="1" applyFill="1" applyBorder="1"/>
    <xf numFmtId="0" fontId="12" fillId="9" borderId="10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12" fillId="9" borderId="0" xfId="0" applyFont="1" applyFill="1"/>
    <xf numFmtId="0" fontId="5" fillId="11" borderId="7" xfId="0" applyFont="1" applyFill="1" applyBorder="1"/>
    <xf numFmtId="0" fontId="5" fillId="30" borderId="17" xfId="0" applyFont="1" applyFill="1" applyBorder="1" applyAlignment="1">
      <alignment vertical="center"/>
    </xf>
    <xf numFmtId="0" fontId="5" fillId="21" borderId="7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5" fillId="16" borderId="2" xfId="0" applyFont="1" applyFill="1" applyBorder="1"/>
    <xf numFmtId="0" fontId="5" fillId="16" borderId="2" xfId="0" applyFont="1" applyFill="1" applyBorder="1" applyAlignment="1">
      <alignment horizontal="center"/>
    </xf>
    <xf numFmtId="0" fontId="5" fillId="22" borderId="17" xfId="0" applyFont="1" applyFill="1" applyBorder="1" applyAlignment="1">
      <alignment vertical="center"/>
    </xf>
    <xf numFmtId="0" fontId="5" fillId="23" borderId="7" xfId="0" applyFont="1" applyFill="1" applyBorder="1" applyAlignment="1">
      <alignment horizontal="center"/>
    </xf>
    <xf numFmtId="0" fontId="12" fillId="19" borderId="7" xfId="0" applyFont="1" applyFill="1" applyBorder="1"/>
    <xf numFmtId="0" fontId="12" fillId="21" borderId="7" xfId="0" applyFont="1" applyFill="1" applyBorder="1"/>
    <xf numFmtId="0" fontId="5" fillId="11" borderId="17" xfId="0" applyFont="1" applyFill="1" applyBorder="1" applyAlignment="1">
      <alignment horizontal="center"/>
    </xf>
    <xf numFmtId="0" fontId="5" fillId="24" borderId="17" xfId="0" applyFont="1" applyFill="1" applyBorder="1" applyAlignment="1">
      <alignment vertical="center"/>
    </xf>
    <xf numFmtId="0" fontId="5" fillId="19" borderId="7" xfId="0" applyFont="1" applyFill="1" applyBorder="1"/>
    <xf numFmtId="0" fontId="12" fillId="19" borderId="2" xfId="0" applyFont="1" applyFill="1" applyBorder="1"/>
    <xf numFmtId="0" fontId="12" fillId="11" borderId="7" xfId="0" applyFont="1" applyFill="1" applyBorder="1"/>
    <xf numFmtId="0" fontId="5" fillId="25" borderId="17" xfId="0" applyFont="1" applyFill="1" applyBorder="1" applyAlignment="1">
      <alignment horizontal="center"/>
    </xf>
    <xf numFmtId="0" fontId="12" fillId="8" borderId="7" xfId="0" applyFont="1" applyFill="1" applyBorder="1"/>
    <xf numFmtId="0" fontId="5" fillId="31" borderId="17" xfId="0" applyFont="1" applyFill="1" applyBorder="1" applyAlignment="1">
      <alignment vertical="center"/>
    </xf>
    <xf numFmtId="0" fontId="12" fillId="15" borderId="7" xfId="0" applyFont="1" applyFill="1" applyBorder="1"/>
    <xf numFmtId="0" fontId="12" fillId="12" borderId="1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5" fillId="26" borderId="0" xfId="0" applyFont="1" applyFill="1" applyAlignment="1">
      <alignment horizontal="center"/>
    </xf>
    <xf numFmtId="49" fontId="8" fillId="0" borderId="0" xfId="3" applyNumberFormat="1" applyFont="1" applyAlignment="1">
      <alignment vertical="center"/>
    </xf>
    <xf numFmtId="0" fontId="5" fillId="27" borderId="0" xfId="0" applyFont="1" applyFill="1"/>
    <xf numFmtId="0" fontId="6" fillId="0" borderId="0" xfId="0" applyFont="1"/>
    <xf numFmtId="0" fontId="5" fillId="28" borderId="0" xfId="0" applyFont="1" applyFill="1"/>
    <xf numFmtId="0" fontId="5" fillId="29" borderId="0" xfId="0" applyFont="1" applyFill="1"/>
    <xf numFmtId="0" fontId="12" fillId="7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/>
    <xf numFmtId="49" fontId="10" fillId="0" borderId="0" xfId="3" applyNumberFormat="1" applyFont="1" applyAlignment="1">
      <alignment vertical="center"/>
    </xf>
    <xf numFmtId="0" fontId="10" fillId="4" borderId="13" xfId="0" applyFont="1" applyFill="1" applyBorder="1"/>
    <xf numFmtId="49" fontId="10" fillId="4" borderId="16" xfId="3" applyNumberFormat="1" applyFont="1" applyFill="1" applyBorder="1" applyAlignment="1">
      <alignment vertical="center"/>
    </xf>
    <xf numFmtId="0" fontId="5" fillId="6" borderId="13" xfId="0" applyFont="1" applyFill="1" applyBorder="1"/>
    <xf numFmtId="0" fontId="5" fillId="6" borderId="16" xfId="0" applyFont="1" applyFill="1" applyBorder="1"/>
    <xf numFmtId="0" fontId="5" fillId="0" borderId="13" xfId="0" applyFont="1" applyBorder="1"/>
    <xf numFmtId="0" fontId="5" fillId="0" borderId="16" xfId="0" applyFont="1" applyBorder="1"/>
    <xf numFmtId="0" fontId="5" fillId="0" borderId="16" xfId="0" applyFont="1" applyBorder="1" applyAlignment="1">
      <alignment wrapText="1"/>
    </xf>
    <xf numFmtId="0" fontId="5" fillId="6" borderId="16" xfId="0" applyFont="1" applyFill="1" applyBorder="1" applyAlignment="1">
      <alignment wrapText="1"/>
    </xf>
    <xf numFmtId="0" fontId="5" fillId="6" borderId="18" xfId="0" applyFont="1" applyFill="1" applyBorder="1"/>
    <xf numFmtId="0" fontId="5" fillId="6" borderId="19" xfId="0" applyFont="1" applyFill="1" applyBorder="1" applyAlignment="1">
      <alignment wrapText="1"/>
    </xf>
    <xf numFmtId="0" fontId="10" fillId="36" borderId="13" xfId="0" applyFont="1" applyFill="1" applyBorder="1" applyAlignment="1">
      <alignment horizontal="center" vertical="center" wrapText="1"/>
    </xf>
    <xf numFmtId="0" fontId="10" fillId="36" borderId="12" xfId="0" applyFont="1" applyFill="1" applyBorder="1" applyAlignment="1">
      <alignment horizontal="center" vertical="center" wrapText="1"/>
    </xf>
    <xf numFmtId="0" fontId="12" fillId="15" borderId="0" xfId="0" applyFont="1" applyFill="1"/>
    <xf numFmtId="0" fontId="12" fillId="10" borderId="20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5" fillId="17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5" borderId="2" xfId="0" applyFont="1" applyFill="1" applyBorder="1" applyAlignment="1">
      <alignment horizontal="center"/>
    </xf>
    <xf numFmtId="0" fontId="8" fillId="17" borderId="2" xfId="0" applyFont="1" applyFill="1" applyBorder="1" applyAlignment="1">
      <alignment horizontal="center"/>
    </xf>
    <xf numFmtId="0" fontId="8" fillId="37" borderId="2" xfId="0" applyFont="1" applyFill="1" applyBorder="1" applyAlignment="1">
      <alignment horizontal="center"/>
    </xf>
    <xf numFmtId="0" fontId="12" fillId="0" borderId="13" xfId="0" applyFont="1" applyBorder="1" applyAlignment="1">
      <alignment horizontal="center" vertical="center"/>
    </xf>
    <xf numFmtId="0" fontId="0" fillId="19" borderId="0" xfId="0" applyFill="1" applyAlignment="1">
      <alignment horizontal="center"/>
    </xf>
    <xf numFmtId="0" fontId="5" fillId="39" borderId="0" xfId="0" applyFont="1" applyFill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4" fillId="40" borderId="2" xfId="0" applyFont="1" applyFill="1" applyBorder="1" applyAlignment="1">
      <alignment horizontal="center" vertical="center"/>
    </xf>
    <xf numFmtId="0" fontId="6" fillId="0" borderId="2" xfId="0" applyFont="1" applyBorder="1"/>
    <xf numFmtId="0" fontId="0" fillId="0" borderId="0" xfId="0" applyAlignment="1">
      <alignment horizontal="center"/>
    </xf>
    <xf numFmtId="0" fontId="17" fillId="41" borderId="2" xfId="0" applyFont="1" applyFill="1" applyBorder="1" applyAlignment="1">
      <alignment horizontal="center"/>
    </xf>
    <xf numFmtId="0" fontId="5" fillId="42" borderId="2" xfId="0" applyFont="1" applyFill="1" applyBorder="1" applyAlignment="1">
      <alignment horizontal="center"/>
    </xf>
    <xf numFmtId="0" fontId="19" fillId="0" borderId="0" xfId="0" applyFont="1"/>
    <xf numFmtId="0" fontId="18" fillId="0" borderId="0" xfId="0" applyFont="1"/>
    <xf numFmtId="0" fontId="5" fillId="38" borderId="17" xfId="0" applyFont="1" applyFill="1" applyBorder="1" applyAlignment="1">
      <alignment vertical="center"/>
    </xf>
    <xf numFmtId="0" fontId="5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16" fontId="20" fillId="0" borderId="0" xfId="0" applyNumberFormat="1" applyFont="1"/>
    <xf numFmtId="0" fontId="17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5" fillId="43" borderId="2" xfId="0" applyFont="1" applyFill="1" applyBorder="1" applyAlignment="1">
      <alignment horizontal="center"/>
    </xf>
    <xf numFmtId="0" fontId="5" fillId="43" borderId="0" xfId="0" applyFont="1" applyFill="1" applyAlignment="1">
      <alignment horizontal="center"/>
    </xf>
    <xf numFmtId="0" fontId="13" fillId="43" borderId="2" xfId="0" applyFont="1" applyFill="1" applyBorder="1" applyAlignment="1">
      <alignment horizontal="center"/>
    </xf>
    <xf numFmtId="0" fontId="5" fillId="43" borderId="2" xfId="0" applyFont="1" applyFill="1" applyBorder="1"/>
    <xf numFmtId="0" fontId="5" fillId="43" borderId="0" xfId="0" applyFont="1" applyFill="1" applyAlignment="1">
      <alignment horizontal="center" vertical="center"/>
    </xf>
    <xf numFmtId="0" fontId="12" fillId="43" borderId="2" xfId="0" applyFont="1" applyFill="1" applyBorder="1" applyAlignment="1">
      <alignment horizontal="center"/>
    </xf>
    <xf numFmtId="0" fontId="0" fillId="43" borderId="0" xfId="0" applyFill="1" applyAlignment="1">
      <alignment horizontal="center"/>
    </xf>
    <xf numFmtId="0" fontId="17" fillId="43" borderId="2" xfId="0" applyFont="1" applyFill="1" applyBorder="1" applyAlignment="1">
      <alignment horizontal="center"/>
    </xf>
    <xf numFmtId="0" fontId="6" fillId="43" borderId="2" xfId="0" applyFont="1" applyFill="1" applyBorder="1"/>
    <xf numFmtId="0" fontId="5" fillId="32" borderId="6" xfId="0" applyFont="1" applyFill="1" applyBorder="1" applyAlignment="1">
      <alignment horizontal="center"/>
    </xf>
    <xf numFmtId="0" fontId="5" fillId="15" borderId="6" xfId="0" applyFont="1" applyFill="1" applyBorder="1" applyAlignment="1">
      <alignment horizontal="center"/>
    </xf>
    <xf numFmtId="0" fontId="25" fillId="44" borderId="2" xfId="0" applyFont="1" applyFill="1" applyBorder="1" applyAlignment="1">
      <alignment horizontal="center"/>
    </xf>
    <xf numFmtId="0" fontId="15" fillId="44" borderId="2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5" fillId="25" borderId="7" xfId="0" applyFont="1" applyFill="1" applyBorder="1" applyAlignment="1">
      <alignment horizontal="center" vertical="center"/>
    </xf>
    <xf numFmtId="0" fontId="5" fillId="20" borderId="17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26" fillId="17" borderId="2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7" fontId="0" fillId="0" borderId="0" xfId="0" applyNumberFormat="1" applyAlignment="1">
      <alignment horizontal="left" vertical="center"/>
    </xf>
    <xf numFmtId="17" fontId="27" fillId="0" borderId="0" xfId="0" applyNumberFormat="1" applyFont="1" applyAlignment="1">
      <alignment horizontal="left" vertical="center"/>
    </xf>
    <xf numFmtId="0" fontId="23" fillId="39" borderId="0" xfId="0" applyFont="1" applyFill="1" applyAlignment="1">
      <alignment horizontal="left" vertical="center"/>
    </xf>
    <xf numFmtId="0" fontId="0" fillId="34" borderId="0" xfId="0" applyFill="1" applyAlignment="1">
      <alignment horizontal="center" vertical="center"/>
    </xf>
    <xf numFmtId="15" fontId="23" fillId="39" borderId="3" xfId="0" applyNumberFormat="1" applyFont="1" applyFill="1" applyBorder="1" applyAlignment="1">
      <alignment horizontal="center" vertical="center"/>
    </xf>
    <xf numFmtId="0" fontId="23" fillId="39" borderId="0" xfId="0" applyFont="1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0" fillId="46" borderId="2" xfId="0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46" borderId="33" xfId="0" applyFill="1" applyBorder="1" applyAlignment="1">
      <alignment horizontal="left" vertical="center"/>
    </xf>
    <xf numFmtId="0" fontId="0" fillId="34" borderId="26" xfId="0" applyFill="1" applyBorder="1" applyAlignment="1">
      <alignment horizontal="left" vertical="center"/>
    </xf>
    <xf numFmtId="0" fontId="0" fillId="50" borderId="0" xfId="0" applyFill="1" applyAlignment="1">
      <alignment horizontal="center" vertical="center"/>
    </xf>
    <xf numFmtId="0" fontId="0" fillId="43" borderId="38" xfId="0" applyFill="1" applyBorder="1" applyAlignment="1">
      <alignment horizontal="center" vertical="center"/>
    </xf>
    <xf numFmtId="15" fontId="23" fillId="39" borderId="45" xfId="0" applyNumberFormat="1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0" fillId="43" borderId="39" xfId="0" applyFill="1" applyBorder="1" applyAlignment="1">
      <alignment horizontal="center" vertical="center"/>
    </xf>
    <xf numFmtId="0" fontId="0" fillId="19" borderId="47" xfId="0" applyFill="1" applyBorder="1" applyAlignment="1">
      <alignment horizontal="left" vertical="center"/>
    </xf>
    <xf numFmtId="0" fontId="0" fillId="19" borderId="6" xfId="0" applyFill="1" applyBorder="1" applyAlignment="1">
      <alignment horizontal="left" vertical="center"/>
    </xf>
    <xf numFmtId="0" fontId="0" fillId="45" borderId="6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0" fillId="16" borderId="6" xfId="0" applyFill="1" applyBorder="1" applyAlignment="1">
      <alignment horizontal="left" vertical="center"/>
    </xf>
    <xf numFmtId="0" fontId="0" fillId="46" borderId="6" xfId="0" applyFill="1" applyBorder="1" applyAlignment="1">
      <alignment horizontal="left" vertical="center"/>
    </xf>
    <xf numFmtId="0" fontId="0" fillId="46" borderId="7" xfId="0" applyFill="1" applyBorder="1" applyAlignment="1">
      <alignment horizontal="left" vertical="center"/>
    </xf>
    <xf numFmtId="0" fontId="0" fillId="34" borderId="48" xfId="0" applyFill="1" applyBorder="1" applyAlignment="1">
      <alignment horizontal="left" vertical="center"/>
    </xf>
    <xf numFmtId="0" fontId="0" fillId="0" borderId="49" xfId="0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47" borderId="2" xfId="0" applyFont="1" applyFill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0" fillId="46" borderId="26" xfId="0" applyFill="1" applyBorder="1" applyAlignment="1">
      <alignment horizontal="left" vertical="center"/>
    </xf>
    <xf numFmtId="0" fontId="0" fillId="46" borderId="48" xfId="0" applyFill="1" applyBorder="1" applyAlignment="1">
      <alignment horizontal="left" vertical="center"/>
    </xf>
    <xf numFmtId="0" fontId="24" fillId="0" borderId="38" xfId="0" applyFont="1" applyBorder="1" applyAlignment="1">
      <alignment horizontal="left" vertical="center"/>
    </xf>
    <xf numFmtId="0" fontId="0" fillId="9" borderId="33" xfId="0" applyFill="1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9" borderId="9" xfId="0" applyFill="1" applyBorder="1" applyAlignment="1">
      <alignment horizontal="center" vertical="center"/>
    </xf>
    <xf numFmtId="15" fontId="0" fillId="0" borderId="47" xfId="0" applyNumberFormat="1" applyBorder="1" applyAlignment="1">
      <alignment horizontal="center" vertical="center"/>
    </xf>
    <xf numFmtId="0" fontId="0" fillId="5" borderId="5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48" xfId="0" applyFill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0" fillId="47" borderId="6" xfId="0" applyFill="1" applyBorder="1" applyAlignment="1">
      <alignment horizontal="center" vertical="center"/>
    </xf>
    <xf numFmtId="0" fontId="0" fillId="47" borderId="25" xfId="0" applyFill="1" applyBorder="1" applyAlignment="1">
      <alignment horizontal="center" vertical="center"/>
    </xf>
    <xf numFmtId="0" fontId="0" fillId="47" borderId="21" xfId="0" applyFill="1" applyBorder="1" applyAlignment="1">
      <alignment horizontal="center" vertical="center"/>
    </xf>
    <xf numFmtId="0" fontId="0" fillId="17" borderId="21" xfId="0" applyFill="1" applyBorder="1" applyAlignment="1">
      <alignment horizontal="center" vertical="center"/>
    </xf>
    <xf numFmtId="0" fontId="24" fillId="5" borderId="2" xfId="0" applyFont="1" applyFill="1" applyBorder="1" applyAlignment="1">
      <alignment horizontal="center" vertical="center"/>
    </xf>
    <xf numFmtId="0" fontId="24" fillId="47" borderId="2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5" borderId="2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5" borderId="55" xfId="0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47" borderId="53" xfId="0" applyFill="1" applyBorder="1" applyAlignment="1">
      <alignment horizontal="center" vertical="center"/>
    </xf>
    <xf numFmtId="0" fontId="0" fillId="17" borderId="53" xfId="0" applyFill="1" applyBorder="1" applyAlignment="1">
      <alignment horizontal="center" vertical="center"/>
    </xf>
    <xf numFmtId="0" fontId="24" fillId="16" borderId="2" xfId="0" applyFont="1" applyFill="1" applyBorder="1" applyAlignment="1">
      <alignment horizontal="left" vertical="center"/>
    </xf>
    <xf numFmtId="0" fontId="24" fillId="5" borderId="2" xfId="0" applyFont="1" applyFill="1" applyBorder="1" applyAlignment="1">
      <alignment horizontal="left" vertical="center"/>
    </xf>
    <xf numFmtId="0" fontId="24" fillId="19" borderId="2" xfId="0" applyFont="1" applyFill="1" applyBorder="1" applyAlignment="1">
      <alignment horizontal="left" vertical="center"/>
    </xf>
    <xf numFmtId="0" fontId="24" fillId="19" borderId="23" xfId="0" applyFont="1" applyFill="1" applyBorder="1" applyAlignment="1">
      <alignment horizontal="left" vertical="center"/>
    </xf>
    <xf numFmtId="0" fontId="24" fillId="45" borderId="2" xfId="0" applyFont="1" applyFill="1" applyBorder="1" applyAlignment="1">
      <alignment horizontal="left" vertical="center"/>
    </xf>
    <xf numFmtId="0" fontId="24" fillId="46" borderId="2" xfId="0" applyFont="1" applyFill="1" applyBorder="1" applyAlignment="1">
      <alignment horizontal="left" vertical="center"/>
    </xf>
    <xf numFmtId="0" fontId="24" fillId="46" borderId="26" xfId="0" applyFont="1" applyFill="1" applyBorder="1" applyAlignment="1">
      <alignment horizontal="left" vertical="center"/>
    </xf>
    <xf numFmtId="0" fontId="26" fillId="5" borderId="6" xfId="0" applyFont="1" applyFill="1" applyBorder="1" applyAlignment="1">
      <alignment horizontal="center" vertical="center"/>
    </xf>
    <xf numFmtId="0" fontId="24" fillId="34" borderId="0" xfId="0" applyFont="1" applyFill="1" applyAlignment="1">
      <alignment horizontal="center" vertical="center"/>
    </xf>
    <xf numFmtId="15" fontId="24" fillId="34" borderId="3" xfId="0" applyNumberFormat="1" applyFont="1" applyFill="1" applyBorder="1" applyAlignment="1">
      <alignment horizontal="center" vertical="center"/>
    </xf>
    <xf numFmtId="15" fontId="24" fillId="34" borderId="45" xfId="0" applyNumberFormat="1" applyFon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4" borderId="2" xfId="0" applyFill="1" applyBorder="1" applyAlignment="1">
      <alignment horizontal="center" vertical="center"/>
    </xf>
    <xf numFmtId="0" fontId="0" fillId="34" borderId="6" xfId="0" applyFill="1" applyBorder="1" applyAlignment="1">
      <alignment horizontal="center" vertical="center"/>
    </xf>
    <xf numFmtId="0" fontId="0" fillId="34" borderId="26" xfId="0" applyFill="1" applyBorder="1" applyAlignment="1">
      <alignment horizontal="center" vertical="center"/>
    </xf>
    <xf numFmtId="0" fontId="0" fillId="34" borderId="38" xfId="0" applyFill="1" applyBorder="1" applyAlignment="1">
      <alignment horizontal="center" vertical="center"/>
    </xf>
    <xf numFmtId="0" fontId="28" fillId="0" borderId="0" xfId="0" applyFont="1"/>
    <xf numFmtId="0" fontId="0" fillId="39" borderId="38" xfId="0" applyFill="1" applyBorder="1" applyAlignment="1">
      <alignment horizontal="center" vertical="center"/>
    </xf>
    <xf numFmtId="0" fontId="0" fillId="39" borderId="2" xfId="0" applyFill="1" applyBorder="1" applyAlignment="1">
      <alignment horizontal="center" vertical="center"/>
    </xf>
    <xf numFmtId="0" fontId="0" fillId="39" borderId="26" xfId="0" applyFill="1" applyBorder="1" applyAlignment="1">
      <alignment horizontal="center" vertical="center"/>
    </xf>
    <xf numFmtId="0" fontId="24" fillId="34" borderId="38" xfId="0" applyFont="1" applyFill="1" applyBorder="1" applyAlignment="1">
      <alignment horizontal="center" vertical="center"/>
    </xf>
    <xf numFmtId="17" fontId="29" fillId="0" borderId="0" xfId="0" applyNumberFormat="1" applyFont="1" applyAlignment="1">
      <alignment horizontal="left" vertical="center"/>
    </xf>
    <xf numFmtId="0" fontId="28" fillId="51" borderId="2" xfId="0" applyFont="1" applyFill="1" applyBorder="1" applyAlignment="1">
      <alignment horizontal="center"/>
    </xf>
    <xf numFmtId="0" fontId="28" fillId="52" borderId="2" xfId="0" applyFont="1" applyFill="1" applyBorder="1" applyAlignment="1">
      <alignment horizontal="center"/>
    </xf>
    <xf numFmtId="0" fontId="24" fillId="53" borderId="2" xfId="0" applyFont="1" applyFill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24" fillId="55" borderId="2" xfId="0" applyFont="1" applyFill="1" applyBorder="1" applyAlignment="1">
      <alignment horizontal="center"/>
    </xf>
    <xf numFmtId="0" fontId="24" fillId="0" borderId="38" xfId="0" applyFont="1" applyBorder="1" applyAlignment="1">
      <alignment horizontal="center" vertical="center"/>
    </xf>
    <xf numFmtId="0" fontId="0" fillId="19" borderId="6" xfId="0" applyFill="1" applyBorder="1" applyAlignment="1">
      <alignment horizontal="center" vertical="center"/>
    </xf>
    <xf numFmtId="0" fontId="0" fillId="45" borderId="6" xfId="0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0" fillId="54" borderId="6" xfId="0" applyFill="1" applyBorder="1" applyAlignment="1">
      <alignment horizontal="center" vertical="center"/>
    </xf>
    <xf numFmtId="0" fontId="0" fillId="54" borderId="48" xfId="0" applyFill="1" applyBorder="1" applyAlignment="1">
      <alignment horizontal="center" vertical="center"/>
    </xf>
    <xf numFmtId="0" fontId="0" fillId="34" borderId="23" xfId="0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54" borderId="26" xfId="0" applyFont="1" applyFill="1" applyBorder="1" applyAlignment="1">
      <alignment horizontal="left" vertical="center"/>
    </xf>
    <xf numFmtId="0" fontId="24" fillId="54" borderId="2" xfId="0" applyFont="1" applyFill="1" applyBorder="1" applyAlignment="1">
      <alignment horizontal="left" vertical="center"/>
    </xf>
    <xf numFmtId="0" fontId="24" fillId="34" borderId="2" xfId="0" applyFont="1" applyFill="1" applyBorder="1" applyAlignment="1">
      <alignment horizontal="center" vertical="center"/>
    </xf>
    <xf numFmtId="0" fontId="24" fillId="52" borderId="2" xfId="0" applyFont="1" applyFill="1" applyBorder="1" applyAlignment="1">
      <alignment horizontal="center"/>
    </xf>
    <xf numFmtId="0" fontId="24" fillId="39" borderId="2" xfId="0" applyFont="1" applyFill="1" applyBorder="1" applyAlignment="1">
      <alignment horizontal="center" vertical="center"/>
    </xf>
    <xf numFmtId="9" fontId="0" fillId="0" borderId="2" xfId="4" applyFont="1" applyFill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1" fillId="34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8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16" fontId="0" fillId="0" borderId="23" xfId="0" applyNumberFormat="1" applyBorder="1" applyAlignment="1">
      <alignment horizontal="center" vertical="center"/>
    </xf>
    <xf numFmtId="16" fontId="0" fillId="0" borderId="24" xfId="0" applyNumberFormat="1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16" fontId="0" fillId="0" borderId="43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33" fillId="57" borderId="60" xfId="0" applyFont="1" applyFill="1" applyBorder="1" applyAlignment="1">
      <alignment horizontal="center" vertical="center"/>
    </xf>
    <xf numFmtId="0" fontId="33" fillId="57" borderId="31" xfId="0" applyFont="1" applyFill="1" applyBorder="1" applyAlignment="1">
      <alignment horizontal="center" vertical="center"/>
    </xf>
    <xf numFmtId="0" fontId="33" fillId="57" borderId="40" xfId="0" applyFont="1" applyFill="1" applyBorder="1" applyAlignment="1">
      <alignment horizontal="center" vertical="center"/>
    </xf>
    <xf numFmtId="0" fontId="34" fillId="0" borderId="0" xfId="0" applyFont="1"/>
    <xf numFmtId="0" fontId="35" fillId="57" borderId="35" xfId="0" applyFont="1" applyFill="1" applyBorder="1" applyAlignment="1">
      <alignment horizontal="center"/>
    </xf>
    <xf numFmtId="0" fontId="35" fillId="57" borderId="36" xfId="0" applyFont="1" applyFill="1" applyBorder="1" applyAlignment="1">
      <alignment horizontal="center"/>
    </xf>
    <xf numFmtId="0" fontId="35" fillId="57" borderId="41" xfId="0" applyFont="1" applyFill="1" applyBorder="1" applyAlignment="1">
      <alignment horizontal="center"/>
    </xf>
    <xf numFmtId="15" fontId="32" fillId="0" borderId="3" xfId="0" applyNumberFormat="1" applyFont="1" applyBorder="1"/>
    <xf numFmtId="0" fontId="32" fillId="0" borderId="24" xfId="0" applyFont="1" applyBorder="1"/>
    <xf numFmtId="0" fontId="24" fillId="0" borderId="22" xfId="0" applyFont="1" applyBorder="1" applyAlignment="1">
      <alignment horizontal="center"/>
    </xf>
    <xf numFmtId="15" fontId="32" fillId="0" borderId="4" xfId="0" applyNumberFormat="1" applyFont="1" applyBorder="1"/>
    <xf numFmtId="15" fontId="0" fillId="0" borderId="4" xfId="0" applyNumberFormat="1" applyBorder="1" applyAlignment="1">
      <alignment horizontal="center" vertical="center"/>
    </xf>
    <xf numFmtId="0" fontId="24" fillId="58" borderId="2" xfId="0" applyFont="1" applyFill="1" applyBorder="1" applyAlignment="1">
      <alignment horizontal="center"/>
    </xf>
    <xf numFmtId="0" fontId="24" fillId="59" borderId="2" xfId="0" applyFont="1" applyFill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26" xfId="0" applyBorder="1"/>
    <xf numFmtId="0" fontId="0" fillId="0" borderId="48" xfId="0" applyBorder="1"/>
    <xf numFmtId="16" fontId="0" fillId="0" borderId="4" xfId="0" applyNumberFormat="1" applyBorder="1" applyAlignment="1">
      <alignment horizontal="center" vertical="center"/>
    </xf>
    <xf numFmtId="16" fontId="0" fillId="0" borderId="25" xfId="0" applyNumberFormat="1" applyBorder="1" applyAlignment="1">
      <alignment horizontal="center" vertical="center"/>
    </xf>
    <xf numFmtId="15" fontId="0" fillId="0" borderId="58" xfId="0" applyNumberFormat="1" applyBorder="1" applyAlignment="1">
      <alignment horizontal="center" vertical="center"/>
    </xf>
    <xf numFmtId="15" fontId="0" fillId="0" borderId="49" xfId="0" applyNumberFormat="1" applyBorder="1" applyAlignment="1">
      <alignment horizontal="center" vertical="center"/>
    </xf>
    <xf numFmtId="15" fontId="0" fillId="0" borderId="59" xfId="0" applyNumberFormat="1" applyBorder="1" applyAlignment="1">
      <alignment horizontal="center" vertical="center"/>
    </xf>
    <xf numFmtId="15" fontId="0" fillId="0" borderId="56" xfId="0" applyNumberFormat="1" applyBorder="1" applyAlignment="1">
      <alignment horizontal="center" vertical="center"/>
    </xf>
    <xf numFmtId="15" fontId="0" fillId="0" borderId="57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5" fontId="0" fillId="0" borderId="61" xfId="0" applyNumberFormat="1" applyBorder="1" applyAlignment="1">
      <alignment horizontal="center" vertical="center"/>
    </xf>
    <xf numFmtId="0" fontId="33" fillId="56" borderId="3" xfId="2" applyFont="1" applyFill="1" applyBorder="1" applyAlignment="1">
      <alignment horizontal="center" vertical="center" wrapText="1"/>
    </xf>
    <xf numFmtId="0" fontId="33" fillId="56" borderId="24" xfId="2" applyFont="1" applyFill="1" applyBorder="1" applyAlignment="1">
      <alignment horizontal="center" vertical="center" wrapText="1"/>
    </xf>
    <xf numFmtId="0" fontId="33" fillId="56" borderId="51" xfId="2" applyFont="1" applyFill="1" applyBorder="1" applyAlignment="1">
      <alignment horizontal="center" vertical="center" wrapText="1"/>
    </xf>
    <xf numFmtId="0" fontId="33" fillId="56" borderId="52" xfId="2" applyFont="1" applyFill="1" applyBorder="1" applyAlignment="1">
      <alignment horizontal="center" vertical="center" wrapText="1"/>
    </xf>
    <xf numFmtId="0" fontId="33" fillId="56" borderId="5" xfId="2" applyFont="1" applyFill="1" applyBorder="1" applyAlignment="1">
      <alignment horizontal="center" vertical="center" wrapText="1"/>
    </xf>
    <xf numFmtId="0" fontId="33" fillId="56" borderId="27" xfId="2" applyFont="1" applyFill="1" applyBorder="1" applyAlignment="1">
      <alignment horizontal="center" vertical="center" wrapText="1"/>
    </xf>
    <xf numFmtId="0" fontId="33" fillId="57" borderId="60" xfId="0" applyFont="1" applyFill="1" applyBorder="1" applyAlignment="1">
      <alignment horizontal="center" vertical="center"/>
    </xf>
    <xf numFmtId="0" fontId="33" fillId="57" borderId="31" xfId="0" applyFont="1" applyFill="1" applyBorder="1" applyAlignment="1">
      <alignment horizontal="center" vertical="center"/>
    </xf>
    <xf numFmtId="0" fontId="33" fillId="57" borderId="40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5" fontId="0" fillId="0" borderId="30" xfId="0" applyNumberFormat="1" applyBorder="1" applyAlignment="1">
      <alignment horizontal="center" vertical="center"/>
    </xf>
    <xf numFmtId="15" fontId="0" fillId="0" borderId="31" xfId="0" applyNumberFormat="1" applyBorder="1" applyAlignment="1">
      <alignment horizontal="center" vertical="center"/>
    </xf>
    <xf numFmtId="15" fontId="0" fillId="0" borderId="40" xfId="0" applyNumberFormat="1" applyBorder="1" applyAlignment="1">
      <alignment horizontal="center" vertical="center"/>
    </xf>
    <xf numFmtId="15" fontId="0" fillId="0" borderId="35" xfId="0" applyNumberFormat="1" applyBorder="1" applyAlignment="1">
      <alignment horizontal="center" vertical="center"/>
    </xf>
    <xf numFmtId="15" fontId="0" fillId="0" borderId="36" xfId="0" applyNumberFormat="1" applyBorder="1" applyAlignment="1">
      <alignment horizontal="center" vertical="center"/>
    </xf>
    <xf numFmtId="15" fontId="0" fillId="0" borderId="41" xfId="0" applyNumberFormat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15" fontId="0" fillId="0" borderId="23" xfId="0" applyNumberFormat="1" applyBorder="1" applyAlignment="1">
      <alignment horizontal="center" vertical="center"/>
    </xf>
    <xf numFmtId="15" fontId="0" fillId="0" borderId="24" xfId="0" applyNumberFormat="1" applyBorder="1" applyAlignment="1">
      <alignment horizontal="center" vertical="center"/>
    </xf>
    <xf numFmtId="15" fontId="0" fillId="0" borderId="8" xfId="0" applyNumberFormat="1" applyBorder="1" applyAlignment="1">
      <alignment horizontal="center" vertical="center"/>
    </xf>
    <xf numFmtId="15" fontId="0" fillId="0" borderId="33" xfId="0" applyNumberFormat="1" applyBorder="1" applyAlignment="1">
      <alignment horizontal="center" vertical="center"/>
    </xf>
    <xf numFmtId="15" fontId="0" fillId="0" borderId="34" xfId="0" applyNumberForma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1" fillId="39" borderId="2" xfId="0" applyFont="1" applyFill="1" applyBorder="1" applyAlignment="1">
      <alignment horizontal="center" vertical="center"/>
    </xf>
  </cellXfs>
  <cellStyles count="6">
    <cellStyle name="Normal" xfId="0" builtinId="0"/>
    <cellStyle name="Normal 2" xfId="1" xr:uid="{A5932C84-37C6-4E58-A91F-4C9A152F3566}"/>
    <cellStyle name="Normal 2 3" xfId="2" xr:uid="{FAE44170-3208-4012-8F2A-BC231A9870D9}"/>
    <cellStyle name="Normal 6" xfId="3" xr:uid="{BC3C160A-4A6C-42C2-8238-8A53A4E576A6}"/>
    <cellStyle name="Per cent" xfId="4" builtinId="5"/>
    <cellStyle name="Per cent 2" xfId="5" xr:uid="{9E270F38-2FBC-9F49-B90C-FACA539BF1D5}"/>
  </cellStyles>
  <dxfs count="5"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BDBAEF"/>
        </patternFill>
      </fill>
    </dxf>
  </dxfs>
  <tableStyles count="0" defaultTableStyle="TableStyleMedium2" defaultPivotStyle="PivotStyleLight16"/>
  <colors>
    <mruColors>
      <color rgb="FFBDBAEF"/>
      <color rgb="FFE2EFDA"/>
      <color rgb="FF4472C4"/>
      <color rgb="FFD883FF"/>
      <color rgb="FF521B93"/>
      <color rgb="FFFFFFFF"/>
      <color rgb="FFABF1E7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ng Wei Jie (MOHH)" id="{64B6C2A5-EA79-4A60-BAF4-8B71F440C62D}" userId="S::weijie.ong@mohh.com.sg::5754ec04-6eae-4077-8189-b99b591ea11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37" dT="2025-11-11T06:44:04.68" personId="{64B6C2A5-EA79-4A60-BAF4-8B71F440C62D}" id="{6663A1E9-F38B-4BA5-BAC5-6973166C2FAA}">
    <text>Taking over from Ruth’s HO5 call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L27" dT="2025-10-31T04:07:15.37" personId="{64B6C2A5-EA79-4A60-BAF4-8B71F440C62D}" id="{2DA43C17-112E-4E8B-89D7-DFB0159A2D4D}">
    <text>Activated as standby and rounded, subsequently HO5 call did by Maegan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B6F16-BC40-40D3-A01A-B28D4592B957}">
  <dimension ref="A2:B23"/>
  <sheetViews>
    <sheetView workbookViewId="0"/>
  </sheetViews>
  <sheetFormatPr baseColWidth="10" defaultColWidth="8.83203125" defaultRowHeight="15" x14ac:dyDescent="0.2"/>
  <sheetData>
    <row r="2" spans="1:2" x14ac:dyDescent="0.2">
      <c r="A2" t="s">
        <v>30</v>
      </c>
      <c r="B2" t="s">
        <v>42</v>
      </c>
    </row>
    <row r="3" spans="1:2" x14ac:dyDescent="0.2">
      <c r="A3" t="s">
        <v>30</v>
      </c>
      <c r="B3" t="s">
        <v>43</v>
      </c>
    </row>
    <row r="4" spans="1:2" x14ac:dyDescent="0.2">
      <c r="A4" t="s">
        <v>30</v>
      </c>
      <c r="B4">
        <v>55</v>
      </c>
    </row>
    <row r="5" spans="1:2" x14ac:dyDescent="0.2">
      <c r="A5" t="s">
        <v>30</v>
      </c>
      <c r="B5">
        <v>65</v>
      </c>
    </row>
    <row r="6" spans="1:2" x14ac:dyDescent="0.2">
      <c r="A6" t="s">
        <v>34</v>
      </c>
      <c r="B6">
        <v>41</v>
      </c>
    </row>
    <row r="7" spans="1:2" x14ac:dyDescent="0.2">
      <c r="A7" t="s">
        <v>34</v>
      </c>
      <c r="B7">
        <v>44</v>
      </c>
    </row>
    <row r="8" spans="1:2" x14ac:dyDescent="0.2">
      <c r="A8" t="s">
        <v>34</v>
      </c>
      <c r="B8">
        <v>46</v>
      </c>
    </row>
    <row r="9" spans="1:2" x14ac:dyDescent="0.2">
      <c r="A9" t="s">
        <v>34</v>
      </c>
      <c r="B9">
        <v>51</v>
      </c>
    </row>
    <row r="10" spans="1:2" x14ac:dyDescent="0.2">
      <c r="A10" t="s">
        <v>32</v>
      </c>
      <c r="B10" t="s">
        <v>33</v>
      </c>
    </row>
    <row r="11" spans="1:2" x14ac:dyDescent="0.2">
      <c r="A11" t="s">
        <v>32</v>
      </c>
      <c r="B11" t="s">
        <v>35</v>
      </c>
    </row>
    <row r="12" spans="1:2" x14ac:dyDescent="0.2">
      <c r="A12" t="s">
        <v>32</v>
      </c>
      <c r="B12" t="s">
        <v>39</v>
      </c>
    </row>
    <row r="13" spans="1:2" x14ac:dyDescent="0.2">
      <c r="A13" t="s">
        <v>32</v>
      </c>
      <c r="B13" t="s">
        <v>46</v>
      </c>
    </row>
    <row r="14" spans="1:2" x14ac:dyDescent="0.2">
      <c r="A14" t="s">
        <v>29</v>
      </c>
      <c r="B14" t="s">
        <v>28</v>
      </c>
    </row>
    <row r="15" spans="1:2" x14ac:dyDescent="0.2">
      <c r="A15" t="s">
        <v>29</v>
      </c>
      <c r="B15" t="s">
        <v>44</v>
      </c>
    </row>
    <row r="16" spans="1:2" x14ac:dyDescent="0.2">
      <c r="A16" t="s">
        <v>29</v>
      </c>
      <c r="B16" t="s">
        <v>36</v>
      </c>
    </row>
    <row r="17" spans="1:2" x14ac:dyDescent="0.2">
      <c r="A17" t="s">
        <v>29</v>
      </c>
      <c r="B17" t="s">
        <v>47</v>
      </c>
    </row>
    <row r="18" spans="1:2" x14ac:dyDescent="0.2">
      <c r="A18" t="s">
        <v>29</v>
      </c>
      <c r="B18" t="s">
        <v>40</v>
      </c>
    </row>
    <row r="19" spans="1:2" x14ac:dyDescent="0.2">
      <c r="A19" t="s">
        <v>29</v>
      </c>
      <c r="B19" t="s">
        <v>41</v>
      </c>
    </row>
    <row r="20" spans="1:2" x14ac:dyDescent="0.2">
      <c r="A20" t="s">
        <v>31</v>
      </c>
      <c r="B20" t="s">
        <v>45</v>
      </c>
    </row>
    <row r="21" spans="1:2" x14ac:dyDescent="0.2">
      <c r="A21" t="s">
        <v>31</v>
      </c>
      <c r="B21" t="s">
        <v>37</v>
      </c>
    </row>
    <row r="22" spans="1:2" x14ac:dyDescent="0.2">
      <c r="A22" t="s">
        <v>31</v>
      </c>
      <c r="B22" t="s">
        <v>48</v>
      </c>
    </row>
    <row r="23" spans="1:2" x14ac:dyDescent="0.2">
      <c r="A23" t="s">
        <v>31</v>
      </c>
      <c r="B23" t="s">
        <v>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6A37F-9584-7A48-B086-A138F077234F}">
  <dimension ref="B2:D8"/>
  <sheetViews>
    <sheetView showGridLines="0" workbookViewId="0">
      <selection activeCell="E2" sqref="E2"/>
    </sheetView>
  </sheetViews>
  <sheetFormatPr baseColWidth="10" defaultColWidth="11.5" defaultRowHeight="15" x14ac:dyDescent="0.2"/>
  <cols>
    <col min="1" max="1" width="4.83203125" customWidth="1"/>
  </cols>
  <sheetData>
    <row r="2" spans="2:4" x14ac:dyDescent="0.2">
      <c r="B2" s="4">
        <v>1</v>
      </c>
      <c r="C2" s="4" t="s">
        <v>162</v>
      </c>
      <c r="D2" s="2">
        <v>0</v>
      </c>
    </row>
    <row r="3" spans="2:4" x14ac:dyDescent="0.2">
      <c r="B3" s="4">
        <v>2</v>
      </c>
      <c r="C3" s="4" t="s">
        <v>163</v>
      </c>
      <c r="D3" s="2">
        <v>0</v>
      </c>
    </row>
    <row r="4" spans="2:4" x14ac:dyDescent="0.2">
      <c r="B4" s="4">
        <v>3</v>
      </c>
      <c r="C4" s="4" t="s">
        <v>164</v>
      </c>
      <c r="D4" s="2">
        <v>0</v>
      </c>
    </row>
    <row r="5" spans="2:4" x14ac:dyDescent="0.2">
      <c r="B5" s="4">
        <v>4</v>
      </c>
      <c r="C5" s="4" t="s">
        <v>165</v>
      </c>
      <c r="D5" s="2">
        <v>0</v>
      </c>
    </row>
    <row r="6" spans="2:4" x14ac:dyDescent="0.2">
      <c r="B6" s="4">
        <v>5</v>
      </c>
      <c r="C6" s="4" t="s">
        <v>166</v>
      </c>
      <c r="D6" s="2">
        <v>0</v>
      </c>
    </row>
    <row r="7" spans="2:4" x14ac:dyDescent="0.2">
      <c r="B7" s="4">
        <v>6</v>
      </c>
      <c r="C7" s="4" t="s">
        <v>167</v>
      </c>
      <c r="D7" s="2">
        <v>1</v>
      </c>
    </row>
    <row r="8" spans="2:4" x14ac:dyDescent="0.2">
      <c r="B8" s="4">
        <v>7</v>
      </c>
      <c r="C8" s="4" t="s">
        <v>168</v>
      </c>
      <c r="D8" s="2">
        <v>1</v>
      </c>
    </row>
  </sheetData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ADDC-6A2D-4608-B8DB-929D80D80DDB}">
  <dimension ref="B1:BK102"/>
  <sheetViews>
    <sheetView showGridLines="0" tabSelected="1" zoomScale="70" zoomScaleNormal="82" workbookViewId="0">
      <pane xSplit="6" ySplit="5" topLeftCell="AN6" activePane="bottomRight" state="frozen"/>
      <selection pane="topRight" activeCell="F1" sqref="F1"/>
      <selection pane="bottomLeft" activeCell="A6" sqref="A6"/>
      <selection pane="bottomRight" activeCell="AY17" sqref="AY17"/>
    </sheetView>
  </sheetViews>
  <sheetFormatPr baseColWidth="10" defaultColWidth="10.83203125" defaultRowHeight="15" x14ac:dyDescent="0.2"/>
  <cols>
    <col min="1" max="1" width="1.83203125" style="1" customWidth="1"/>
    <col min="2" max="2" width="23.83203125" style="3" bestFit="1" customWidth="1"/>
    <col min="3" max="3" width="8" style="1" customWidth="1"/>
    <col min="4" max="4" width="16.1640625" style="3" customWidth="1"/>
    <col min="5" max="5" width="11.33203125" style="3" customWidth="1"/>
    <col min="6" max="6" width="9.5" style="3" bestFit="1" customWidth="1"/>
    <col min="7" max="8" width="9.5" style="3" customWidth="1"/>
    <col min="9" max="44" width="9" style="1" customWidth="1"/>
    <col min="45" max="45" width="3.1640625" style="1" customWidth="1"/>
    <col min="46" max="46" width="10.83203125" style="1"/>
    <col min="47" max="47" width="13.5" style="1" bestFit="1" customWidth="1"/>
    <col min="48" max="48" width="11.5" style="1" bestFit="1" customWidth="1"/>
    <col min="49" max="53" width="10.83203125" style="1"/>
    <col min="54" max="54" width="18.33203125" style="1" customWidth="1"/>
    <col min="55" max="55" width="14" style="1" customWidth="1"/>
    <col min="56" max="56" width="12.5" style="1" customWidth="1"/>
    <col min="57" max="57" width="19" style="1" customWidth="1"/>
    <col min="58" max="16384" width="10.83203125" style="1"/>
  </cols>
  <sheetData>
    <row r="1" spans="2:63" ht="21" customHeight="1" x14ac:dyDescent="0.2">
      <c r="B1" s="332" t="s">
        <v>261</v>
      </c>
      <c r="D1" s="353" t="s">
        <v>159</v>
      </c>
      <c r="E1" s="353"/>
      <c r="F1" s="353"/>
      <c r="G1" s="353"/>
      <c r="H1" s="353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  <c r="AM1" s="354"/>
      <c r="AN1" s="354"/>
      <c r="AO1" s="354"/>
      <c r="AP1" s="354"/>
      <c r="AQ1" s="354"/>
      <c r="AR1" s="354"/>
    </row>
    <row r="2" spans="2:63" ht="16" customHeight="1" x14ac:dyDescent="0.2">
      <c r="B2" s="332"/>
      <c r="D2" s="353" t="s">
        <v>264</v>
      </c>
      <c r="E2" s="353"/>
      <c r="F2" s="353"/>
      <c r="G2" s="353"/>
      <c r="H2" s="353"/>
      <c r="I2" s="354">
        <f t="shared" ref="I2:AP2" si="0">WEEKDAY(I5,2)</f>
        <v>2</v>
      </c>
      <c r="J2" s="354">
        <f t="shared" si="0"/>
        <v>3</v>
      </c>
      <c r="K2" s="354">
        <f t="shared" si="0"/>
        <v>4</v>
      </c>
      <c r="L2" s="354">
        <f t="shared" si="0"/>
        <v>5</v>
      </c>
      <c r="M2" s="354">
        <f t="shared" si="0"/>
        <v>6</v>
      </c>
      <c r="N2" s="354">
        <f t="shared" si="0"/>
        <v>7</v>
      </c>
      <c r="O2" s="354">
        <f t="shared" si="0"/>
        <v>1</v>
      </c>
      <c r="P2" s="354">
        <f t="shared" si="0"/>
        <v>2</v>
      </c>
      <c r="Q2" s="354">
        <f t="shared" si="0"/>
        <v>3</v>
      </c>
      <c r="R2" s="354">
        <f t="shared" si="0"/>
        <v>4</v>
      </c>
      <c r="S2" s="354">
        <f t="shared" si="0"/>
        <v>5</v>
      </c>
      <c r="T2" s="354">
        <f t="shared" si="0"/>
        <v>6</v>
      </c>
      <c r="U2" s="354">
        <f t="shared" si="0"/>
        <v>7</v>
      </c>
      <c r="V2" s="354">
        <f t="shared" si="0"/>
        <v>1</v>
      </c>
      <c r="W2" s="354">
        <f t="shared" si="0"/>
        <v>2</v>
      </c>
      <c r="X2" s="354">
        <f t="shared" si="0"/>
        <v>3</v>
      </c>
      <c r="Y2" s="354">
        <f t="shared" si="0"/>
        <v>4</v>
      </c>
      <c r="Z2" s="354">
        <f t="shared" si="0"/>
        <v>5</v>
      </c>
      <c r="AA2" s="354">
        <f t="shared" si="0"/>
        <v>6</v>
      </c>
      <c r="AB2" s="354">
        <f t="shared" si="0"/>
        <v>7</v>
      </c>
      <c r="AC2" s="354">
        <f t="shared" si="0"/>
        <v>1</v>
      </c>
      <c r="AD2" s="354">
        <f t="shared" si="0"/>
        <v>2</v>
      </c>
      <c r="AE2" s="354">
        <f t="shared" si="0"/>
        <v>3</v>
      </c>
      <c r="AF2" s="354">
        <f t="shared" si="0"/>
        <v>4</v>
      </c>
      <c r="AG2" s="354">
        <f t="shared" si="0"/>
        <v>5</v>
      </c>
      <c r="AH2" s="354">
        <f t="shared" si="0"/>
        <v>6</v>
      </c>
      <c r="AI2" s="354">
        <f t="shared" si="0"/>
        <v>7</v>
      </c>
      <c r="AJ2" s="354">
        <f t="shared" si="0"/>
        <v>1</v>
      </c>
      <c r="AK2" s="354">
        <f t="shared" si="0"/>
        <v>2</v>
      </c>
      <c r="AL2" s="354">
        <f t="shared" si="0"/>
        <v>3</v>
      </c>
      <c r="AM2" s="354">
        <f t="shared" si="0"/>
        <v>4</v>
      </c>
      <c r="AN2" s="354">
        <f t="shared" si="0"/>
        <v>5</v>
      </c>
      <c r="AO2" s="354">
        <f t="shared" si="0"/>
        <v>6</v>
      </c>
      <c r="AP2" s="354">
        <f t="shared" si="0"/>
        <v>7</v>
      </c>
      <c r="AQ2" s="354">
        <f t="shared" ref="AQ2" si="1">WEEKDAY(AQ5,2)</f>
        <v>1</v>
      </c>
      <c r="AR2" s="354">
        <f>WEEKDAY(AR5,2)</f>
        <v>2</v>
      </c>
      <c r="AZ2" s="355"/>
      <c r="BA2" s="355"/>
    </row>
    <row r="3" spans="2:63" ht="16" customHeight="1" thickBot="1" x14ac:dyDescent="0.25">
      <c r="B3" s="332"/>
      <c r="D3" s="353"/>
      <c r="E3" s="353"/>
      <c r="F3" s="353"/>
      <c r="G3" s="353"/>
      <c r="H3" s="353"/>
      <c r="I3" s="354"/>
      <c r="J3" s="354"/>
      <c r="K3" s="354"/>
      <c r="L3" s="354"/>
      <c r="M3" s="354"/>
      <c r="N3" s="354"/>
      <c r="O3" s="354"/>
      <c r="P3" s="354"/>
      <c r="Q3" s="354"/>
      <c r="R3" s="354"/>
      <c r="S3" s="354"/>
      <c r="T3" s="354"/>
      <c r="U3" s="354"/>
      <c r="V3" s="354"/>
      <c r="W3" s="354"/>
      <c r="X3" s="354"/>
      <c r="Y3" s="354"/>
      <c r="Z3" s="354"/>
      <c r="AA3" s="354"/>
      <c r="AB3" s="354"/>
      <c r="AC3" s="354"/>
      <c r="AD3" s="354"/>
      <c r="AE3" s="354"/>
      <c r="AF3" s="354"/>
      <c r="AG3" s="354"/>
      <c r="AH3" s="354"/>
      <c r="AI3" s="354"/>
      <c r="AJ3" s="354"/>
      <c r="AK3" s="354"/>
      <c r="AL3" s="354"/>
      <c r="AM3" s="354"/>
      <c r="AN3" s="354"/>
      <c r="AO3" s="354"/>
      <c r="AP3" s="354"/>
      <c r="AQ3" s="354"/>
      <c r="AR3" s="354"/>
      <c r="AZ3" s="355"/>
      <c r="BA3" s="355"/>
    </row>
    <row r="4" spans="2:63" ht="16" thickBot="1" x14ac:dyDescent="0.25">
      <c r="G4" s="392" t="s">
        <v>133</v>
      </c>
      <c r="H4" s="393"/>
      <c r="AT4" s="387" t="s">
        <v>176</v>
      </c>
      <c r="AU4" s="388"/>
      <c r="AV4" s="388"/>
      <c r="AW4" s="388"/>
      <c r="AX4" s="388"/>
      <c r="AY4" s="389"/>
      <c r="AZ4" s="390" t="s">
        <v>188</v>
      </c>
      <c r="BA4" s="391"/>
      <c r="BB4" s="390" t="s">
        <v>320</v>
      </c>
      <c r="BC4" s="394"/>
      <c r="BD4" s="394"/>
      <c r="BE4" s="391"/>
    </row>
    <row r="5" spans="2:63" x14ac:dyDescent="0.2">
      <c r="B5" s="357" t="s">
        <v>250</v>
      </c>
      <c r="C5" s="275" t="s">
        <v>262</v>
      </c>
      <c r="D5" s="66" t="s">
        <v>251</v>
      </c>
      <c r="E5" s="66" t="s">
        <v>268</v>
      </c>
      <c r="F5" s="277" t="s">
        <v>327</v>
      </c>
      <c r="G5" s="385">
        <f>I5-2</f>
        <v>46117</v>
      </c>
      <c r="H5" s="386">
        <f>I5-1</f>
        <v>46118</v>
      </c>
      <c r="I5" s="364">
        <v>46119</v>
      </c>
      <c r="J5" s="361">
        <f>I5+1</f>
        <v>46120</v>
      </c>
      <c r="K5" s="361">
        <f>J5+1</f>
        <v>46121</v>
      </c>
      <c r="L5" s="361">
        <f>K5+1</f>
        <v>46122</v>
      </c>
      <c r="M5" s="361">
        <f t="shared" ref="M5:AH5" si="2">L5+1</f>
        <v>46123</v>
      </c>
      <c r="N5" s="361">
        <f t="shared" si="2"/>
        <v>46124</v>
      </c>
      <c r="O5" s="361">
        <f t="shared" si="2"/>
        <v>46125</v>
      </c>
      <c r="P5" s="361">
        <f t="shared" si="2"/>
        <v>46126</v>
      </c>
      <c r="Q5" s="361">
        <f t="shared" si="2"/>
        <v>46127</v>
      </c>
      <c r="R5" s="361">
        <f t="shared" si="2"/>
        <v>46128</v>
      </c>
      <c r="S5" s="361">
        <f t="shared" si="2"/>
        <v>46129</v>
      </c>
      <c r="T5" s="361">
        <f t="shared" si="2"/>
        <v>46130</v>
      </c>
      <c r="U5" s="361">
        <f t="shared" si="2"/>
        <v>46131</v>
      </c>
      <c r="V5" s="361">
        <f t="shared" si="2"/>
        <v>46132</v>
      </c>
      <c r="W5" s="361">
        <f t="shared" si="2"/>
        <v>46133</v>
      </c>
      <c r="X5" s="361">
        <f t="shared" si="2"/>
        <v>46134</v>
      </c>
      <c r="Y5" s="361">
        <f t="shared" si="2"/>
        <v>46135</v>
      </c>
      <c r="Z5" s="361">
        <f t="shared" si="2"/>
        <v>46136</v>
      </c>
      <c r="AA5" s="361">
        <f t="shared" si="2"/>
        <v>46137</v>
      </c>
      <c r="AB5" s="361">
        <f t="shared" si="2"/>
        <v>46138</v>
      </c>
      <c r="AC5" s="361">
        <f t="shared" si="2"/>
        <v>46139</v>
      </c>
      <c r="AD5" s="361">
        <f t="shared" si="2"/>
        <v>46140</v>
      </c>
      <c r="AE5" s="361">
        <f t="shared" si="2"/>
        <v>46141</v>
      </c>
      <c r="AF5" s="361">
        <f t="shared" si="2"/>
        <v>46142</v>
      </c>
      <c r="AG5" s="361">
        <f t="shared" si="2"/>
        <v>46143</v>
      </c>
      <c r="AH5" s="361">
        <f t="shared" si="2"/>
        <v>46144</v>
      </c>
      <c r="AI5" s="361">
        <f>AH5+1</f>
        <v>46145</v>
      </c>
      <c r="AJ5" s="361">
        <f t="shared" ref="AJ5:AR5" si="3">AI5+1</f>
        <v>46146</v>
      </c>
      <c r="AK5" s="361">
        <f t="shared" si="3"/>
        <v>46147</v>
      </c>
      <c r="AL5" s="361">
        <f t="shared" si="3"/>
        <v>46148</v>
      </c>
      <c r="AM5" s="361">
        <f t="shared" si="3"/>
        <v>46149</v>
      </c>
      <c r="AN5" s="361">
        <f t="shared" si="3"/>
        <v>46150</v>
      </c>
      <c r="AO5" s="361">
        <f t="shared" si="3"/>
        <v>46151</v>
      </c>
      <c r="AP5" s="361">
        <f t="shared" si="3"/>
        <v>46152</v>
      </c>
      <c r="AQ5" s="361">
        <f t="shared" si="3"/>
        <v>46153</v>
      </c>
      <c r="AR5" s="362">
        <f t="shared" si="3"/>
        <v>46154</v>
      </c>
      <c r="AS5" s="5"/>
      <c r="AT5" s="377" t="s">
        <v>169</v>
      </c>
      <c r="AU5" s="363" t="s">
        <v>177</v>
      </c>
      <c r="AV5" s="363" t="s">
        <v>178</v>
      </c>
      <c r="AW5" s="363" t="s">
        <v>168</v>
      </c>
      <c r="AX5" s="18" t="s">
        <v>212</v>
      </c>
      <c r="AY5" s="26" t="s">
        <v>216</v>
      </c>
      <c r="AZ5" s="234" t="s">
        <v>171</v>
      </c>
      <c r="BA5" s="236" t="s">
        <v>172</v>
      </c>
      <c r="BB5" s="234" t="s">
        <v>321</v>
      </c>
      <c r="BC5" s="236" t="s">
        <v>322</v>
      </c>
      <c r="BD5" s="236" t="s">
        <v>324</v>
      </c>
      <c r="BE5" s="236" t="s">
        <v>325</v>
      </c>
      <c r="BF5" s="5"/>
      <c r="BG5" s="5"/>
      <c r="BH5" s="5"/>
      <c r="BI5" s="5"/>
      <c r="BJ5" s="5"/>
      <c r="BK5" s="5"/>
    </row>
    <row r="6" spans="2:63" x14ac:dyDescent="0.2">
      <c r="B6" s="71"/>
      <c r="C6" s="18"/>
      <c r="D6" s="18"/>
      <c r="E6" s="18"/>
      <c r="F6" s="307"/>
      <c r="G6" s="25" t="str">
        <f>IFERROR(IF(VLOOKUP($B6,'Month-1'!$B$3:$D$53,2,0)=0,"",VLOOKUP($B6,'Month-1'!$B$3:$D$53,2,0)),"")</f>
        <v/>
      </c>
      <c r="H6" s="26" t="str">
        <f>IFERROR(IF(VLOOKUP($B6,'Month-1'!$B$3:$D$53,3,0)=0,"",VLOOKUP($B7,'Month-1'!$B$3:$D$53,3,0)),"")</f>
        <v/>
      </c>
      <c r="I6" s="24"/>
      <c r="J6" s="18"/>
      <c r="K6" s="356"/>
      <c r="L6" s="18"/>
      <c r="M6" s="18"/>
      <c r="N6" s="18"/>
      <c r="O6" s="18"/>
      <c r="P6" s="18"/>
      <c r="Q6" s="18"/>
      <c r="R6" s="18"/>
      <c r="S6" s="18"/>
      <c r="T6" s="356"/>
      <c r="U6" s="356"/>
      <c r="V6" s="18"/>
      <c r="W6" s="356"/>
      <c r="X6" s="356"/>
      <c r="Y6" s="356"/>
      <c r="Z6" s="356"/>
      <c r="AA6" s="356"/>
      <c r="AB6" s="356"/>
      <c r="AC6" s="356"/>
      <c r="AD6" s="356"/>
      <c r="AE6" s="356"/>
      <c r="AF6" s="356"/>
      <c r="AG6" s="356"/>
      <c r="AH6" s="356"/>
      <c r="AI6" s="356"/>
      <c r="AJ6" s="356"/>
      <c r="AK6" s="356"/>
      <c r="AL6" s="18"/>
      <c r="AM6" s="18"/>
      <c r="AN6" s="356"/>
      <c r="AO6" s="18"/>
      <c r="AP6" s="356"/>
      <c r="AQ6" s="356"/>
      <c r="AR6" s="26"/>
      <c r="AT6" s="42">
        <f>COUNTIFS(I6:AR6,"MO*",$I$2:$AR$2,"&lt;5",$I$1:$AR$1,"&lt;&gt;PRE", $I$1:$AR$1,"&lt;&gt;Y")</f>
        <v>0</v>
      </c>
      <c r="AU6" s="23">
        <f>COUNTIFS(I6:AR6,"MO*",$I$1:$AR$1,"PRE")+COUNTIFS(I6:AR6,"MO*",$I$2:$AR$2,"5",$I$1:$AR$1,"&lt;&gt;PRE",$I$1:$AR$1,"&lt;&gt;Y")</f>
        <v>0</v>
      </c>
      <c r="AV6" s="23">
        <f>COUNTIFS(I6:AR6,"MO*",$I$1:$AR$1,"Y")+COUNTIFS(I6:AR6,"MO*",$I$2:$AR$2,"6",$I$1:$AR$1,"&lt;&gt;PRE",$I$1:$AR$1,"&lt;&gt;Y")</f>
        <v>0</v>
      </c>
      <c r="AW6" s="23">
        <f>COUNTIFS(I6:AR6,"MO*", $I$2:$AR$2,"7",$I$1:$AR$1,"&lt;&gt;PRE", $I$1:$AR$1,"&lt;&gt;Y")</f>
        <v>0</v>
      </c>
      <c r="AX6" s="278">
        <f t="shared" ref="AX6" si="4">COUNTIF(I6:AR6,"WR*")</f>
        <v>0</v>
      </c>
      <c r="AY6" s="39">
        <f t="shared" ref="AY6" si="5">COUNTIF(I6:AR6,"SB")</f>
        <v>0</v>
      </c>
      <c r="AZ6" s="25">
        <f>SUM(AT6:AW6)</f>
        <v>0</v>
      </c>
      <c r="BA6" s="26">
        <f>AT6*1+AU6*3+AV6*4+AW6*3</f>
        <v>0</v>
      </c>
      <c r="BB6" s="25">
        <f>IFERROR(INDEX('Month-1'!$F$3:$F$53,MATCH($B6,'Month-1'!$B$3:$B$53,0)),0)</f>
        <v>0</v>
      </c>
      <c r="BC6" s="26">
        <f>BA6+BB6</f>
        <v>0</v>
      </c>
      <c r="BD6" s="26">
        <f>IFERROR(INDEX('Month-1'!$G$3:$G$53,MATCH($B6,'Month-1'!$B$3:$B$53,0)),0) + 1</f>
        <v>1</v>
      </c>
      <c r="BE6" s="26">
        <f>BC6/BD6</f>
        <v>0</v>
      </c>
    </row>
    <row r="7" spans="2:63" x14ac:dyDescent="0.2">
      <c r="B7" s="71"/>
      <c r="C7" s="18"/>
      <c r="D7" s="18"/>
      <c r="E7" s="18"/>
      <c r="F7" s="307"/>
      <c r="G7" s="25" t="str">
        <f>IFERROR(IF(VLOOKUP($B7,'Month-1'!$B$3:$D$53,2,0)=0,"",VLOOKUP($B7,'Month-1'!$B$3:$D$53,2,0)),"")</f>
        <v/>
      </c>
      <c r="H7" s="26" t="str">
        <f>IFERROR(IF(VLOOKUP($B7,'Month-1'!$B$3:$D$53,3,0)=0,"",VLOOKUP($B8,'Month-1'!$B$3:$D$53,3,0)),"")</f>
        <v/>
      </c>
      <c r="I7" s="24"/>
      <c r="J7" s="18"/>
      <c r="K7" s="356"/>
      <c r="L7" s="18"/>
      <c r="M7" s="18"/>
      <c r="N7" s="18"/>
      <c r="O7" s="18"/>
      <c r="P7" s="18"/>
      <c r="Q7" s="18"/>
      <c r="R7" s="18"/>
      <c r="S7" s="18"/>
      <c r="T7" s="356"/>
      <c r="U7" s="356"/>
      <c r="V7" s="18"/>
      <c r="W7" s="356"/>
      <c r="X7" s="356"/>
      <c r="Y7" s="356"/>
      <c r="Z7" s="356"/>
      <c r="AA7" s="356"/>
      <c r="AB7" s="356"/>
      <c r="AC7" s="356"/>
      <c r="AD7" s="356"/>
      <c r="AE7" s="356"/>
      <c r="AF7" s="356"/>
      <c r="AG7" s="356"/>
      <c r="AH7" s="356"/>
      <c r="AI7" s="356"/>
      <c r="AJ7" s="356"/>
      <c r="AK7" s="356"/>
      <c r="AL7" s="18"/>
      <c r="AM7" s="18"/>
      <c r="AN7" s="356"/>
      <c r="AO7" s="18"/>
      <c r="AP7" s="356"/>
      <c r="AQ7" s="356"/>
      <c r="AR7" s="26"/>
      <c r="AT7" s="42">
        <f t="shared" ref="AT7:AT55" si="6">COUNTIFS(I7:AR7,"MO*",$I$2:$AR$2,"&lt;5",$I$1:$AR$1,"&lt;&gt;PRE", $I$1:$AR$1,"&lt;&gt;Y")</f>
        <v>0</v>
      </c>
      <c r="AU7" s="23">
        <f t="shared" ref="AU7:AU55" si="7">COUNTIFS(I7:AR7,"MO*",$I$1:$AR$1,"PRE")+COUNTIFS(I7:AR7,"MO*",$I$2:$AR$2,"5",$I$1:$AR$1,"&lt;&gt;PRE",$I$1:$AR$1,"&lt;&gt;Y")</f>
        <v>0</v>
      </c>
      <c r="AV7" s="23">
        <f t="shared" ref="AV7:AV55" si="8">COUNTIFS(I7:AR7,"MO*",$I$1:$AR$1,"Y")+COUNTIFS(I7:AR7,"MO*",$I$2:$AR$2,"6",$I$1:$AR$1,"&lt;&gt;PRE",$I$1:$AR$1,"&lt;&gt;Y")</f>
        <v>0</v>
      </c>
      <c r="AW7" s="23">
        <f t="shared" ref="AW7:AW55" si="9">COUNTIFS(I7:AR7,"MO*", $I$2:$AR$2,"7",$I$1:$AR$1,"&lt;&gt;PRE", $I$1:$AR$1,"&lt;&gt;Y")</f>
        <v>0</v>
      </c>
      <c r="AX7" s="278">
        <f t="shared" ref="AX7:AX55" si="10">COUNTIF(I7:AR7,"WR*")</f>
        <v>0</v>
      </c>
      <c r="AY7" s="39">
        <f t="shared" ref="AY7:AY55" si="11">COUNTIF(I7:AR7,"SB")</f>
        <v>0</v>
      </c>
      <c r="AZ7" s="25">
        <f t="shared" ref="AZ7:AZ55" si="12">SUM(AT7:AW7)</f>
        <v>0</v>
      </c>
      <c r="BA7" s="26">
        <f t="shared" ref="BA7:BA55" si="13">AT7*1+AU7*3+AV7*4+AW7*3</f>
        <v>0</v>
      </c>
      <c r="BB7" s="25">
        <f>IFERROR(INDEX('Month-1'!$F$3:$F$53,MATCH($B7,'Month-1'!$B$3:$B$53,0)),0)</f>
        <v>0</v>
      </c>
      <c r="BC7" s="26">
        <f t="shared" ref="BC7:BC55" si="14">BA7+BB7</f>
        <v>0</v>
      </c>
      <c r="BD7" s="26">
        <f>IFERROR(INDEX('Month-1'!$G$3:$G$53,MATCH($B7,'Month-1'!$B$3:$B$53,0)),0) + 1</f>
        <v>1</v>
      </c>
      <c r="BE7" s="26">
        <f t="shared" ref="BE7:BE55" si="15">BC7/BD7</f>
        <v>0</v>
      </c>
    </row>
    <row r="8" spans="2:63" x14ac:dyDescent="0.2">
      <c r="B8" s="71"/>
      <c r="C8" s="18"/>
      <c r="D8" s="18"/>
      <c r="E8" s="18"/>
      <c r="F8" s="307"/>
      <c r="G8" s="25" t="str">
        <f>IFERROR(IF(VLOOKUP($B8,'Month-1'!$B$3:$D$53,2,0)=0,"",VLOOKUP($B8,'Month-1'!$B$3:$D$53,2,0)),"")</f>
        <v/>
      </c>
      <c r="H8" s="26" t="str">
        <f>IFERROR(IF(VLOOKUP($B8,'Month-1'!$B$3:$D$53,3,0)=0,"",VLOOKUP($B9,'Month-1'!$B$3:$D$53,3,0)),"")</f>
        <v/>
      </c>
      <c r="I8" s="24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356"/>
      <c r="AA8" s="356"/>
      <c r="AB8" s="356"/>
      <c r="AC8" s="356"/>
      <c r="AD8" s="356"/>
      <c r="AE8" s="356"/>
      <c r="AF8" s="356"/>
      <c r="AG8" s="356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26"/>
      <c r="AT8" s="42">
        <f t="shared" si="6"/>
        <v>0</v>
      </c>
      <c r="AU8" s="23">
        <f t="shared" si="7"/>
        <v>0</v>
      </c>
      <c r="AV8" s="23">
        <f t="shared" si="8"/>
        <v>0</v>
      </c>
      <c r="AW8" s="23">
        <f t="shared" si="9"/>
        <v>0</v>
      </c>
      <c r="AX8" s="278">
        <f t="shared" si="10"/>
        <v>0</v>
      </c>
      <c r="AY8" s="39">
        <f t="shared" si="11"/>
        <v>0</v>
      </c>
      <c r="AZ8" s="25">
        <f t="shared" si="12"/>
        <v>0</v>
      </c>
      <c r="BA8" s="26">
        <f t="shared" si="13"/>
        <v>0</v>
      </c>
      <c r="BB8" s="25">
        <f>IFERROR(INDEX('Month-1'!$F$3:$F$53,MATCH($B8,'Month-1'!$B$3:$B$53,0)),0)</f>
        <v>0</v>
      </c>
      <c r="BC8" s="26">
        <f t="shared" si="14"/>
        <v>0</v>
      </c>
      <c r="BD8" s="26">
        <f>IFERROR(INDEX('Month-1'!$G$3:$G$53,MATCH($B8,'Month-1'!$B$3:$B$53,0)),0) + 1</f>
        <v>1</v>
      </c>
      <c r="BE8" s="26">
        <f t="shared" si="15"/>
        <v>0</v>
      </c>
    </row>
    <row r="9" spans="2:63" x14ac:dyDescent="0.2">
      <c r="B9" s="71"/>
      <c r="C9" s="18"/>
      <c r="D9" s="18"/>
      <c r="E9" s="18"/>
      <c r="F9" s="307"/>
      <c r="G9" s="25" t="str">
        <f>IFERROR(IF(VLOOKUP($B9,'Month-1'!$B$3:$D$53,2,0)=0,"",VLOOKUP($B9,'Month-1'!$B$3:$D$53,2,0)),"")</f>
        <v/>
      </c>
      <c r="H9" s="26" t="str">
        <f>IFERROR(IF(VLOOKUP($B9,'Month-1'!$B$3:$D$53,3,0)=0,"",VLOOKUP($B10,'Month-1'!$B$3:$D$53,3,0)),"")</f>
        <v/>
      </c>
      <c r="I9" s="24"/>
      <c r="J9" s="356"/>
      <c r="K9" s="356"/>
      <c r="L9" s="18"/>
      <c r="M9" s="356"/>
      <c r="N9" s="18"/>
      <c r="O9" s="18"/>
      <c r="P9" s="18"/>
      <c r="Q9" s="18"/>
      <c r="R9" s="18"/>
      <c r="S9" s="356"/>
      <c r="T9" s="18"/>
      <c r="U9" s="18"/>
      <c r="V9" s="18"/>
      <c r="W9" s="18"/>
      <c r="X9" s="18"/>
      <c r="Y9" s="18"/>
      <c r="Z9" s="18"/>
      <c r="AA9" s="356"/>
      <c r="AB9" s="356"/>
      <c r="AC9" s="18"/>
      <c r="AD9" s="18"/>
      <c r="AE9" s="18"/>
      <c r="AF9" s="18"/>
      <c r="AG9" s="18"/>
      <c r="AH9" s="18"/>
      <c r="AI9" s="356"/>
      <c r="AJ9" s="356"/>
      <c r="AK9" s="356"/>
      <c r="AL9" s="18"/>
      <c r="AM9" s="18"/>
      <c r="AN9" s="18"/>
      <c r="AO9" s="356"/>
      <c r="AP9" s="18"/>
      <c r="AQ9" s="18"/>
      <c r="AR9" s="26"/>
      <c r="AT9" s="42">
        <f t="shared" si="6"/>
        <v>0</v>
      </c>
      <c r="AU9" s="23">
        <f t="shared" si="7"/>
        <v>0</v>
      </c>
      <c r="AV9" s="23">
        <f t="shared" si="8"/>
        <v>0</v>
      </c>
      <c r="AW9" s="23">
        <f t="shared" si="9"/>
        <v>0</v>
      </c>
      <c r="AX9" s="278">
        <f t="shared" si="10"/>
        <v>0</v>
      </c>
      <c r="AY9" s="39">
        <f t="shared" si="11"/>
        <v>0</v>
      </c>
      <c r="AZ9" s="25">
        <f t="shared" si="12"/>
        <v>0</v>
      </c>
      <c r="BA9" s="26">
        <f t="shared" si="13"/>
        <v>0</v>
      </c>
      <c r="BB9" s="25">
        <f>IFERROR(INDEX('Month-1'!$F$3:$F$53,MATCH($B9,'Month-1'!$B$3:$B$53,0)),0)</f>
        <v>0</v>
      </c>
      <c r="BC9" s="26">
        <f t="shared" si="14"/>
        <v>0</v>
      </c>
      <c r="BD9" s="26">
        <f>IFERROR(INDEX('Month-1'!$G$3:$G$53,MATCH($B9,'Month-1'!$B$3:$B$53,0)),0) + 1</f>
        <v>1</v>
      </c>
      <c r="BE9" s="26">
        <f t="shared" si="15"/>
        <v>0</v>
      </c>
    </row>
    <row r="10" spans="2:63" x14ac:dyDescent="0.2">
      <c r="B10" s="71"/>
      <c r="C10" s="18"/>
      <c r="D10" s="18"/>
      <c r="E10" s="18"/>
      <c r="F10" s="307"/>
      <c r="G10" s="25" t="str">
        <f>IFERROR(IF(VLOOKUP($B10,'Month-1'!$B$3:$D$53,2,0)=0,"",VLOOKUP($B10,'Month-1'!$B$3:$D$53,2,0)),"")</f>
        <v/>
      </c>
      <c r="H10" s="26" t="str">
        <f>IFERROR(IF(VLOOKUP($B10,'Month-1'!$B$3:$D$53,3,0)=0,"",VLOOKUP($B11,'Month-1'!$B$3:$D$53,3,0)),"")</f>
        <v/>
      </c>
      <c r="I10" s="24"/>
      <c r="J10" s="356"/>
      <c r="K10" s="356"/>
      <c r="L10" s="18"/>
      <c r="M10" s="356"/>
      <c r="N10" s="18"/>
      <c r="O10" s="18"/>
      <c r="P10" s="18"/>
      <c r="Q10" s="18"/>
      <c r="R10" s="18"/>
      <c r="S10" s="356"/>
      <c r="T10" s="18"/>
      <c r="U10" s="18"/>
      <c r="V10" s="18"/>
      <c r="W10" s="18"/>
      <c r="X10" s="18"/>
      <c r="Y10" s="18"/>
      <c r="Z10" s="18"/>
      <c r="AA10" s="356"/>
      <c r="AB10" s="356"/>
      <c r="AC10" s="18"/>
      <c r="AD10" s="18"/>
      <c r="AE10" s="18"/>
      <c r="AF10" s="18"/>
      <c r="AG10" s="18"/>
      <c r="AH10" s="18"/>
      <c r="AI10" s="356"/>
      <c r="AJ10" s="356"/>
      <c r="AK10" s="356"/>
      <c r="AL10" s="18"/>
      <c r="AM10" s="18"/>
      <c r="AN10" s="18"/>
      <c r="AO10" s="356"/>
      <c r="AP10" s="18"/>
      <c r="AQ10" s="18"/>
      <c r="AR10" s="26"/>
      <c r="AT10" s="42">
        <f t="shared" si="6"/>
        <v>0</v>
      </c>
      <c r="AU10" s="23">
        <f t="shared" si="7"/>
        <v>0</v>
      </c>
      <c r="AV10" s="23">
        <f t="shared" si="8"/>
        <v>0</v>
      </c>
      <c r="AW10" s="23">
        <f t="shared" si="9"/>
        <v>0</v>
      </c>
      <c r="AX10" s="278">
        <f t="shared" si="10"/>
        <v>0</v>
      </c>
      <c r="AY10" s="39">
        <f t="shared" si="11"/>
        <v>0</v>
      </c>
      <c r="AZ10" s="25">
        <f t="shared" si="12"/>
        <v>0</v>
      </c>
      <c r="BA10" s="26">
        <f t="shared" si="13"/>
        <v>0</v>
      </c>
      <c r="BB10" s="25">
        <f>IFERROR(INDEX('Month-1'!$F$3:$F$53,MATCH($B10,'Month-1'!$B$3:$B$53,0)),0)</f>
        <v>0</v>
      </c>
      <c r="BC10" s="26">
        <f t="shared" si="14"/>
        <v>0</v>
      </c>
      <c r="BD10" s="26">
        <f>IFERROR(INDEX('Month-1'!$G$3:$G$53,MATCH($B10,'Month-1'!$B$3:$B$53,0)),0) + 1</f>
        <v>1</v>
      </c>
      <c r="BE10" s="26">
        <f t="shared" si="15"/>
        <v>0</v>
      </c>
    </row>
    <row r="11" spans="2:63" x14ac:dyDescent="0.2">
      <c r="B11" s="71"/>
      <c r="C11" s="18"/>
      <c r="D11" s="18"/>
      <c r="E11" s="18"/>
      <c r="F11" s="307"/>
      <c r="G11" s="25" t="str">
        <f>IFERROR(IF(VLOOKUP($B11,'Month-1'!$B$3:$D$53,2,0)=0,"",VLOOKUP($B11,'Month-1'!$B$3:$D$53,2,0)),"")</f>
        <v/>
      </c>
      <c r="H11" s="26" t="str">
        <f>IFERROR(IF(VLOOKUP($B11,'Month-1'!$B$3:$D$53,3,0)=0,"",VLOOKUP($B12,'Month-1'!$B$3:$D$53,3,0)),"")</f>
        <v/>
      </c>
      <c r="I11" s="24"/>
      <c r="J11" s="356"/>
      <c r="K11" s="356"/>
      <c r="L11" s="18"/>
      <c r="M11" s="356"/>
      <c r="N11" s="18"/>
      <c r="O11" s="18"/>
      <c r="P11" s="18"/>
      <c r="Q11" s="18"/>
      <c r="R11" s="18"/>
      <c r="S11" s="356"/>
      <c r="T11" s="18"/>
      <c r="U11" s="18"/>
      <c r="V11" s="18"/>
      <c r="W11" s="18"/>
      <c r="X11" s="18"/>
      <c r="Y11" s="18"/>
      <c r="Z11" s="18"/>
      <c r="AA11" s="356"/>
      <c r="AB11" s="356"/>
      <c r="AC11" s="18"/>
      <c r="AD11" s="18"/>
      <c r="AE11" s="18"/>
      <c r="AF11" s="18"/>
      <c r="AG11" s="18"/>
      <c r="AH11" s="18"/>
      <c r="AI11" s="356"/>
      <c r="AJ11" s="356"/>
      <c r="AK11" s="356"/>
      <c r="AL11" s="18"/>
      <c r="AM11" s="18"/>
      <c r="AN11" s="18"/>
      <c r="AO11" s="356"/>
      <c r="AP11" s="18"/>
      <c r="AQ11" s="18"/>
      <c r="AR11" s="26"/>
      <c r="AT11" s="42">
        <f t="shared" si="6"/>
        <v>0</v>
      </c>
      <c r="AU11" s="23">
        <f t="shared" si="7"/>
        <v>0</v>
      </c>
      <c r="AV11" s="23">
        <f t="shared" si="8"/>
        <v>0</v>
      </c>
      <c r="AW11" s="23">
        <f t="shared" si="9"/>
        <v>0</v>
      </c>
      <c r="AX11" s="278">
        <f t="shared" si="10"/>
        <v>0</v>
      </c>
      <c r="AY11" s="39">
        <f t="shared" si="11"/>
        <v>0</v>
      </c>
      <c r="AZ11" s="25">
        <f t="shared" si="12"/>
        <v>0</v>
      </c>
      <c r="BA11" s="26">
        <f t="shared" si="13"/>
        <v>0</v>
      </c>
      <c r="BB11" s="25">
        <f>IFERROR(INDEX('Month-1'!$F$3:$F$53,MATCH($B11,'Month-1'!$B$3:$B$53,0)),0)</f>
        <v>0</v>
      </c>
      <c r="BC11" s="26">
        <f t="shared" si="14"/>
        <v>0</v>
      </c>
      <c r="BD11" s="26">
        <f>IFERROR(INDEX('Month-1'!$G$3:$G$53,MATCH($B11,'Month-1'!$B$3:$B$53,0)),0) + 1</f>
        <v>1</v>
      </c>
      <c r="BE11" s="26">
        <f t="shared" si="15"/>
        <v>0</v>
      </c>
    </row>
    <row r="12" spans="2:63" x14ac:dyDescent="0.2">
      <c r="B12" s="71"/>
      <c r="C12" s="18"/>
      <c r="D12" s="18"/>
      <c r="E12" s="18"/>
      <c r="F12" s="307"/>
      <c r="G12" s="25" t="str">
        <f>IFERROR(IF(VLOOKUP($B12,'Month-1'!$B$3:$D$53,2,0)=0,"",VLOOKUP($B12,'Month-1'!$B$3:$D$53,2,0)),"")</f>
        <v/>
      </c>
      <c r="H12" s="26" t="str">
        <f>IFERROR(IF(VLOOKUP($B12,'Month-1'!$B$3:$D$53,3,0)=0,"",VLOOKUP($B13,'Month-1'!$B$3:$D$53,3,0)),"")</f>
        <v/>
      </c>
      <c r="I12" s="365"/>
      <c r="J12" s="356"/>
      <c r="K12" s="356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356"/>
      <c r="X12" s="356"/>
      <c r="Y12" s="356"/>
      <c r="Z12" s="356"/>
      <c r="AA12" s="356"/>
      <c r="AB12" s="18"/>
      <c r="AC12" s="356"/>
      <c r="AD12" s="18"/>
      <c r="AE12" s="18"/>
      <c r="AF12" s="18"/>
      <c r="AG12" s="356"/>
      <c r="AH12" s="356"/>
      <c r="AI12" s="356"/>
      <c r="AJ12" s="18"/>
      <c r="AK12" s="18"/>
      <c r="AL12" s="18"/>
      <c r="AM12" s="18"/>
      <c r="AN12" s="356"/>
      <c r="AO12" s="356"/>
      <c r="AP12" s="356"/>
      <c r="AQ12" s="356"/>
      <c r="AR12" s="358"/>
      <c r="AT12" s="42">
        <f t="shared" si="6"/>
        <v>0</v>
      </c>
      <c r="AU12" s="23">
        <f t="shared" si="7"/>
        <v>0</v>
      </c>
      <c r="AV12" s="23">
        <f t="shared" si="8"/>
        <v>0</v>
      </c>
      <c r="AW12" s="23">
        <f t="shared" si="9"/>
        <v>0</v>
      </c>
      <c r="AX12" s="278">
        <f t="shared" si="10"/>
        <v>0</v>
      </c>
      <c r="AY12" s="39">
        <f t="shared" si="11"/>
        <v>0</v>
      </c>
      <c r="AZ12" s="25">
        <f t="shared" si="12"/>
        <v>0</v>
      </c>
      <c r="BA12" s="26">
        <f t="shared" si="13"/>
        <v>0</v>
      </c>
      <c r="BB12" s="25">
        <f>IFERROR(INDEX('Month-1'!$F$3:$F$53,MATCH($B12,'Month-1'!$B$3:$B$53,0)),0)</f>
        <v>0</v>
      </c>
      <c r="BC12" s="26">
        <f t="shared" si="14"/>
        <v>0</v>
      </c>
      <c r="BD12" s="26">
        <f>IFERROR(INDEX('Month-1'!$G$3:$G$53,MATCH($B12,'Month-1'!$B$3:$B$53,0)),0) + 1</f>
        <v>1</v>
      </c>
      <c r="BE12" s="26">
        <f t="shared" si="15"/>
        <v>0</v>
      </c>
    </row>
    <row r="13" spans="2:63" x14ac:dyDescent="0.2">
      <c r="B13" s="71"/>
      <c r="C13" s="18"/>
      <c r="D13" s="18"/>
      <c r="E13" s="18"/>
      <c r="F13" s="307"/>
      <c r="G13" s="25" t="str">
        <f>IFERROR(IF(VLOOKUP($B13,'Month-1'!$B$3:$D$53,2,0)=0,"",VLOOKUP($B13,'Month-1'!$B$3:$D$53,2,0)),"")</f>
        <v/>
      </c>
      <c r="H13" s="26" t="str">
        <f>IFERROR(IF(VLOOKUP($B13,'Month-1'!$B$3:$D$53,3,0)=0,"",VLOOKUP($B14,'Month-1'!$B$3:$D$53,3,0)),"")</f>
        <v/>
      </c>
      <c r="I13" s="24"/>
      <c r="J13" s="18"/>
      <c r="K13" s="356"/>
      <c r="L13" s="18"/>
      <c r="M13" s="356"/>
      <c r="N13" s="18"/>
      <c r="O13" s="356"/>
      <c r="P13" s="356"/>
      <c r="Q13" s="356"/>
      <c r="R13" s="356"/>
      <c r="S13" s="356"/>
      <c r="T13" s="356"/>
      <c r="U13" s="18"/>
      <c r="V13" s="18"/>
      <c r="W13" s="18"/>
      <c r="X13" s="18"/>
      <c r="Y13" s="356"/>
      <c r="Z13" s="356"/>
      <c r="AA13" s="356"/>
      <c r="AB13" s="356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26"/>
      <c r="AT13" s="42">
        <f t="shared" si="6"/>
        <v>0</v>
      </c>
      <c r="AU13" s="23">
        <f t="shared" si="7"/>
        <v>0</v>
      </c>
      <c r="AV13" s="23">
        <f t="shared" si="8"/>
        <v>0</v>
      </c>
      <c r="AW13" s="23">
        <f t="shared" si="9"/>
        <v>0</v>
      </c>
      <c r="AX13" s="278">
        <f t="shared" si="10"/>
        <v>0</v>
      </c>
      <c r="AY13" s="39">
        <f t="shared" si="11"/>
        <v>0</v>
      </c>
      <c r="AZ13" s="25">
        <f t="shared" si="12"/>
        <v>0</v>
      </c>
      <c r="BA13" s="26">
        <f t="shared" si="13"/>
        <v>0</v>
      </c>
      <c r="BB13" s="25">
        <f>IFERROR(INDEX('Month-1'!$F$3:$F$53,MATCH($B13,'Month-1'!$B$3:$B$53,0)),0)</f>
        <v>0</v>
      </c>
      <c r="BC13" s="26">
        <f t="shared" si="14"/>
        <v>0</v>
      </c>
      <c r="BD13" s="26">
        <f>IFERROR(INDEX('Month-1'!$G$3:$G$53,MATCH($B13,'Month-1'!$B$3:$B$53,0)),0) + 1</f>
        <v>1</v>
      </c>
      <c r="BE13" s="26">
        <f t="shared" si="15"/>
        <v>0</v>
      </c>
    </row>
    <row r="14" spans="2:63" x14ac:dyDescent="0.2">
      <c r="B14" s="71"/>
      <c r="C14" s="18"/>
      <c r="D14" s="18"/>
      <c r="E14" s="18"/>
      <c r="F14" s="307"/>
      <c r="G14" s="25" t="str">
        <f>IFERROR(IF(VLOOKUP($B14,'Month-1'!$B$3:$D$53,2,0)=0,"",VLOOKUP($B14,'Month-1'!$B$3:$D$53,2,0)),"")</f>
        <v/>
      </c>
      <c r="H14" s="26" t="str">
        <f>IFERROR(IF(VLOOKUP($B14,'Month-1'!$B$3:$D$53,3,0)=0,"",VLOOKUP($B15,'Month-1'!$B$3:$D$53,3,0)),"")</f>
        <v/>
      </c>
      <c r="I14" s="24"/>
      <c r="J14" s="18"/>
      <c r="K14" s="18"/>
      <c r="L14" s="356"/>
      <c r="M14" s="18"/>
      <c r="N14" s="18"/>
      <c r="O14" s="18"/>
      <c r="P14" s="18"/>
      <c r="Q14" s="18"/>
      <c r="R14" s="356"/>
      <c r="S14" s="18"/>
      <c r="T14" s="18"/>
      <c r="U14" s="18"/>
      <c r="V14" s="356"/>
      <c r="W14" s="356"/>
      <c r="X14" s="356"/>
      <c r="Y14" s="18"/>
      <c r="Z14" s="18"/>
      <c r="AA14" s="356"/>
      <c r="AB14" s="356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26"/>
      <c r="AT14" s="42">
        <f t="shared" si="6"/>
        <v>0</v>
      </c>
      <c r="AU14" s="23">
        <f t="shared" si="7"/>
        <v>0</v>
      </c>
      <c r="AV14" s="23">
        <f t="shared" si="8"/>
        <v>0</v>
      </c>
      <c r="AW14" s="23">
        <f t="shared" si="9"/>
        <v>0</v>
      </c>
      <c r="AX14" s="278">
        <f t="shared" si="10"/>
        <v>0</v>
      </c>
      <c r="AY14" s="39">
        <f t="shared" si="11"/>
        <v>0</v>
      </c>
      <c r="AZ14" s="25">
        <f t="shared" si="12"/>
        <v>0</v>
      </c>
      <c r="BA14" s="26">
        <f t="shared" si="13"/>
        <v>0</v>
      </c>
      <c r="BB14" s="25">
        <f>IFERROR(INDEX('Month-1'!$F$3:$F$53,MATCH($B14,'Month-1'!$B$3:$B$53,0)),0)</f>
        <v>0</v>
      </c>
      <c r="BC14" s="26">
        <f t="shared" si="14"/>
        <v>0</v>
      </c>
      <c r="BD14" s="26">
        <f>IFERROR(INDEX('Month-1'!$G$3:$G$53,MATCH($B14,'Month-1'!$B$3:$B$53,0)),0) + 1</f>
        <v>1</v>
      </c>
      <c r="BE14" s="26">
        <f t="shared" si="15"/>
        <v>0</v>
      </c>
    </row>
    <row r="15" spans="2:63" x14ac:dyDescent="0.2">
      <c r="B15" s="71"/>
      <c r="C15" s="18"/>
      <c r="D15" s="18"/>
      <c r="E15" s="18"/>
      <c r="F15" s="307"/>
      <c r="G15" s="25" t="str">
        <f>IFERROR(IF(VLOOKUP($B15,'Month-1'!$B$3:$D$53,2,0)=0,"",VLOOKUP($B15,'Month-1'!$B$3:$D$53,2,0)),"")</f>
        <v/>
      </c>
      <c r="H15" s="26" t="str">
        <f>IFERROR(IF(VLOOKUP($B15,'Month-1'!$B$3:$D$53,3,0)=0,"",VLOOKUP($B16,'Month-1'!$B$3:$D$53,3,0)),"")</f>
        <v/>
      </c>
      <c r="I15" s="24"/>
      <c r="J15" s="18"/>
      <c r="K15" s="356"/>
      <c r="L15" s="18"/>
      <c r="M15" s="356"/>
      <c r="N15" s="356"/>
      <c r="O15" s="356"/>
      <c r="P15" s="356"/>
      <c r="Q15" s="356"/>
      <c r="R15" s="356"/>
      <c r="S15" s="356"/>
      <c r="T15" s="18"/>
      <c r="U15" s="356"/>
      <c r="V15" s="356"/>
      <c r="W15" s="356"/>
      <c r="X15" s="356"/>
      <c r="Y15" s="18"/>
      <c r="Z15" s="18"/>
      <c r="AA15" s="356"/>
      <c r="AB15" s="356"/>
      <c r="AC15" s="18"/>
      <c r="AD15" s="18"/>
      <c r="AE15" s="18"/>
      <c r="AF15" s="18"/>
      <c r="AG15" s="356"/>
      <c r="AH15" s="356"/>
      <c r="AI15" s="356"/>
      <c r="AJ15" s="18"/>
      <c r="AK15" s="18"/>
      <c r="AL15" s="18"/>
      <c r="AM15" s="18"/>
      <c r="AN15" s="18"/>
      <c r="AO15" s="356"/>
      <c r="AP15" s="356"/>
      <c r="AQ15" s="356"/>
      <c r="AR15" s="358"/>
      <c r="AT15" s="42">
        <f t="shared" si="6"/>
        <v>0</v>
      </c>
      <c r="AU15" s="23">
        <f t="shared" si="7"/>
        <v>0</v>
      </c>
      <c r="AV15" s="23">
        <f t="shared" si="8"/>
        <v>0</v>
      </c>
      <c r="AW15" s="23">
        <f t="shared" si="9"/>
        <v>0</v>
      </c>
      <c r="AX15" s="278">
        <f t="shared" si="10"/>
        <v>0</v>
      </c>
      <c r="AY15" s="39">
        <f t="shared" si="11"/>
        <v>0</v>
      </c>
      <c r="AZ15" s="25">
        <f t="shared" si="12"/>
        <v>0</v>
      </c>
      <c r="BA15" s="26">
        <f t="shared" si="13"/>
        <v>0</v>
      </c>
      <c r="BB15" s="25">
        <f>IFERROR(INDEX('Month-1'!$F$3:$F$53,MATCH($B15,'Month-1'!$B$3:$B$53,0)),0)</f>
        <v>0</v>
      </c>
      <c r="BC15" s="26">
        <f t="shared" si="14"/>
        <v>0</v>
      </c>
      <c r="BD15" s="26">
        <f>IFERROR(INDEX('Month-1'!$G$3:$G$53,MATCH($B15,'Month-1'!$B$3:$B$53,0)),0) + 1</f>
        <v>1</v>
      </c>
      <c r="BE15" s="26">
        <f t="shared" si="15"/>
        <v>0</v>
      </c>
    </row>
    <row r="16" spans="2:63" x14ac:dyDescent="0.2">
      <c r="B16" s="71"/>
      <c r="C16" s="18"/>
      <c r="D16" s="18"/>
      <c r="E16" s="18"/>
      <c r="F16" s="307"/>
      <c r="G16" s="25" t="str">
        <f>IFERROR(IF(VLOOKUP($B16,'Month-1'!$B$3:$D$53,2,0)=0,"",VLOOKUP($B16,'Month-1'!$B$3:$D$53,2,0)),"")</f>
        <v/>
      </c>
      <c r="H16" s="26" t="str">
        <f>IFERROR(IF(VLOOKUP($B16,'Month-1'!$B$3:$D$53,3,0)=0,"",VLOOKUP($B17,'Month-1'!$B$3:$D$53,3,0)),"")</f>
        <v/>
      </c>
      <c r="I16" s="24"/>
      <c r="J16" s="18"/>
      <c r="K16" s="18"/>
      <c r="L16" s="18"/>
      <c r="M16" s="18"/>
      <c r="N16" s="18"/>
      <c r="O16" s="18"/>
      <c r="P16" s="18"/>
      <c r="Q16" s="356"/>
      <c r="R16" s="356"/>
      <c r="S16" s="356"/>
      <c r="T16" s="356"/>
      <c r="U16" s="18"/>
      <c r="V16" s="18"/>
      <c r="W16" s="18"/>
      <c r="X16" s="18"/>
      <c r="Y16" s="18"/>
      <c r="Z16" s="18"/>
      <c r="AA16" s="356"/>
      <c r="AB16" s="356"/>
      <c r="AC16" s="18"/>
      <c r="AD16" s="18"/>
      <c r="AE16" s="18"/>
      <c r="AF16" s="18"/>
      <c r="AG16" s="18"/>
      <c r="AH16" s="356"/>
      <c r="AI16" s="18"/>
      <c r="AJ16" s="18"/>
      <c r="AK16" s="18"/>
      <c r="AL16" s="356"/>
      <c r="AM16" s="18"/>
      <c r="AN16" s="356"/>
      <c r="AO16" s="18"/>
      <c r="AP16" s="18"/>
      <c r="AQ16" s="18"/>
      <c r="AR16" s="358"/>
      <c r="AT16" s="42">
        <f t="shared" si="6"/>
        <v>0</v>
      </c>
      <c r="AU16" s="23">
        <f t="shared" si="7"/>
        <v>0</v>
      </c>
      <c r="AV16" s="23">
        <f t="shared" si="8"/>
        <v>0</v>
      </c>
      <c r="AW16" s="23">
        <f t="shared" si="9"/>
        <v>0</v>
      </c>
      <c r="AX16" s="278">
        <f t="shared" si="10"/>
        <v>0</v>
      </c>
      <c r="AY16" s="39">
        <f t="shared" si="11"/>
        <v>0</v>
      </c>
      <c r="AZ16" s="25">
        <f t="shared" si="12"/>
        <v>0</v>
      </c>
      <c r="BA16" s="26">
        <f t="shared" si="13"/>
        <v>0</v>
      </c>
      <c r="BB16" s="25">
        <f>IFERROR(INDEX('Month-1'!$F$3:$F$53,MATCH($B16,'Month-1'!$B$3:$B$53,0)),0)</f>
        <v>0</v>
      </c>
      <c r="BC16" s="26">
        <f t="shared" si="14"/>
        <v>0</v>
      </c>
      <c r="BD16" s="26">
        <f>IFERROR(INDEX('Month-1'!$G$3:$G$53,MATCH($B16,'Month-1'!$B$3:$B$53,0)),0) + 1</f>
        <v>1</v>
      </c>
      <c r="BE16" s="26">
        <f t="shared" si="15"/>
        <v>0</v>
      </c>
    </row>
    <row r="17" spans="2:57" x14ac:dyDescent="0.2">
      <c r="B17" s="71"/>
      <c r="C17" s="18"/>
      <c r="D17" s="18"/>
      <c r="E17" s="18"/>
      <c r="F17" s="307"/>
      <c r="G17" s="25" t="str">
        <f>IFERROR(IF(VLOOKUP($B17,'Month-1'!$B$3:$D$53,2,0)=0,"",VLOOKUP($B17,'Month-1'!$B$3:$D$53,2,0)),"")</f>
        <v/>
      </c>
      <c r="H17" s="26" t="str">
        <f>IFERROR(IF(VLOOKUP($B17,'Month-1'!$B$3:$D$53,3,0)=0,"",VLOOKUP($B18,'Month-1'!$B$3:$D$53,3,0)),"")</f>
        <v/>
      </c>
      <c r="I17" s="24"/>
      <c r="J17" s="18"/>
      <c r="K17" s="356"/>
      <c r="L17" s="356"/>
      <c r="M17" s="356"/>
      <c r="N17" s="356"/>
      <c r="O17" s="356"/>
      <c r="P17" s="356"/>
      <c r="Q17" s="356"/>
      <c r="R17" s="356"/>
      <c r="S17" s="356"/>
      <c r="T17" s="356"/>
      <c r="U17" s="356"/>
      <c r="V17" s="18"/>
      <c r="W17" s="18"/>
      <c r="X17" s="18"/>
      <c r="Y17" s="356"/>
      <c r="Z17" s="18"/>
      <c r="AA17" s="356"/>
      <c r="AB17" s="18"/>
      <c r="AC17" s="18"/>
      <c r="AD17" s="18"/>
      <c r="AE17" s="18"/>
      <c r="AF17" s="18"/>
      <c r="AG17" s="18"/>
      <c r="AH17" s="356"/>
      <c r="AI17" s="356"/>
      <c r="AJ17" s="18"/>
      <c r="AK17" s="18"/>
      <c r="AL17" s="18"/>
      <c r="AM17" s="18"/>
      <c r="AN17" s="356"/>
      <c r="AO17" s="356"/>
      <c r="AP17" s="356"/>
      <c r="AQ17" s="356"/>
      <c r="AR17" s="358"/>
      <c r="AT17" s="42">
        <f t="shared" si="6"/>
        <v>0</v>
      </c>
      <c r="AU17" s="23">
        <f t="shared" si="7"/>
        <v>0</v>
      </c>
      <c r="AV17" s="23">
        <f t="shared" si="8"/>
        <v>0</v>
      </c>
      <c r="AW17" s="23">
        <f t="shared" si="9"/>
        <v>0</v>
      </c>
      <c r="AX17" s="278">
        <f t="shared" si="10"/>
        <v>0</v>
      </c>
      <c r="AY17" s="39">
        <f t="shared" si="11"/>
        <v>0</v>
      </c>
      <c r="AZ17" s="25">
        <f t="shared" si="12"/>
        <v>0</v>
      </c>
      <c r="BA17" s="26">
        <f t="shared" si="13"/>
        <v>0</v>
      </c>
      <c r="BB17" s="25">
        <f>IFERROR(INDEX('Month-1'!$F$3:$F$53,MATCH($B17,'Month-1'!$B$3:$B$53,0)),0)</f>
        <v>0</v>
      </c>
      <c r="BC17" s="26">
        <f t="shared" si="14"/>
        <v>0</v>
      </c>
      <c r="BD17" s="26">
        <f>IFERROR(INDEX('Month-1'!$G$3:$G$53,MATCH($B17,'Month-1'!$B$3:$B$53,0)),0) + 1</f>
        <v>1</v>
      </c>
      <c r="BE17" s="26">
        <f t="shared" si="15"/>
        <v>0</v>
      </c>
    </row>
    <row r="18" spans="2:57" x14ac:dyDescent="0.2">
      <c r="B18" s="71"/>
      <c r="C18" s="18"/>
      <c r="D18" s="18"/>
      <c r="E18" s="18"/>
      <c r="F18" s="307"/>
      <c r="G18" s="25" t="str">
        <f>IFERROR(IF(VLOOKUP($B18,'Month-1'!$B$3:$D$53,2,0)=0,"",VLOOKUP($B18,'Month-1'!$B$3:$D$53,2,0)),"")</f>
        <v/>
      </c>
      <c r="H18" s="26" t="str">
        <f>IFERROR(IF(VLOOKUP($B18,'Month-1'!$B$3:$D$53,3,0)=0,"",VLOOKUP($B19,'Month-1'!$B$3:$D$53,3,0)),"")</f>
        <v/>
      </c>
      <c r="I18" s="24"/>
      <c r="J18" s="18"/>
      <c r="K18" s="356"/>
      <c r="L18" s="18"/>
      <c r="M18" s="18"/>
      <c r="N18" s="356"/>
      <c r="O18" s="18"/>
      <c r="P18" s="18"/>
      <c r="Q18" s="356"/>
      <c r="R18" s="18"/>
      <c r="S18" s="18"/>
      <c r="T18" s="356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356"/>
      <c r="AF18" s="18"/>
      <c r="AG18" s="18"/>
      <c r="AH18" s="356"/>
      <c r="AI18" s="18"/>
      <c r="AJ18" s="18"/>
      <c r="AK18" s="18"/>
      <c r="AL18" s="18"/>
      <c r="AM18" s="356"/>
      <c r="AN18" s="356"/>
      <c r="AO18" s="356"/>
      <c r="AP18" s="356"/>
      <c r="AQ18" s="356"/>
      <c r="AR18" s="358"/>
      <c r="AT18" s="42">
        <f t="shared" si="6"/>
        <v>0</v>
      </c>
      <c r="AU18" s="23">
        <f t="shared" si="7"/>
        <v>0</v>
      </c>
      <c r="AV18" s="23">
        <f t="shared" si="8"/>
        <v>0</v>
      </c>
      <c r="AW18" s="23">
        <f t="shared" si="9"/>
        <v>0</v>
      </c>
      <c r="AX18" s="278">
        <f t="shared" si="10"/>
        <v>0</v>
      </c>
      <c r="AY18" s="39">
        <f t="shared" si="11"/>
        <v>0</v>
      </c>
      <c r="AZ18" s="25">
        <f t="shared" si="12"/>
        <v>0</v>
      </c>
      <c r="BA18" s="26">
        <f t="shared" si="13"/>
        <v>0</v>
      </c>
      <c r="BB18" s="25">
        <f>IFERROR(INDEX('Month-1'!$F$3:$F$53,MATCH($B18,'Month-1'!$B$3:$B$53,0)),0)</f>
        <v>0</v>
      </c>
      <c r="BC18" s="26">
        <f t="shared" si="14"/>
        <v>0</v>
      </c>
      <c r="BD18" s="26">
        <f>IFERROR(INDEX('Month-1'!$G$3:$G$53,MATCH($B18,'Month-1'!$B$3:$B$53,0)),0) + 1</f>
        <v>1</v>
      </c>
      <c r="BE18" s="26">
        <f t="shared" si="15"/>
        <v>0</v>
      </c>
    </row>
    <row r="19" spans="2:57" x14ac:dyDescent="0.2">
      <c r="B19" s="71"/>
      <c r="C19" s="18"/>
      <c r="D19" s="18"/>
      <c r="E19" s="18"/>
      <c r="F19" s="307"/>
      <c r="G19" s="25" t="str">
        <f>IFERROR(IF(VLOOKUP($B19,'Month-1'!$B$3:$D$53,2,0)=0,"",VLOOKUP($B19,'Month-1'!$B$3:$D$53,2,0)),"")</f>
        <v/>
      </c>
      <c r="H19" s="26" t="str">
        <f>IFERROR(IF(VLOOKUP($B19,'Month-1'!$B$3:$D$53,3,0)=0,"",VLOOKUP($B20,'Month-1'!$B$3:$D$53,3,0)),"")</f>
        <v/>
      </c>
      <c r="I19" s="24"/>
      <c r="J19" s="18"/>
      <c r="K19" s="18"/>
      <c r="L19" s="18"/>
      <c r="M19" s="18"/>
      <c r="N19" s="18"/>
      <c r="O19" s="18"/>
      <c r="P19" s="18"/>
      <c r="Q19" s="356"/>
      <c r="R19" s="356"/>
      <c r="S19" s="356"/>
      <c r="T19" s="18"/>
      <c r="U19" s="18"/>
      <c r="V19" s="18"/>
      <c r="W19" s="356"/>
      <c r="X19" s="18"/>
      <c r="Y19" s="18"/>
      <c r="Z19" s="18"/>
      <c r="AA19" s="356"/>
      <c r="AB19" s="18"/>
      <c r="AC19" s="18"/>
      <c r="AD19" s="356"/>
      <c r="AE19" s="18"/>
      <c r="AF19" s="18"/>
      <c r="AG19" s="356"/>
      <c r="AH19" s="356"/>
      <c r="AI19" s="18"/>
      <c r="AJ19" s="18"/>
      <c r="AK19" s="18"/>
      <c r="AL19" s="18"/>
      <c r="AM19" s="18"/>
      <c r="AN19" s="356"/>
      <c r="AO19" s="18"/>
      <c r="AP19" s="356"/>
      <c r="AQ19" s="356"/>
      <c r="AR19" s="26"/>
      <c r="AT19" s="42">
        <f t="shared" si="6"/>
        <v>0</v>
      </c>
      <c r="AU19" s="23">
        <f t="shared" si="7"/>
        <v>0</v>
      </c>
      <c r="AV19" s="23">
        <f t="shared" si="8"/>
        <v>0</v>
      </c>
      <c r="AW19" s="23">
        <f t="shared" si="9"/>
        <v>0</v>
      </c>
      <c r="AX19" s="278">
        <f t="shared" si="10"/>
        <v>0</v>
      </c>
      <c r="AY19" s="39">
        <f t="shared" si="11"/>
        <v>0</v>
      </c>
      <c r="AZ19" s="25">
        <f t="shared" si="12"/>
        <v>0</v>
      </c>
      <c r="BA19" s="26">
        <f t="shared" si="13"/>
        <v>0</v>
      </c>
      <c r="BB19" s="25">
        <f>IFERROR(INDEX('Month-1'!$F$3:$F$53,MATCH($B19,'Month-1'!$B$3:$B$53,0)),0)</f>
        <v>0</v>
      </c>
      <c r="BC19" s="26">
        <f t="shared" si="14"/>
        <v>0</v>
      </c>
      <c r="BD19" s="26">
        <f>IFERROR(INDEX('Month-1'!$G$3:$G$53,MATCH($B19,'Month-1'!$B$3:$B$53,0)),0) + 1</f>
        <v>1</v>
      </c>
      <c r="BE19" s="26">
        <f t="shared" si="15"/>
        <v>0</v>
      </c>
    </row>
    <row r="20" spans="2:57" x14ac:dyDescent="0.2">
      <c r="B20" s="71"/>
      <c r="C20" s="18"/>
      <c r="D20" s="18"/>
      <c r="E20" s="18"/>
      <c r="F20" s="307"/>
      <c r="G20" s="25" t="str">
        <f>IFERROR(IF(VLOOKUP($B20,'Month-1'!$B$3:$D$53,2,0)=0,"",VLOOKUP($B20,'Month-1'!$B$3:$D$53,2,0)),"")</f>
        <v/>
      </c>
      <c r="H20" s="26" t="str">
        <f>IFERROR(IF(VLOOKUP($B20,'Month-1'!$B$3:$D$53,3,0)=0,"",VLOOKUP($B21,'Month-1'!$B$3:$D$53,3,0)),"")</f>
        <v/>
      </c>
      <c r="I20" s="24"/>
      <c r="J20" s="18"/>
      <c r="K20" s="356"/>
      <c r="L20" s="18"/>
      <c r="M20" s="18"/>
      <c r="N20" s="18"/>
      <c r="O20" s="18"/>
      <c r="P20" s="18"/>
      <c r="Q20" s="18"/>
      <c r="R20" s="18"/>
      <c r="S20" s="18"/>
      <c r="T20" s="356"/>
      <c r="U20" s="18"/>
      <c r="V20" s="18"/>
      <c r="W20" s="18"/>
      <c r="X20" s="18"/>
      <c r="Y20" s="356"/>
      <c r="Z20" s="356"/>
      <c r="AA20" s="356"/>
      <c r="AB20" s="356"/>
      <c r="AC20" s="356"/>
      <c r="AD20" s="356"/>
      <c r="AE20" s="356"/>
      <c r="AF20" s="356"/>
      <c r="AG20" s="356"/>
      <c r="AH20" s="356"/>
      <c r="AI20" s="356"/>
      <c r="AJ20" s="356"/>
      <c r="AK20" s="356"/>
      <c r="AL20" s="356"/>
      <c r="AM20" s="18"/>
      <c r="AN20" s="18"/>
      <c r="AO20" s="18"/>
      <c r="AP20" s="356"/>
      <c r="AQ20" s="356"/>
      <c r="AR20" s="358"/>
      <c r="AT20" s="42">
        <f t="shared" si="6"/>
        <v>0</v>
      </c>
      <c r="AU20" s="23">
        <f t="shared" si="7"/>
        <v>0</v>
      </c>
      <c r="AV20" s="23">
        <f t="shared" si="8"/>
        <v>0</v>
      </c>
      <c r="AW20" s="23">
        <f t="shared" si="9"/>
        <v>0</v>
      </c>
      <c r="AX20" s="278">
        <f t="shared" si="10"/>
        <v>0</v>
      </c>
      <c r="AY20" s="39">
        <f t="shared" si="11"/>
        <v>0</v>
      </c>
      <c r="AZ20" s="25">
        <f t="shared" si="12"/>
        <v>0</v>
      </c>
      <c r="BA20" s="26">
        <f t="shared" si="13"/>
        <v>0</v>
      </c>
      <c r="BB20" s="25">
        <f>IFERROR(INDEX('Month-1'!$F$3:$F$53,MATCH($B20,'Month-1'!$B$3:$B$53,0)),0)</f>
        <v>0</v>
      </c>
      <c r="BC20" s="26">
        <f t="shared" si="14"/>
        <v>0</v>
      </c>
      <c r="BD20" s="26">
        <f>IFERROR(INDEX('Month-1'!$G$3:$G$53,MATCH($B20,'Month-1'!$B$3:$B$53,0)),0) + 1</f>
        <v>1</v>
      </c>
      <c r="BE20" s="26">
        <f t="shared" si="15"/>
        <v>0</v>
      </c>
    </row>
    <row r="21" spans="2:57" x14ac:dyDescent="0.2">
      <c r="B21" s="71"/>
      <c r="C21" s="18"/>
      <c r="D21" s="18"/>
      <c r="E21" s="18"/>
      <c r="F21" s="307"/>
      <c r="G21" s="25" t="str">
        <f>IFERROR(IF(VLOOKUP($B21,'Month-1'!$B$3:$D$53,2,0)=0,"",VLOOKUP($B21,'Month-1'!$B$3:$D$53,2,0)),"")</f>
        <v/>
      </c>
      <c r="H21" s="26" t="str">
        <f>IFERROR(IF(VLOOKUP($B21,'Month-1'!$B$3:$D$53,3,0)=0,"",VLOOKUP($B22,'Month-1'!$B$3:$D$53,3,0)),"")</f>
        <v/>
      </c>
      <c r="I21" s="24"/>
      <c r="J21" s="18"/>
      <c r="K21" s="18"/>
      <c r="L21" s="18"/>
      <c r="M21" s="18"/>
      <c r="N21" s="18"/>
      <c r="O21" s="18"/>
      <c r="P21" s="18"/>
      <c r="Q21" s="18"/>
      <c r="R21" s="356"/>
      <c r="S21" s="18"/>
      <c r="T21" s="18"/>
      <c r="U21" s="18"/>
      <c r="V21" s="18"/>
      <c r="W21" s="356"/>
      <c r="X21" s="18"/>
      <c r="Y21" s="356"/>
      <c r="Z21" s="18"/>
      <c r="AA21" s="356"/>
      <c r="AB21" s="356"/>
      <c r="AC21" s="356"/>
      <c r="AD21" s="356"/>
      <c r="AE21" s="356"/>
      <c r="AF21" s="356"/>
      <c r="AG21" s="356"/>
      <c r="AH21" s="356"/>
      <c r="AI21" s="356"/>
      <c r="AJ21" s="356"/>
      <c r="AK21" s="356"/>
      <c r="AL21" s="356"/>
      <c r="AM21" s="18"/>
      <c r="AN21" s="356"/>
      <c r="AO21" s="356"/>
      <c r="AP21" s="356"/>
      <c r="AQ21" s="356"/>
      <c r="AR21" s="358"/>
      <c r="AT21" s="42">
        <f t="shared" si="6"/>
        <v>0</v>
      </c>
      <c r="AU21" s="23">
        <f t="shared" si="7"/>
        <v>0</v>
      </c>
      <c r="AV21" s="23">
        <f t="shared" si="8"/>
        <v>0</v>
      </c>
      <c r="AW21" s="23">
        <f t="shared" si="9"/>
        <v>0</v>
      </c>
      <c r="AX21" s="278">
        <f t="shared" si="10"/>
        <v>0</v>
      </c>
      <c r="AY21" s="39">
        <f t="shared" si="11"/>
        <v>0</v>
      </c>
      <c r="AZ21" s="25">
        <f t="shared" si="12"/>
        <v>0</v>
      </c>
      <c r="BA21" s="26">
        <f t="shared" si="13"/>
        <v>0</v>
      </c>
      <c r="BB21" s="25">
        <f>IFERROR(INDEX('Month-1'!$F$3:$F$53,MATCH($B21,'Month-1'!$B$3:$B$53,0)),0)</f>
        <v>0</v>
      </c>
      <c r="BC21" s="26">
        <f t="shared" si="14"/>
        <v>0</v>
      </c>
      <c r="BD21" s="26">
        <f>IFERROR(INDEX('Month-1'!$G$3:$G$53,MATCH($B21,'Month-1'!$B$3:$B$53,0)),0) + 1</f>
        <v>1</v>
      </c>
      <c r="BE21" s="26">
        <f t="shared" si="15"/>
        <v>0</v>
      </c>
    </row>
    <row r="22" spans="2:57" x14ac:dyDescent="0.2">
      <c r="B22" s="71"/>
      <c r="C22" s="18"/>
      <c r="D22" s="18"/>
      <c r="E22" s="18"/>
      <c r="F22" s="307"/>
      <c r="G22" s="25" t="str">
        <f>IFERROR(IF(VLOOKUP($B22,'Month-1'!$B$3:$D$53,2,0)=0,"",VLOOKUP($B22,'Month-1'!$B$3:$D$53,2,0)),"")</f>
        <v/>
      </c>
      <c r="H22" s="26" t="str">
        <f>IFERROR(IF(VLOOKUP($B22,'Month-1'!$B$3:$D$53,3,0)=0,"",VLOOKUP($B23,'Month-1'!$B$3:$D$53,3,0)),"")</f>
        <v/>
      </c>
      <c r="I22" s="24"/>
      <c r="J22" s="18"/>
      <c r="K22" s="18"/>
      <c r="L22" s="18"/>
      <c r="M22" s="18"/>
      <c r="N22" s="18"/>
      <c r="O22" s="356"/>
      <c r="P22" s="356"/>
      <c r="Q22" s="18"/>
      <c r="R22" s="18"/>
      <c r="S22" s="356"/>
      <c r="T22" s="356"/>
      <c r="U22" s="356"/>
      <c r="V22" s="356"/>
      <c r="W22" s="356"/>
      <c r="X22" s="356"/>
      <c r="Y22" s="356"/>
      <c r="Z22" s="356"/>
      <c r="AA22" s="356"/>
      <c r="AB22" s="356"/>
      <c r="AC22" s="356"/>
      <c r="AD22" s="356"/>
      <c r="AE22" s="18"/>
      <c r="AF22" s="18"/>
      <c r="AG22" s="18"/>
      <c r="AH22" s="356"/>
      <c r="AI22" s="356"/>
      <c r="AJ22" s="18"/>
      <c r="AK22" s="18"/>
      <c r="AL22" s="18"/>
      <c r="AM22" s="18"/>
      <c r="AN22" s="18"/>
      <c r="AO22" s="18"/>
      <c r="AP22" s="356"/>
      <c r="AQ22" s="356"/>
      <c r="AR22" s="26"/>
      <c r="AT22" s="42">
        <f t="shared" si="6"/>
        <v>0</v>
      </c>
      <c r="AU22" s="23">
        <f t="shared" si="7"/>
        <v>0</v>
      </c>
      <c r="AV22" s="23">
        <f t="shared" si="8"/>
        <v>0</v>
      </c>
      <c r="AW22" s="23">
        <f t="shared" si="9"/>
        <v>0</v>
      </c>
      <c r="AX22" s="278">
        <f t="shared" si="10"/>
        <v>0</v>
      </c>
      <c r="AY22" s="39">
        <f t="shared" si="11"/>
        <v>0</v>
      </c>
      <c r="AZ22" s="25">
        <f t="shared" si="12"/>
        <v>0</v>
      </c>
      <c r="BA22" s="26">
        <f t="shared" si="13"/>
        <v>0</v>
      </c>
      <c r="BB22" s="25">
        <f>IFERROR(INDEX('Month-1'!$F$3:$F$53,MATCH($B22,'Month-1'!$B$3:$B$53,0)),0)</f>
        <v>0</v>
      </c>
      <c r="BC22" s="26">
        <f t="shared" si="14"/>
        <v>0</v>
      </c>
      <c r="BD22" s="26">
        <f>IFERROR(INDEX('Month-1'!$G$3:$G$53,MATCH($B22,'Month-1'!$B$3:$B$53,0)),0) + 1</f>
        <v>1</v>
      </c>
      <c r="BE22" s="26">
        <f t="shared" si="15"/>
        <v>0</v>
      </c>
    </row>
    <row r="23" spans="2:57" x14ac:dyDescent="0.2">
      <c r="B23" s="71"/>
      <c r="C23" s="18"/>
      <c r="D23" s="18"/>
      <c r="E23" s="18"/>
      <c r="F23" s="307"/>
      <c r="G23" s="25" t="str">
        <f>IFERROR(IF(VLOOKUP($B23,'Month-1'!$B$3:$D$53,2,0)=0,"",VLOOKUP($B23,'Month-1'!$B$3:$D$53,2,0)),"")</f>
        <v/>
      </c>
      <c r="H23" s="26" t="str">
        <f>IFERROR(IF(VLOOKUP($B23,'Month-1'!$B$3:$D$53,3,0)=0,"",VLOOKUP($B24,'Month-1'!$B$3:$D$53,3,0)),"")</f>
        <v/>
      </c>
      <c r="I23" s="24"/>
      <c r="J23" s="18"/>
      <c r="K23" s="356"/>
      <c r="L23" s="356"/>
      <c r="M23" s="18"/>
      <c r="N23" s="18"/>
      <c r="O23" s="18"/>
      <c r="P23" s="18"/>
      <c r="Q23" s="18"/>
      <c r="R23" s="18"/>
      <c r="S23" s="18"/>
      <c r="T23" s="18"/>
      <c r="U23" s="356"/>
      <c r="V23" s="356"/>
      <c r="W23" s="356"/>
      <c r="X23" s="356"/>
      <c r="Y23" s="356"/>
      <c r="Z23" s="18"/>
      <c r="AA23" s="18"/>
      <c r="AB23" s="18"/>
      <c r="AC23" s="18"/>
      <c r="AD23" s="18"/>
      <c r="AE23" s="18"/>
      <c r="AF23" s="18"/>
      <c r="AG23" s="18"/>
      <c r="AH23" s="18"/>
      <c r="AI23" s="356"/>
      <c r="AJ23" s="18"/>
      <c r="AK23" s="18"/>
      <c r="AL23" s="18"/>
      <c r="AM23" s="18"/>
      <c r="AN23" s="356"/>
      <c r="AO23" s="356"/>
      <c r="AP23" s="18"/>
      <c r="AQ23" s="18"/>
      <c r="AR23" s="26"/>
      <c r="AT23" s="42">
        <f t="shared" si="6"/>
        <v>0</v>
      </c>
      <c r="AU23" s="23">
        <f t="shared" si="7"/>
        <v>0</v>
      </c>
      <c r="AV23" s="23">
        <f t="shared" si="8"/>
        <v>0</v>
      </c>
      <c r="AW23" s="23">
        <f t="shared" si="9"/>
        <v>0</v>
      </c>
      <c r="AX23" s="278">
        <f t="shared" si="10"/>
        <v>0</v>
      </c>
      <c r="AY23" s="39">
        <f t="shared" si="11"/>
        <v>0</v>
      </c>
      <c r="AZ23" s="25">
        <f t="shared" si="12"/>
        <v>0</v>
      </c>
      <c r="BA23" s="26">
        <f t="shared" si="13"/>
        <v>0</v>
      </c>
      <c r="BB23" s="25">
        <f>IFERROR(INDEX('Month-1'!$F$3:$F$53,MATCH($B23,'Month-1'!$B$3:$B$53,0)),0)</f>
        <v>0</v>
      </c>
      <c r="BC23" s="26">
        <f t="shared" si="14"/>
        <v>0</v>
      </c>
      <c r="BD23" s="26">
        <f>IFERROR(INDEX('Month-1'!$G$3:$G$53,MATCH($B23,'Month-1'!$B$3:$B$53,0)),0) + 1</f>
        <v>1</v>
      </c>
      <c r="BE23" s="26">
        <f t="shared" si="15"/>
        <v>0</v>
      </c>
    </row>
    <row r="24" spans="2:57" x14ac:dyDescent="0.2">
      <c r="B24" s="71"/>
      <c r="C24" s="18"/>
      <c r="D24" s="18"/>
      <c r="E24" s="18"/>
      <c r="F24" s="307"/>
      <c r="G24" s="25" t="str">
        <f>IFERROR(IF(VLOOKUP($B24,'Month-1'!$B$3:$D$53,2,0)=0,"",VLOOKUP($B24,'Month-1'!$B$3:$D$53,2,0)),"")</f>
        <v/>
      </c>
      <c r="H24" s="26" t="str">
        <f>IFERROR(IF(VLOOKUP($B24,'Month-1'!$B$3:$D$53,3,0)=0,"",VLOOKUP($B25,'Month-1'!$B$3:$D$53,3,0)),"")</f>
        <v/>
      </c>
      <c r="I24" s="24"/>
      <c r="J24" s="356"/>
      <c r="K24" s="18"/>
      <c r="L24" s="18"/>
      <c r="M24" s="18"/>
      <c r="N24" s="18"/>
      <c r="O24" s="18"/>
      <c r="P24" s="18"/>
      <c r="Q24" s="18"/>
      <c r="R24" s="18"/>
      <c r="S24" s="18"/>
      <c r="T24" s="356"/>
      <c r="U24" s="356"/>
      <c r="V24" s="18"/>
      <c r="W24" s="18"/>
      <c r="X24" s="356"/>
      <c r="Y24" s="356"/>
      <c r="Z24" s="356"/>
      <c r="AA24" s="356"/>
      <c r="AB24" s="356"/>
      <c r="AC24" s="356"/>
      <c r="AD24" s="356"/>
      <c r="AE24" s="356"/>
      <c r="AF24" s="356"/>
      <c r="AG24" s="18"/>
      <c r="AH24" s="356"/>
      <c r="AI24" s="356"/>
      <c r="AJ24" s="356"/>
      <c r="AK24" s="356"/>
      <c r="AL24" s="18"/>
      <c r="AM24" s="18"/>
      <c r="AN24" s="356"/>
      <c r="AO24" s="356"/>
      <c r="AP24" s="18"/>
      <c r="AQ24" s="18"/>
      <c r="AR24" s="26"/>
      <c r="AT24" s="42">
        <f t="shared" si="6"/>
        <v>0</v>
      </c>
      <c r="AU24" s="23">
        <f t="shared" si="7"/>
        <v>0</v>
      </c>
      <c r="AV24" s="23">
        <f t="shared" si="8"/>
        <v>0</v>
      </c>
      <c r="AW24" s="23">
        <f t="shared" si="9"/>
        <v>0</v>
      </c>
      <c r="AX24" s="278">
        <f t="shared" si="10"/>
        <v>0</v>
      </c>
      <c r="AY24" s="39">
        <f t="shared" si="11"/>
        <v>0</v>
      </c>
      <c r="AZ24" s="25">
        <f t="shared" si="12"/>
        <v>0</v>
      </c>
      <c r="BA24" s="26">
        <f t="shared" si="13"/>
        <v>0</v>
      </c>
      <c r="BB24" s="25">
        <f>IFERROR(INDEX('Month-1'!$F$3:$F$53,MATCH($B24,'Month-1'!$B$3:$B$53,0)),0)</f>
        <v>0</v>
      </c>
      <c r="BC24" s="26">
        <f t="shared" si="14"/>
        <v>0</v>
      </c>
      <c r="BD24" s="26">
        <f>IFERROR(INDEX('Month-1'!$G$3:$G$53,MATCH($B24,'Month-1'!$B$3:$B$53,0)),0) + 1</f>
        <v>1</v>
      </c>
      <c r="BE24" s="26">
        <f t="shared" si="15"/>
        <v>0</v>
      </c>
    </row>
    <row r="25" spans="2:57" x14ac:dyDescent="0.2">
      <c r="B25" s="71"/>
      <c r="C25" s="18"/>
      <c r="D25" s="18"/>
      <c r="E25" s="18"/>
      <c r="F25" s="307"/>
      <c r="G25" s="25" t="str">
        <f>IFERROR(IF(VLOOKUP($B25,'Month-1'!$B$3:$D$53,2,0)=0,"",VLOOKUP($B25,'Month-1'!$B$3:$D$53,2,0)),"")</f>
        <v/>
      </c>
      <c r="H25" s="26" t="str">
        <f>IFERROR(IF(VLOOKUP($B25,'Month-1'!$B$3:$D$53,3,0)=0,"",VLOOKUP($B26,'Month-1'!$B$3:$D$53,3,0)),"")</f>
        <v/>
      </c>
      <c r="I25" s="24"/>
      <c r="J25" s="18"/>
      <c r="K25" s="18"/>
      <c r="L25" s="356"/>
      <c r="M25" s="18"/>
      <c r="N25" s="356"/>
      <c r="O25" s="18"/>
      <c r="P25" s="18"/>
      <c r="Q25" s="18"/>
      <c r="R25" s="18"/>
      <c r="S25" s="18"/>
      <c r="T25" s="18"/>
      <c r="U25" s="356"/>
      <c r="V25" s="18"/>
      <c r="W25" s="18"/>
      <c r="X25" s="18"/>
      <c r="Y25" s="356"/>
      <c r="Z25" s="356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356"/>
      <c r="AO25" s="356"/>
      <c r="AP25" s="356"/>
      <c r="AQ25" s="356"/>
      <c r="AR25" s="358"/>
      <c r="AT25" s="42">
        <f t="shared" si="6"/>
        <v>0</v>
      </c>
      <c r="AU25" s="23">
        <f t="shared" si="7"/>
        <v>0</v>
      </c>
      <c r="AV25" s="23">
        <f t="shared" si="8"/>
        <v>0</v>
      </c>
      <c r="AW25" s="23">
        <f t="shared" si="9"/>
        <v>0</v>
      </c>
      <c r="AX25" s="278">
        <f t="shared" si="10"/>
        <v>0</v>
      </c>
      <c r="AY25" s="39">
        <f t="shared" si="11"/>
        <v>0</v>
      </c>
      <c r="AZ25" s="25">
        <f t="shared" si="12"/>
        <v>0</v>
      </c>
      <c r="BA25" s="26">
        <f t="shared" si="13"/>
        <v>0</v>
      </c>
      <c r="BB25" s="25">
        <f>IFERROR(INDEX('Month-1'!$F$3:$F$53,MATCH($B25,'Month-1'!$B$3:$B$53,0)),0)</f>
        <v>0</v>
      </c>
      <c r="BC25" s="26">
        <f t="shared" si="14"/>
        <v>0</v>
      </c>
      <c r="BD25" s="26">
        <f>IFERROR(INDEX('Month-1'!$G$3:$G$53,MATCH($B25,'Month-1'!$B$3:$B$53,0)),0) + 1</f>
        <v>1</v>
      </c>
      <c r="BE25" s="26">
        <f t="shared" si="15"/>
        <v>0</v>
      </c>
    </row>
    <row r="26" spans="2:57" x14ac:dyDescent="0.2">
      <c r="B26" s="71"/>
      <c r="C26" s="18"/>
      <c r="D26" s="18"/>
      <c r="E26" s="18"/>
      <c r="F26" s="307"/>
      <c r="G26" s="25" t="str">
        <f>IFERROR(IF(VLOOKUP($B26,'Month-1'!$B$3:$D$53,2,0)=0,"",VLOOKUP($B26,'Month-1'!$B$3:$D$53,2,0)),"")</f>
        <v/>
      </c>
      <c r="H26" s="26" t="str">
        <f>IFERROR(IF(VLOOKUP($B26,'Month-1'!$B$3:$D$53,3,0)=0,"",VLOOKUP($B27,'Month-1'!$B$3:$D$53,3,0)),"")</f>
        <v/>
      </c>
      <c r="I26" s="24"/>
      <c r="J26" s="18"/>
      <c r="K26" s="18"/>
      <c r="L26" s="356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356"/>
      <c r="AA26" s="356"/>
      <c r="AB26" s="356"/>
      <c r="AC26" s="18"/>
      <c r="AD26" s="18"/>
      <c r="AE26" s="18"/>
      <c r="AF26" s="18"/>
      <c r="AG26" s="356"/>
      <c r="AH26" s="356"/>
      <c r="AI26" s="18"/>
      <c r="AJ26" s="18"/>
      <c r="AK26" s="18"/>
      <c r="AL26" s="356"/>
      <c r="AM26" s="356"/>
      <c r="AN26" s="18"/>
      <c r="AO26" s="18"/>
      <c r="AP26" s="356"/>
      <c r="AQ26" s="356"/>
      <c r="AR26" s="26"/>
      <c r="AT26" s="42">
        <f t="shared" si="6"/>
        <v>0</v>
      </c>
      <c r="AU26" s="23">
        <f t="shared" si="7"/>
        <v>0</v>
      </c>
      <c r="AV26" s="23">
        <f t="shared" si="8"/>
        <v>0</v>
      </c>
      <c r="AW26" s="23">
        <f t="shared" si="9"/>
        <v>0</v>
      </c>
      <c r="AX26" s="278">
        <f t="shared" si="10"/>
        <v>0</v>
      </c>
      <c r="AY26" s="39">
        <f t="shared" si="11"/>
        <v>0</v>
      </c>
      <c r="AZ26" s="25">
        <f t="shared" si="12"/>
        <v>0</v>
      </c>
      <c r="BA26" s="26">
        <f t="shared" si="13"/>
        <v>0</v>
      </c>
      <c r="BB26" s="25">
        <f>IFERROR(INDEX('Month-1'!$F$3:$F$53,MATCH($B26,'Month-1'!$B$3:$B$53,0)),0)</f>
        <v>0</v>
      </c>
      <c r="BC26" s="26">
        <f t="shared" si="14"/>
        <v>0</v>
      </c>
      <c r="BD26" s="26">
        <f>IFERROR(INDEX('Month-1'!$G$3:$G$53,MATCH($B26,'Month-1'!$B$3:$B$53,0)),0) + 1</f>
        <v>1</v>
      </c>
      <c r="BE26" s="26">
        <f t="shared" si="15"/>
        <v>0</v>
      </c>
    </row>
    <row r="27" spans="2:57" x14ac:dyDescent="0.2">
      <c r="B27" s="71"/>
      <c r="C27" s="18"/>
      <c r="D27" s="18"/>
      <c r="E27" s="18"/>
      <c r="F27" s="307"/>
      <c r="G27" s="25" t="str">
        <f>IFERROR(IF(VLOOKUP($B27,'Month-1'!$B$3:$D$53,2,0)=0,"",VLOOKUP($B27,'Month-1'!$B$3:$D$53,2,0)),"")</f>
        <v/>
      </c>
      <c r="H27" s="26" t="str">
        <f>IFERROR(IF(VLOOKUP($B27,'Month-1'!$B$3:$D$53,3,0)=0,"",VLOOKUP($B28,'Month-1'!$B$3:$D$53,3,0)),"")</f>
        <v/>
      </c>
      <c r="I27" s="24"/>
      <c r="J27" s="18"/>
      <c r="K27" s="18"/>
      <c r="L27" s="356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356"/>
      <c r="AA27" s="356"/>
      <c r="AB27" s="356"/>
      <c r="AC27" s="18"/>
      <c r="AD27" s="18"/>
      <c r="AE27" s="18"/>
      <c r="AF27" s="18"/>
      <c r="AG27" s="356"/>
      <c r="AH27" s="356"/>
      <c r="AI27" s="18"/>
      <c r="AJ27" s="18"/>
      <c r="AK27" s="18"/>
      <c r="AL27" s="356"/>
      <c r="AM27" s="356"/>
      <c r="AN27" s="18"/>
      <c r="AO27" s="18"/>
      <c r="AP27" s="356"/>
      <c r="AQ27" s="356"/>
      <c r="AR27" s="26"/>
      <c r="AT27" s="42">
        <f t="shared" si="6"/>
        <v>0</v>
      </c>
      <c r="AU27" s="23">
        <f t="shared" si="7"/>
        <v>0</v>
      </c>
      <c r="AV27" s="23">
        <f t="shared" si="8"/>
        <v>0</v>
      </c>
      <c r="AW27" s="23">
        <f t="shared" si="9"/>
        <v>0</v>
      </c>
      <c r="AX27" s="278">
        <f t="shared" si="10"/>
        <v>0</v>
      </c>
      <c r="AY27" s="39">
        <f t="shared" si="11"/>
        <v>0</v>
      </c>
      <c r="AZ27" s="25">
        <f t="shared" si="12"/>
        <v>0</v>
      </c>
      <c r="BA27" s="26">
        <f t="shared" si="13"/>
        <v>0</v>
      </c>
      <c r="BB27" s="25">
        <f>IFERROR(INDEX('Month-1'!$F$3:$F$53,MATCH($B27,'Month-1'!$B$3:$B$53,0)),0)</f>
        <v>0</v>
      </c>
      <c r="BC27" s="26">
        <f t="shared" si="14"/>
        <v>0</v>
      </c>
      <c r="BD27" s="26">
        <f>IFERROR(INDEX('Month-1'!$G$3:$G$53,MATCH($B27,'Month-1'!$B$3:$B$53,0)),0) + 1</f>
        <v>1</v>
      </c>
      <c r="BE27" s="26">
        <f t="shared" si="15"/>
        <v>0</v>
      </c>
    </row>
    <row r="28" spans="2:57" x14ac:dyDescent="0.2">
      <c r="B28" s="71"/>
      <c r="C28" s="18"/>
      <c r="D28" s="18"/>
      <c r="E28" s="18"/>
      <c r="F28" s="307"/>
      <c r="G28" s="25" t="str">
        <f>IFERROR(IF(VLOOKUP($B28,'Month-1'!$B$3:$D$53,2,0)=0,"",VLOOKUP($B28,'Month-1'!$B$3:$D$53,2,0)),"")</f>
        <v/>
      </c>
      <c r="H28" s="26" t="str">
        <f>IFERROR(IF(VLOOKUP($B28,'Month-1'!$B$3:$D$53,3,0)=0,"",VLOOKUP($B29,'Month-1'!$B$3:$D$53,3,0)),"")</f>
        <v/>
      </c>
      <c r="I28" s="24"/>
      <c r="J28" s="18"/>
      <c r="K28" s="18"/>
      <c r="L28" s="356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356"/>
      <c r="AA28" s="356"/>
      <c r="AB28" s="356"/>
      <c r="AC28" s="18"/>
      <c r="AD28" s="18"/>
      <c r="AE28" s="18"/>
      <c r="AF28" s="18"/>
      <c r="AG28" s="356"/>
      <c r="AH28" s="356"/>
      <c r="AI28" s="18"/>
      <c r="AJ28" s="18"/>
      <c r="AK28" s="18"/>
      <c r="AL28" s="356"/>
      <c r="AM28" s="356"/>
      <c r="AN28" s="18"/>
      <c r="AO28" s="18"/>
      <c r="AP28" s="356"/>
      <c r="AQ28" s="356"/>
      <c r="AR28" s="26"/>
      <c r="AT28" s="42">
        <f t="shared" si="6"/>
        <v>0</v>
      </c>
      <c r="AU28" s="23">
        <f t="shared" si="7"/>
        <v>0</v>
      </c>
      <c r="AV28" s="23">
        <f t="shared" si="8"/>
        <v>0</v>
      </c>
      <c r="AW28" s="23">
        <f t="shared" si="9"/>
        <v>0</v>
      </c>
      <c r="AX28" s="278">
        <f t="shared" si="10"/>
        <v>0</v>
      </c>
      <c r="AY28" s="39">
        <f t="shared" si="11"/>
        <v>0</v>
      </c>
      <c r="AZ28" s="25">
        <f t="shared" si="12"/>
        <v>0</v>
      </c>
      <c r="BA28" s="26">
        <f t="shared" si="13"/>
        <v>0</v>
      </c>
      <c r="BB28" s="25">
        <f>IFERROR(INDEX('Month-1'!$F$3:$F$53,MATCH($B28,'Month-1'!$B$3:$B$53,0)),0)</f>
        <v>0</v>
      </c>
      <c r="BC28" s="26">
        <f t="shared" si="14"/>
        <v>0</v>
      </c>
      <c r="BD28" s="26">
        <f>IFERROR(INDEX('Month-1'!$G$3:$G$53,MATCH($B28,'Month-1'!$B$3:$B$53,0)),0) + 1</f>
        <v>1</v>
      </c>
      <c r="BE28" s="26">
        <f t="shared" si="15"/>
        <v>0</v>
      </c>
    </row>
    <row r="29" spans="2:57" x14ac:dyDescent="0.2">
      <c r="B29" s="71"/>
      <c r="C29" s="18"/>
      <c r="D29" s="18"/>
      <c r="E29" s="18"/>
      <c r="F29" s="307"/>
      <c r="G29" s="25" t="str">
        <f>IFERROR(IF(VLOOKUP($B29,'Month-1'!$B$3:$D$53,2,0)=0,"",VLOOKUP($B29,'Month-1'!$B$3:$D$53,2,0)),"")</f>
        <v/>
      </c>
      <c r="H29" s="26" t="str">
        <f>IFERROR(IF(VLOOKUP($B29,'Month-1'!$B$3:$D$53,3,0)=0,"",VLOOKUP($B30,'Month-1'!$B$3:$D$53,3,0)),"")</f>
        <v/>
      </c>
      <c r="I29" s="24"/>
      <c r="J29" s="18"/>
      <c r="K29" s="18"/>
      <c r="L29" s="356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356"/>
      <c r="AA29" s="356"/>
      <c r="AB29" s="356"/>
      <c r="AC29" s="18"/>
      <c r="AD29" s="18"/>
      <c r="AE29" s="18"/>
      <c r="AF29" s="18"/>
      <c r="AG29" s="356"/>
      <c r="AH29" s="356"/>
      <c r="AI29" s="18"/>
      <c r="AJ29" s="18"/>
      <c r="AK29" s="18"/>
      <c r="AL29" s="356"/>
      <c r="AM29" s="356"/>
      <c r="AN29" s="18"/>
      <c r="AO29" s="18"/>
      <c r="AP29" s="356"/>
      <c r="AQ29" s="356"/>
      <c r="AR29" s="26"/>
      <c r="AT29" s="42">
        <f t="shared" si="6"/>
        <v>0</v>
      </c>
      <c r="AU29" s="23">
        <f t="shared" si="7"/>
        <v>0</v>
      </c>
      <c r="AV29" s="23">
        <f t="shared" si="8"/>
        <v>0</v>
      </c>
      <c r="AW29" s="23">
        <f t="shared" si="9"/>
        <v>0</v>
      </c>
      <c r="AX29" s="278">
        <f t="shared" si="10"/>
        <v>0</v>
      </c>
      <c r="AY29" s="39">
        <f t="shared" si="11"/>
        <v>0</v>
      </c>
      <c r="AZ29" s="25">
        <f t="shared" si="12"/>
        <v>0</v>
      </c>
      <c r="BA29" s="26">
        <f t="shared" si="13"/>
        <v>0</v>
      </c>
      <c r="BB29" s="25">
        <f>IFERROR(INDEX('Month-1'!$F$3:$F$53,MATCH($B29,'Month-1'!$B$3:$B$53,0)),0)</f>
        <v>0</v>
      </c>
      <c r="BC29" s="26">
        <f t="shared" si="14"/>
        <v>0</v>
      </c>
      <c r="BD29" s="26">
        <f>IFERROR(INDEX('Month-1'!$G$3:$G$53,MATCH($B29,'Month-1'!$B$3:$B$53,0)),0) + 1</f>
        <v>1</v>
      </c>
      <c r="BE29" s="26">
        <f t="shared" si="15"/>
        <v>0</v>
      </c>
    </row>
    <row r="30" spans="2:57" x14ac:dyDescent="0.2">
      <c r="B30" s="71"/>
      <c r="C30" s="18"/>
      <c r="D30" s="18"/>
      <c r="E30" s="18"/>
      <c r="F30" s="307"/>
      <c r="G30" s="25" t="str">
        <f>IFERROR(IF(VLOOKUP($B30,'Month-1'!$B$3:$D$53,2,0)=0,"",VLOOKUP($B30,'Month-1'!$B$3:$D$53,2,0)),"")</f>
        <v/>
      </c>
      <c r="H30" s="26" t="str">
        <f>IFERROR(IF(VLOOKUP($B30,'Month-1'!$B$3:$D$53,3,0)=0,"",VLOOKUP($B31,'Month-1'!$B$3:$D$53,3,0)),"")</f>
        <v/>
      </c>
      <c r="I30" s="24"/>
      <c r="J30" s="18"/>
      <c r="K30" s="18"/>
      <c r="L30" s="356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356"/>
      <c r="AA30" s="356"/>
      <c r="AB30" s="356"/>
      <c r="AC30" s="18"/>
      <c r="AD30" s="18"/>
      <c r="AE30" s="18"/>
      <c r="AF30" s="18"/>
      <c r="AG30" s="356"/>
      <c r="AH30" s="356"/>
      <c r="AI30" s="18"/>
      <c r="AJ30" s="18"/>
      <c r="AK30" s="18"/>
      <c r="AL30" s="356"/>
      <c r="AM30" s="356"/>
      <c r="AN30" s="18"/>
      <c r="AO30" s="18"/>
      <c r="AP30" s="356"/>
      <c r="AQ30" s="356"/>
      <c r="AR30" s="26"/>
      <c r="AT30" s="42">
        <f t="shared" si="6"/>
        <v>0</v>
      </c>
      <c r="AU30" s="23">
        <f t="shared" si="7"/>
        <v>0</v>
      </c>
      <c r="AV30" s="23">
        <f t="shared" si="8"/>
        <v>0</v>
      </c>
      <c r="AW30" s="23">
        <f t="shared" si="9"/>
        <v>0</v>
      </c>
      <c r="AX30" s="278">
        <f t="shared" si="10"/>
        <v>0</v>
      </c>
      <c r="AY30" s="39">
        <f t="shared" si="11"/>
        <v>0</v>
      </c>
      <c r="AZ30" s="25">
        <f t="shared" si="12"/>
        <v>0</v>
      </c>
      <c r="BA30" s="26">
        <f t="shared" si="13"/>
        <v>0</v>
      </c>
      <c r="BB30" s="25">
        <f>IFERROR(INDEX('Month-1'!$F$3:$F$53,MATCH($B30,'Month-1'!$B$3:$B$53,0)),0)</f>
        <v>0</v>
      </c>
      <c r="BC30" s="26">
        <f t="shared" si="14"/>
        <v>0</v>
      </c>
      <c r="BD30" s="26">
        <f>IFERROR(INDEX('Month-1'!$G$3:$G$53,MATCH($B30,'Month-1'!$B$3:$B$53,0)),0) + 1</f>
        <v>1</v>
      </c>
      <c r="BE30" s="26">
        <f t="shared" si="15"/>
        <v>0</v>
      </c>
    </row>
    <row r="31" spans="2:57" x14ac:dyDescent="0.2">
      <c r="B31" s="71"/>
      <c r="C31" s="18"/>
      <c r="D31" s="18"/>
      <c r="E31" s="18"/>
      <c r="F31" s="307"/>
      <c r="G31" s="25" t="str">
        <f>IFERROR(IF(VLOOKUP($B31,'Month-1'!$B$3:$D$53,2,0)=0,"",VLOOKUP($B31,'Month-1'!$B$3:$D$53,2,0)),"")</f>
        <v/>
      </c>
      <c r="H31" s="26" t="str">
        <f>IFERROR(IF(VLOOKUP($B31,'Month-1'!$B$3:$D$53,3,0)=0,"",VLOOKUP($B32,'Month-1'!$B$3:$D$53,3,0)),"")</f>
        <v/>
      </c>
      <c r="I31" s="24"/>
      <c r="J31" s="18"/>
      <c r="K31" s="18"/>
      <c r="L31" s="356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356"/>
      <c r="AA31" s="356"/>
      <c r="AB31" s="356"/>
      <c r="AC31" s="18"/>
      <c r="AD31" s="18"/>
      <c r="AE31" s="18"/>
      <c r="AF31" s="18"/>
      <c r="AG31" s="356"/>
      <c r="AH31" s="356"/>
      <c r="AI31" s="18"/>
      <c r="AJ31" s="18"/>
      <c r="AK31" s="18"/>
      <c r="AL31" s="356"/>
      <c r="AM31" s="356"/>
      <c r="AN31" s="18"/>
      <c r="AO31" s="18"/>
      <c r="AP31" s="356"/>
      <c r="AQ31" s="356"/>
      <c r="AR31" s="26"/>
      <c r="AT31" s="42">
        <f t="shared" si="6"/>
        <v>0</v>
      </c>
      <c r="AU31" s="23">
        <f t="shared" si="7"/>
        <v>0</v>
      </c>
      <c r="AV31" s="23">
        <f t="shared" si="8"/>
        <v>0</v>
      </c>
      <c r="AW31" s="23">
        <f t="shared" si="9"/>
        <v>0</v>
      </c>
      <c r="AX31" s="278">
        <f t="shared" si="10"/>
        <v>0</v>
      </c>
      <c r="AY31" s="39">
        <f t="shared" si="11"/>
        <v>0</v>
      </c>
      <c r="AZ31" s="25">
        <f t="shared" si="12"/>
        <v>0</v>
      </c>
      <c r="BA31" s="26">
        <f t="shared" si="13"/>
        <v>0</v>
      </c>
      <c r="BB31" s="25">
        <f>IFERROR(INDEX('Month-1'!$F$3:$F$53,MATCH($B31,'Month-1'!$B$3:$B$53,0)),0)</f>
        <v>0</v>
      </c>
      <c r="BC31" s="26">
        <f t="shared" si="14"/>
        <v>0</v>
      </c>
      <c r="BD31" s="26">
        <f>IFERROR(INDEX('Month-1'!$G$3:$G$53,MATCH($B31,'Month-1'!$B$3:$B$53,0)),0) + 1</f>
        <v>1</v>
      </c>
      <c r="BE31" s="26">
        <f t="shared" si="15"/>
        <v>0</v>
      </c>
    </row>
    <row r="32" spans="2:57" x14ac:dyDescent="0.2">
      <c r="B32" s="71"/>
      <c r="C32" s="18"/>
      <c r="D32" s="18"/>
      <c r="E32" s="18"/>
      <c r="F32" s="307"/>
      <c r="G32" s="25" t="str">
        <f>IFERROR(IF(VLOOKUP($B32,'Month-1'!$B$3:$D$53,2,0)=0,"",VLOOKUP($B32,'Month-1'!$B$3:$D$53,2,0)),"")</f>
        <v/>
      </c>
      <c r="H32" s="26" t="str">
        <f>IFERROR(IF(VLOOKUP($B32,'Month-1'!$B$3:$D$53,3,0)=0,"",VLOOKUP($B33,'Month-1'!$B$3:$D$53,3,0)),"")</f>
        <v/>
      </c>
      <c r="I32" s="24"/>
      <c r="J32" s="18"/>
      <c r="K32" s="18"/>
      <c r="L32" s="356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356"/>
      <c r="AA32" s="356"/>
      <c r="AB32" s="356"/>
      <c r="AC32" s="18"/>
      <c r="AD32" s="18"/>
      <c r="AE32" s="18"/>
      <c r="AF32" s="18"/>
      <c r="AG32" s="356"/>
      <c r="AH32" s="356"/>
      <c r="AI32" s="18"/>
      <c r="AJ32" s="18"/>
      <c r="AK32" s="18"/>
      <c r="AL32" s="356"/>
      <c r="AM32" s="356"/>
      <c r="AN32" s="18"/>
      <c r="AO32" s="18"/>
      <c r="AP32" s="356"/>
      <c r="AQ32" s="356"/>
      <c r="AR32" s="26"/>
      <c r="AT32" s="42">
        <f t="shared" si="6"/>
        <v>0</v>
      </c>
      <c r="AU32" s="23">
        <f t="shared" si="7"/>
        <v>0</v>
      </c>
      <c r="AV32" s="23">
        <f t="shared" si="8"/>
        <v>0</v>
      </c>
      <c r="AW32" s="23">
        <f t="shared" si="9"/>
        <v>0</v>
      </c>
      <c r="AX32" s="278">
        <f t="shared" si="10"/>
        <v>0</v>
      </c>
      <c r="AY32" s="39">
        <f t="shared" si="11"/>
        <v>0</v>
      </c>
      <c r="AZ32" s="25">
        <f t="shared" si="12"/>
        <v>0</v>
      </c>
      <c r="BA32" s="26">
        <f t="shared" si="13"/>
        <v>0</v>
      </c>
      <c r="BB32" s="25">
        <f>IFERROR(INDEX('Month-1'!$F$3:$F$53,MATCH($B32,'Month-1'!$B$3:$B$53,0)),0)</f>
        <v>0</v>
      </c>
      <c r="BC32" s="26">
        <f t="shared" si="14"/>
        <v>0</v>
      </c>
      <c r="BD32" s="26">
        <f>IFERROR(INDEX('Month-1'!$G$3:$G$53,MATCH($B32,'Month-1'!$B$3:$B$53,0)),0) + 1</f>
        <v>1</v>
      </c>
      <c r="BE32" s="26">
        <f t="shared" si="15"/>
        <v>0</v>
      </c>
    </row>
    <row r="33" spans="2:57" x14ac:dyDescent="0.2">
      <c r="B33" s="71"/>
      <c r="C33" s="18"/>
      <c r="D33" s="18"/>
      <c r="E33" s="18"/>
      <c r="F33" s="307"/>
      <c r="G33" s="25" t="str">
        <f>IFERROR(IF(VLOOKUP($B33,'Month-1'!$B$3:$D$53,2,0)=0,"",VLOOKUP($B33,'Month-1'!$B$3:$D$53,2,0)),"")</f>
        <v/>
      </c>
      <c r="H33" s="26" t="str">
        <f>IFERROR(IF(VLOOKUP($B33,'Month-1'!$B$3:$D$53,3,0)=0,"",VLOOKUP($B34,'Month-1'!$B$3:$D$53,3,0)),"")</f>
        <v/>
      </c>
      <c r="I33" s="24"/>
      <c r="J33" s="18"/>
      <c r="K33" s="18"/>
      <c r="L33" s="356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356"/>
      <c r="AA33" s="356"/>
      <c r="AB33" s="356"/>
      <c r="AC33" s="18"/>
      <c r="AD33" s="18"/>
      <c r="AE33" s="18"/>
      <c r="AF33" s="18"/>
      <c r="AG33" s="356"/>
      <c r="AH33" s="356"/>
      <c r="AI33" s="18"/>
      <c r="AJ33" s="18"/>
      <c r="AK33" s="18"/>
      <c r="AL33" s="356"/>
      <c r="AM33" s="356"/>
      <c r="AN33" s="18"/>
      <c r="AO33" s="18"/>
      <c r="AP33" s="356"/>
      <c r="AQ33" s="356"/>
      <c r="AR33" s="26"/>
      <c r="AT33" s="42">
        <f t="shared" si="6"/>
        <v>0</v>
      </c>
      <c r="AU33" s="23">
        <f t="shared" si="7"/>
        <v>0</v>
      </c>
      <c r="AV33" s="23">
        <f t="shared" si="8"/>
        <v>0</v>
      </c>
      <c r="AW33" s="23">
        <f t="shared" si="9"/>
        <v>0</v>
      </c>
      <c r="AX33" s="278">
        <f t="shared" si="10"/>
        <v>0</v>
      </c>
      <c r="AY33" s="39">
        <f t="shared" si="11"/>
        <v>0</v>
      </c>
      <c r="AZ33" s="25">
        <f t="shared" si="12"/>
        <v>0</v>
      </c>
      <c r="BA33" s="26">
        <f t="shared" si="13"/>
        <v>0</v>
      </c>
      <c r="BB33" s="25">
        <f>IFERROR(INDEX('Month-1'!$F$3:$F$53,MATCH($B33,'Month-1'!$B$3:$B$53,0)),0)</f>
        <v>0</v>
      </c>
      <c r="BC33" s="26">
        <f t="shared" si="14"/>
        <v>0</v>
      </c>
      <c r="BD33" s="26">
        <f>IFERROR(INDEX('Month-1'!$G$3:$G$53,MATCH($B33,'Month-1'!$B$3:$B$53,0)),0) + 1</f>
        <v>1</v>
      </c>
      <c r="BE33" s="26">
        <f t="shared" si="15"/>
        <v>0</v>
      </c>
    </row>
    <row r="34" spans="2:57" x14ac:dyDescent="0.2">
      <c r="B34" s="71"/>
      <c r="C34" s="18"/>
      <c r="D34" s="18"/>
      <c r="E34" s="18"/>
      <c r="F34" s="307"/>
      <c r="G34" s="25" t="str">
        <f>IFERROR(IF(VLOOKUP($B34,'Month-1'!$B$3:$D$53,2,0)=0,"",VLOOKUP($B34,'Month-1'!$B$3:$D$53,2,0)),"")</f>
        <v/>
      </c>
      <c r="H34" s="26" t="str">
        <f>IFERROR(IF(VLOOKUP($B34,'Month-1'!$B$3:$D$53,3,0)=0,"",VLOOKUP($B35,'Month-1'!$B$3:$D$53,3,0)),"")</f>
        <v/>
      </c>
      <c r="I34" s="24"/>
      <c r="J34" s="18"/>
      <c r="K34" s="18"/>
      <c r="L34" s="356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356"/>
      <c r="AA34" s="356"/>
      <c r="AB34" s="356"/>
      <c r="AC34" s="18"/>
      <c r="AD34" s="18"/>
      <c r="AE34" s="18"/>
      <c r="AF34" s="18"/>
      <c r="AG34" s="356"/>
      <c r="AH34" s="356"/>
      <c r="AI34" s="18"/>
      <c r="AJ34" s="18"/>
      <c r="AK34" s="18"/>
      <c r="AL34" s="356"/>
      <c r="AM34" s="356"/>
      <c r="AN34" s="18"/>
      <c r="AO34" s="18"/>
      <c r="AP34" s="356"/>
      <c r="AQ34" s="356"/>
      <c r="AR34" s="26"/>
      <c r="AT34" s="42">
        <f t="shared" si="6"/>
        <v>0</v>
      </c>
      <c r="AU34" s="23">
        <f t="shared" si="7"/>
        <v>0</v>
      </c>
      <c r="AV34" s="23">
        <f t="shared" si="8"/>
        <v>0</v>
      </c>
      <c r="AW34" s="23">
        <f t="shared" si="9"/>
        <v>0</v>
      </c>
      <c r="AX34" s="278">
        <f t="shared" si="10"/>
        <v>0</v>
      </c>
      <c r="AY34" s="39">
        <f t="shared" si="11"/>
        <v>0</v>
      </c>
      <c r="AZ34" s="25">
        <f t="shared" si="12"/>
        <v>0</v>
      </c>
      <c r="BA34" s="26">
        <f t="shared" si="13"/>
        <v>0</v>
      </c>
      <c r="BB34" s="25">
        <f>IFERROR(INDEX('Month-1'!$F$3:$F$53,MATCH($B34,'Month-1'!$B$3:$B$53,0)),0)</f>
        <v>0</v>
      </c>
      <c r="BC34" s="26">
        <f t="shared" si="14"/>
        <v>0</v>
      </c>
      <c r="BD34" s="26">
        <f>IFERROR(INDEX('Month-1'!$G$3:$G$53,MATCH($B34,'Month-1'!$B$3:$B$53,0)),0) + 1</f>
        <v>1</v>
      </c>
      <c r="BE34" s="26">
        <f t="shared" si="15"/>
        <v>0</v>
      </c>
    </row>
    <row r="35" spans="2:57" x14ac:dyDescent="0.2">
      <c r="B35" s="71"/>
      <c r="C35" s="18"/>
      <c r="D35" s="18"/>
      <c r="E35" s="18"/>
      <c r="F35" s="307"/>
      <c r="G35" s="25" t="str">
        <f>IFERROR(IF(VLOOKUP($B35,'Month-1'!$B$3:$D$53,2,0)=0,"",VLOOKUP($B35,'Month-1'!$B$3:$D$53,2,0)),"")</f>
        <v/>
      </c>
      <c r="H35" s="26" t="str">
        <f>IFERROR(IF(VLOOKUP($B35,'Month-1'!$B$3:$D$53,3,0)=0,"",VLOOKUP($B36,'Month-1'!$B$3:$D$53,3,0)),"")</f>
        <v/>
      </c>
      <c r="I35" s="24"/>
      <c r="J35" s="18"/>
      <c r="K35" s="356"/>
      <c r="L35" s="18"/>
      <c r="M35" s="18"/>
      <c r="N35" s="18"/>
      <c r="O35" s="356"/>
      <c r="P35" s="18"/>
      <c r="Q35" s="18"/>
      <c r="R35" s="18"/>
      <c r="S35" s="18"/>
      <c r="T35" s="18"/>
      <c r="U35" s="18"/>
      <c r="V35" s="18"/>
      <c r="W35" s="356"/>
      <c r="X35" s="356"/>
      <c r="Y35" s="18"/>
      <c r="Z35" s="18"/>
      <c r="AA35" s="356"/>
      <c r="AB35" s="18"/>
      <c r="AC35" s="18"/>
      <c r="AD35" s="356"/>
      <c r="AE35" s="18"/>
      <c r="AF35" s="18"/>
      <c r="AG35" s="18"/>
      <c r="AH35" s="356"/>
      <c r="AI35" s="18"/>
      <c r="AJ35" s="18"/>
      <c r="AK35" s="18"/>
      <c r="AL35" s="18"/>
      <c r="AM35" s="18"/>
      <c r="AN35" s="18"/>
      <c r="AO35" s="18"/>
      <c r="AP35" s="18"/>
      <c r="AQ35" s="18"/>
      <c r="AR35" s="26"/>
      <c r="AT35" s="42">
        <f t="shared" si="6"/>
        <v>0</v>
      </c>
      <c r="AU35" s="23">
        <f t="shared" si="7"/>
        <v>0</v>
      </c>
      <c r="AV35" s="23">
        <f t="shared" si="8"/>
        <v>0</v>
      </c>
      <c r="AW35" s="23">
        <f t="shared" si="9"/>
        <v>0</v>
      </c>
      <c r="AX35" s="278">
        <f t="shared" si="10"/>
        <v>0</v>
      </c>
      <c r="AY35" s="39">
        <f t="shared" si="11"/>
        <v>0</v>
      </c>
      <c r="AZ35" s="25">
        <f t="shared" si="12"/>
        <v>0</v>
      </c>
      <c r="BA35" s="26">
        <f t="shared" si="13"/>
        <v>0</v>
      </c>
      <c r="BB35" s="25">
        <f>IFERROR(INDEX('Month-1'!$F$3:$F$53,MATCH($B35,'Month-1'!$B$3:$B$53,0)),0)</f>
        <v>0</v>
      </c>
      <c r="BC35" s="26">
        <f t="shared" si="14"/>
        <v>0</v>
      </c>
      <c r="BD35" s="26">
        <f>IFERROR(INDEX('Month-1'!$G$3:$G$53,MATCH($B35,'Month-1'!$B$3:$B$53,0)),0) + 1</f>
        <v>1</v>
      </c>
      <c r="BE35" s="26">
        <f t="shared" si="15"/>
        <v>0</v>
      </c>
    </row>
    <row r="36" spans="2:57" x14ac:dyDescent="0.2">
      <c r="B36" s="71"/>
      <c r="C36" s="18"/>
      <c r="D36" s="18"/>
      <c r="E36" s="18"/>
      <c r="F36" s="307"/>
      <c r="G36" s="25" t="str">
        <f>IFERROR(IF(VLOOKUP($B36,'Month-1'!$B$3:$D$53,2,0)=0,"",VLOOKUP($B36,'Month-1'!$B$3:$D$53,2,0)),"")</f>
        <v/>
      </c>
      <c r="H36" s="26" t="str">
        <f>IFERROR(IF(VLOOKUP($B36,'Month-1'!$B$3:$D$53,3,0)=0,"",VLOOKUP($B37,'Month-1'!$B$3:$D$53,3,0)),"")</f>
        <v/>
      </c>
      <c r="I36" s="24"/>
      <c r="J36" s="18"/>
      <c r="K36" s="356"/>
      <c r="L36" s="18"/>
      <c r="M36" s="18"/>
      <c r="N36" s="356"/>
      <c r="O36" s="356"/>
      <c r="P36" s="356"/>
      <c r="Q36" s="356"/>
      <c r="R36" s="356"/>
      <c r="S36" s="356"/>
      <c r="T36" s="18"/>
      <c r="U36" s="18"/>
      <c r="V36" s="18"/>
      <c r="W36" s="356"/>
      <c r="X36" s="18"/>
      <c r="Y36" s="356"/>
      <c r="Z36" s="18"/>
      <c r="AA36" s="18"/>
      <c r="AB36" s="18"/>
      <c r="AC36" s="18"/>
      <c r="AD36" s="18"/>
      <c r="AE36" s="18"/>
      <c r="AF36" s="18"/>
      <c r="AG36" s="18"/>
      <c r="AH36" s="18"/>
      <c r="AI36" s="356"/>
      <c r="AJ36" s="356"/>
      <c r="AK36" s="356"/>
      <c r="AL36" s="356"/>
      <c r="AM36" s="356"/>
      <c r="AN36" s="18"/>
      <c r="AO36" s="18"/>
      <c r="AP36" s="18"/>
      <c r="AQ36" s="18"/>
      <c r="AR36" s="26"/>
      <c r="AT36" s="42">
        <f t="shared" si="6"/>
        <v>0</v>
      </c>
      <c r="AU36" s="23">
        <f t="shared" si="7"/>
        <v>0</v>
      </c>
      <c r="AV36" s="23">
        <f t="shared" si="8"/>
        <v>0</v>
      </c>
      <c r="AW36" s="23">
        <f t="shared" si="9"/>
        <v>0</v>
      </c>
      <c r="AX36" s="278">
        <f t="shared" si="10"/>
        <v>0</v>
      </c>
      <c r="AY36" s="39">
        <f t="shared" si="11"/>
        <v>0</v>
      </c>
      <c r="AZ36" s="25">
        <f t="shared" si="12"/>
        <v>0</v>
      </c>
      <c r="BA36" s="26">
        <f t="shared" si="13"/>
        <v>0</v>
      </c>
      <c r="BB36" s="25">
        <f>IFERROR(INDEX('Month-1'!$F$3:$F$53,MATCH($B36,'Month-1'!$B$3:$B$53,0)),0)</f>
        <v>0</v>
      </c>
      <c r="BC36" s="26">
        <f t="shared" si="14"/>
        <v>0</v>
      </c>
      <c r="BD36" s="26">
        <f>IFERROR(INDEX('Month-1'!$G$3:$G$53,MATCH($B36,'Month-1'!$B$3:$B$53,0)),0) + 1</f>
        <v>1</v>
      </c>
      <c r="BE36" s="26">
        <f t="shared" si="15"/>
        <v>0</v>
      </c>
    </row>
    <row r="37" spans="2:57" x14ac:dyDescent="0.2">
      <c r="B37" s="71"/>
      <c r="C37" s="18"/>
      <c r="D37" s="18"/>
      <c r="E37" s="18"/>
      <c r="F37" s="307"/>
      <c r="G37" s="25" t="str">
        <f>IFERROR(IF(VLOOKUP($B37,'Month-1'!$B$3:$D$53,2,0)=0,"",VLOOKUP($B37,'Month-1'!$B$3:$D$53,2,0)),"")</f>
        <v/>
      </c>
      <c r="H37" s="26" t="str">
        <f>IFERROR(IF(VLOOKUP($B37,'Month-1'!$B$3:$D$53,3,0)=0,"",VLOOKUP($B38,'Month-1'!$B$3:$D$53,3,0)),"")</f>
        <v/>
      </c>
      <c r="I37" s="24"/>
      <c r="J37" s="18"/>
      <c r="K37" s="18"/>
      <c r="L37" s="18"/>
      <c r="M37" s="18"/>
      <c r="N37" s="18"/>
      <c r="O37" s="18"/>
      <c r="P37" s="356"/>
      <c r="Q37" s="356"/>
      <c r="R37" s="18"/>
      <c r="S37" s="18"/>
      <c r="T37" s="356"/>
      <c r="U37" s="356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356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26"/>
      <c r="AT37" s="42">
        <f t="shared" si="6"/>
        <v>0</v>
      </c>
      <c r="AU37" s="23">
        <f t="shared" si="7"/>
        <v>0</v>
      </c>
      <c r="AV37" s="23">
        <f t="shared" si="8"/>
        <v>0</v>
      </c>
      <c r="AW37" s="23">
        <f t="shared" si="9"/>
        <v>0</v>
      </c>
      <c r="AX37" s="278">
        <f t="shared" si="10"/>
        <v>0</v>
      </c>
      <c r="AY37" s="39">
        <f t="shared" si="11"/>
        <v>0</v>
      </c>
      <c r="AZ37" s="25">
        <f t="shared" si="12"/>
        <v>0</v>
      </c>
      <c r="BA37" s="26">
        <f t="shared" si="13"/>
        <v>0</v>
      </c>
      <c r="BB37" s="25">
        <f>IFERROR(INDEX('Month-1'!$F$3:$F$53,MATCH($B37,'Month-1'!$B$3:$B$53,0)),0)</f>
        <v>0</v>
      </c>
      <c r="BC37" s="26">
        <f t="shared" si="14"/>
        <v>0</v>
      </c>
      <c r="BD37" s="26">
        <f>IFERROR(INDEX('Month-1'!$G$3:$G$53,MATCH($B37,'Month-1'!$B$3:$B$53,0)),0) + 1</f>
        <v>1</v>
      </c>
      <c r="BE37" s="26">
        <f t="shared" si="15"/>
        <v>0</v>
      </c>
    </row>
    <row r="38" spans="2:57" x14ac:dyDescent="0.2">
      <c r="B38" s="71"/>
      <c r="C38" s="18"/>
      <c r="D38" s="18"/>
      <c r="E38" s="18"/>
      <c r="F38" s="307"/>
      <c r="G38" s="25" t="str">
        <f>IFERROR(IF(VLOOKUP($B38,'Month-1'!$B$3:$D$53,2,0)=0,"",VLOOKUP($B38,'Month-1'!$B$3:$D$53,2,0)),"")</f>
        <v/>
      </c>
      <c r="H38" s="26" t="str">
        <f>IFERROR(IF(VLOOKUP($B38,'Month-1'!$B$3:$D$53,3,0)=0,"",VLOOKUP($B39,'Month-1'!$B$3:$D$53,3,0)),"")</f>
        <v/>
      </c>
      <c r="I38" s="24"/>
      <c r="J38" s="18"/>
      <c r="K38" s="18"/>
      <c r="L38" s="18"/>
      <c r="M38" s="18"/>
      <c r="N38" s="18"/>
      <c r="O38" s="18"/>
      <c r="P38" s="356"/>
      <c r="Q38" s="356"/>
      <c r="R38" s="356"/>
      <c r="S38" s="356"/>
      <c r="T38" s="356"/>
      <c r="U38" s="356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356"/>
      <c r="AI38" s="18"/>
      <c r="AJ38" s="18"/>
      <c r="AK38" s="18"/>
      <c r="AL38" s="18"/>
      <c r="AM38" s="18"/>
      <c r="AN38" s="356"/>
      <c r="AO38" s="356"/>
      <c r="AP38" s="18"/>
      <c r="AQ38" s="18"/>
      <c r="AR38" s="26"/>
      <c r="AT38" s="42">
        <f t="shared" si="6"/>
        <v>0</v>
      </c>
      <c r="AU38" s="23">
        <f t="shared" si="7"/>
        <v>0</v>
      </c>
      <c r="AV38" s="23">
        <f t="shared" si="8"/>
        <v>0</v>
      </c>
      <c r="AW38" s="23">
        <f t="shared" si="9"/>
        <v>0</v>
      </c>
      <c r="AX38" s="278">
        <f t="shared" si="10"/>
        <v>0</v>
      </c>
      <c r="AY38" s="39">
        <f t="shared" si="11"/>
        <v>0</v>
      </c>
      <c r="AZ38" s="25">
        <f t="shared" si="12"/>
        <v>0</v>
      </c>
      <c r="BA38" s="26">
        <f t="shared" si="13"/>
        <v>0</v>
      </c>
      <c r="BB38" s="25">
        <f>IFERROR(INDEX('Month-1'!$F$3:$F$53,MATCH($B38,'Month-1'!$B$3:$B$53,0)),0)</f>
        <v>0</v>
      </c>
      <c r="BC38" s="26">
        <f t="shared" si="14"/>
        <v>0</v>
      </c>
      <c r="BD38" s="26">
        <f>IFERROR(INDEX('Month-1'!$G$3:$G$53,MATCH($B38,'Month-1'!$B$3:$B$53,0)),0) + 1</f>
        <v>1</v>
      </c>
      <c r="BE38" s="26">
        <f t="shared" si="15"/>
        <v>0</v>
      </c>
    </row>
    <row r="39" spans="2:57" x14ac:dyDescent="0.2">
      <c r="B39" s="71"/>
      <c r="C39" s="18"/>
      <c r="D39" s="18"/>
      <c r="E39" s="18"/>
      <c r="F39" s="307"/>
      <c r="G39" s="25" t="str">
        <f>IFERROR(IF(VLOOKUP($B39,'Month-1'!$B$3:$D$53,2,0)=0,"",VLOOKUP($B39,'Month-1'!$B$3:$D$53,2,0)),"")</f>
        <v/>
      </c>
      <c r="H39" s="26" t="str">
        <f>IFERROR(IF(VLOOKUP($B39,'Month-1'!$B$3:$D$53,3,0)=0,"",VLOOKUP($B40,'Month-1'!$B$3:$D$53,3,0)),"")</f>
        <v/>
      </c>
      <c r="I39" s="24"/>
      <c r="J39" s="18"/>
      <c r="K39" s="18"/>
      <c r="L39" s="18"/>
      <c r="M39" s="356"/>
      <c r="N39" s="18"/>
      <c r="O39" s="356"/>
      <c r="P39" s="356"/>
      <c r="Q39" s="356"/>
      <c r="R39" s="356"/>
      <c r="S39" s="356"/>
      <c r="T39" s="18"/>
      <c r="U39" s="18"/>
      <c r="V39" s="18"/>
      <c r="W39" s="18"/>
      <c r="X39" s="18"/>
      <c r="Y39" s="356"/>
      <c r="Z39" s="356"/>
      <c r="AA39" s="356"/>
      <c r="AB39" s="356"/>
      <c r="AC39" s="18"/>
      <c r="AD39" s="356"/>
      <c r="AE39" s="18"/>
      <c r="AF39" s="18"/>
      <c r="AG39" s="356"/>
      <c r="AH39" s="356"/>
      <c r="AI39" s="18"/>
      <c r="AJ39" s="18"/>
      <c r="AK39" s="356"/>
      <c r="AL39" s="356"/>
      <c r="AM39" s="356"/>
      <c r="AN39" s="18"/>
      <c r="AO39" s="18"/>
      <c r="AP39" s="356"/>
      <c r="AQ39" s="356"/>
      <c r="AR39" s="358"/>
      <c r="AT39" s="42">
        <f t="shared" si="6"/>
        <v>0</v>
      </c>
      <c r="AU39" s="23">
        <f t="shared" si="7"/>
        <v>0</v>
      </c>
      <c r="AV39" s="23">
        <f t="shared" si="8"/>
        <v>0</v>
      </c>
      <c r="AW39" s="23">
        <f t="shared" si="9"/>
        <v>0</v>
      </c>
      <c r="AX39" s="278">
        <f t="shared" si="10"/>
        <v>0</v>
      </c>
      <c r="AY39" s="39">
        <f t="shared" si="11"/>
        <v>0</v>
      </c>
      <c r="AZ39" s="25">
        <f t="shared" si="12"/>
        <v>0</v>
      </c>
      <c r="BA39" s="26">
        <f t="shared" si="13"/>
        <v>0</v>
      </c>
      <c r="BB39" s="25">
        <f>IFERROR(INDEX('Month-1'!$F$3:$F$53,MATCH($B39,'Month-1'!$B$3:$B$53,0)),0)</f>
        <v>0</v>
      </c>
      <c r="BC39" s="26">
        <f t="shared" si="14"/>
        <v>0</v>
      </c>
      <c r="BD39" s="26">
        <f>IFERROR(INDEX('Month-1'!$G$3:$G$53,MATCH($B39,'Month-1'!$B$3:$B$53,0)),0) + 1</f>
        <v>1</v>
      </c>
      <c r="BE39" s="26">
        <f t="shared" si="15"/>
        <v>0</v>
      </c>
    </row>
    <row r="40" spans="2:57" x14ac:dyDescent="0.2">
      <c r="B40" s="71"/>
      <c r="C40" s="18"/>
      <c r="D40" s="18"/>
      <c r="E40" s="18"/>
      <c r="F40" s="307"/>
      <c r="G40" s="25" t="str">
        <f>IFERROR(IF(VLOOKUP($B40,'Month-1'!$B$3:$D$53,2,0)=0,"",VLOOKUP($B40,'Month-1'!$B$3:$D$53,2,0)),"")</f>
        <v/>
      </c>
      <c r="H40" s="26" t="str">
        <f>IFERROR(IF(VLOOKUP($B40,'Month-1'!$B$3:$D$53,3,0)=0,"",VLOOKUP($B41,'Month-1'!$B$3:$D$53,3,0)),"")</f>
        <v/>
      </c>
      <c r="I40" s="24"/>
      <c r="J40" s="18"/>
      <c r="K40" s="356"/>
      <c r="L40" s="356"/>
      <c r="M40" s="356"/>
      <c r="N40" s="18"/>
      <c r="O40" s="18"/>
      <c r="P40" s="356"/>
      <c r="Q40" s="18"/>
      <c r="R40" s="18"/>
      <c r="S40" s="356"/>
      <c r="T40" s="18"/>
      <c r="U40" s="18"/>
      <c r="V40" s="18"/>
      <c r="W40" s="18"/>
      <c r="X40" s="18"/>
      <c r="Y40" s="18"/>
      <c r="Z40" s="18"/>
      <c r="AA40" s="356"/>
      <c r="AB40" s="356"/>
      <c r="AC40" s="356"/>
      <c r="AD40" s="356"/>
      <c r="AE40" s="18"/>
      <c r="AF40" s="18"/>
      <c r="AG40" s="356"/>
      <c r="AH40" s="356"/>
      <c r="AI40" s="18"/>
      <c r="AJ40" s="18"/>
      <c r="AK40" s="18"/>
      <c r="AL40" s="18"/>
      <c r="AM40" s="18"/>
      <c r="AN40" s="18"/>
      <c r="AO40" s="18"/>
      <c r="AP40" s="18"/>
      <c r="AQ40" s="18"/>
      <c r="AR40" s="26"/>
      <c r="AT40" s="42">
        <f t="shared" si="6"/>
        <v>0</v>
      </c>
      <c r="AU40" s="23">
        <f t="shared" si="7"/>
        <v>0</v>
      </c>
      <c r="AV40" s="23">
        <f t="shared" si="8"/>
        <v>0</v>
      </c>
      <c r="AW40" s="23">
        <f t="shared" si="9"/>
        <v>0</v>
      </c>
      <c r="AX40" s="278">
        <f t="shared" si="10"/>
        <v>0</v>
      </c>
      <c r="AY40" s="39">
        <f t="shared" si="11"/>
        <v>0</v>
      </c>
      <c r="AZ40" s="25">
        <f t="shared" si="12"/>
        <v>0</v>
      </c>
      <c r="BA40" s="26">
        <f t="shared" si="13"/>
        <v>0</v>
      </c>
      <c r="BB40" s="25">
        <f>IFERROR(INDEX('Month-1'!$F$3:$F$53,MATCH($B40,'Month-1'!$B$3:$B$53,0)),0)</f>
        <v>0</v>
      </c>
      <c r="BC40" s="26">
        <f t="shared" si="14"/>
        <v>0</v>
      </c>
      <c r="BD40" s="26">
        <f>IFERROR(INDEX('Month-1'!$G$3:$G$53,MATCH($B40,'Month-1'!$B$3:$B$53,0)),0) + 1</f>
        <v>1</v>
      </c>
      <c r="BE40" s="26">
        <f t="shared" si="15"/>
        <v>0</v>
      </c>
    </row>
    <row r="41" spans="2:57" x14ac:dyDescent="0.2">
      <c r="B41" s="71"/>
      <c r="C41" s="18"/>
      <c r="D41" s="18"/>
      <c r="E41" s="18"/>
      <c r="F41" s="307"/>
      <c r="G41" s="25" t="str">
        <f>IFERROR(IF(VLOOKUP($B41,'Month-1'!$B$3:$D$53,2,0)=0,"",VLOOKUP($B41,'Month-1'!$B$3:$D$53,2,0)),"")</f>
        <v/>
      </c>
      <c r="H41" s="26" t="str">
        <f>IFERROR(IF(VLOOKUP($B41,'Month-1'!$B$3:$D$53,3,0)=0,"",VLOOKUP($B42,'Month-1'!$B$3:$D$53,3,0)),"")</f>
        <v/>
      </c>
      <c r="I41" s="24"/>
      <c r="J41" s="18"/>
      <c r="K41" s="356"/>
      <c r="L41" s="356"/>
      <c r="M41" s="18"/>
      <c r="N41" s="18"/>
      <c r="O41" s="18"/>
      <c r="P41" s="18"/>
      <c r="Q41" s="18"/>
      <c r="R41" s="356"/>
      <c r="S41" s="18"/>
      <c r="T41" s="18"/>
      <c r="U41" s="356"/>
      <c r="V41" s="356"/>
      <c r="W41" s="18"/>
      <c r="X41" s="18"/>
      <c r="Y41" s="356"/>
      <c r="Z41" s="18"/>
      <c r="AA41" s="356"/>
      <c r="AB41" s="356"/>
      <c r="AC41" s="18"/>
      <c r="AD41" s="18"/>
      <c r="AE41" s="18"/>
      <c r="AF41" s="18"/>
      <c r="AG41" s="18"/>
      <c r="AH41" s="18"/>
      <c r="AI41" s="356"/>
      <c r="AJ41" s="18"/>
      <c r="AK41" s="18"/>
      <c r="AL41" s="18"/>
      <c r="AM41" s="18"/>
      <c r="AN41" s="18"/>
      <c r="AO41" s="18"/>
      <c r="AP41" s="18"/>
      <c r="AQ41" s="18"/>
      <c r="AR41" s="26"/>
      <c r="AT41" s="42">
        <f t="shared" si="6"/>
        <v>0</v>
      </c>
      <c r="AU41" s="23">
        <f t="shared" si="7"/>
        <v>0</v>
      </c>
      <c r="AV41" s="23">
        <f t="shared" si="8"/>
        <v>0</v>
      </c>
      <c r="AW41" s="23">
        <f t="shared" si="9"/>
        <v>0</v>
      </c>
      <c r="AX41" s="278">
        <f t="shared" si="10"/>
        <v>0</v>
      </c>
      <c r="AY41" s="39">
        <f t="shared" si="11"/>
        <v>0</v>
      </c>
      <c r="AZ41" s="25">
        <f t="shared" si="12"/>
        <v>0</v>
      </c>
      <c r="BA41" s="26">
        <f t="shared" si="13"/>
        <v>0</v>
      </c>
      <c r="BB41" s="25">
        <f>IFERROR(INDEX('Month-1'!$F$3:$F$53,MATCH($B41,'Month-1'!$B$3:$B$53,0)),0)</f>
        <v>0</v>
      </c>
      <c r="BC41" s="26">
        <f t="shared" si="14"/>
        <v>0</v>
      </c>
      <c r="BD41" s="26">
        <f>IFERROR(INDEX('Month-1'!$G$3:$G$53,MATCH($B41,'Month-1'!$B$3:$B$53,0)),0) + 1</f>
        <v>1</v>
      </c>
      <c r="BE41" s="26">
        <f t="shared" si="15"/>
        <v>0</v>
      </c>
    </row>
    <row r="42" spans="2:57" x14ac:dyDescent="0.2">
      <c r="B42" s="71"/>
      <c r="C42" s="18"/>
      <c r="D42" s="18"/>
      <c r="E42" s="18"/>
      <c r="F42" s="307"/>
      <c r="G42" s="25" t="str">
        <f>IFERROR(IF(VLOOKUP($B42,'Month-1'!$B$3:$D$53,2,0)=0,"",VLOOKUP($B42,'Month-1'!$B$3:$D$53,2,0)),"")</f>
        <v/>
      </c>
      <c r="H42" s="26" t="str">
        <f>IFERROR(IF(VLOOKUP($B42,'Month-1'!$B$3:$D$53,3,0)=0,"",VLOOKUP($B43,'Month-1'!$B$3:$D$53,3,0)),"")</f>
        <v/>
      </c>
      <c r="I42" s="365"/>
      <c r="J42" s="356"/>
      <c r="K42" s="18"/>
      <c r="L42" s="18"/>
      <c r="M42" s="356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356"/>
      <c r="Z42" s="18"/>
      <c r="AA42" s="18"/>
      <c r="AB42" s="356"/>
      <c r="AC42" s="356"/>
      <c r="AD42" s="356"/>
      <c r="AE42" s="356"/>
      <c r="AF42" s="356"/>
      <c r="AG42" s="18"/>
      <c r="AH42" s="356"/>
      <c r="AI42" s="356"/>
      <c r="AJ42" s="18"/>
      <c r="AK42" s="18"/>
      <c r="AL42" s="18"/>
      <c r="AM42" s="18"/>
      <c r="AN42" s="18"/>
      <c r="AO42" s="356"/>
      <c r="AP42" s="356"/>
      <c r="AQ42" s="356"/>
      <c r="AR42" s="26"/>
      <c r="AT42" s="42">
        <f t="shared" si="6"/>
        <v>0</v>
      </c>
      <c r="AU42" s="23">
        <f t="shared" si="7"/>
        <v>0</v>
      </c>
      <c r="AV42" s="23">
        <f t="shared" si="8"/>
        <v>0</v>
      </c>
      <c r="AW42" s="23">
        <f t="shared" si="9"/>
        <v>0</v>
      </c>
      <c r="AX42" s="278">
        <f t="shared" si="10"/>
        <v>0</v>
      </c>
      <c r="AY42" s="39">
        <f t="shared" si="11"/>
        <v>0</v>
      </c>
      <c r="AZ42" s="25">
        <f t="shared" si="12"/>
        <v>0</v>
      </c>
      <c r="BA42" s="26">
        <f t="shared" si="13"/>
        <v>0</v>
      </c>
      <c r="BB42" s="25">
        <f>IFERROR(INDEX('Month-1'!$F$3:$F$53,MATCH($B42,'Month-1'!$B$3:$B$53,0)),0)</f>
        <v>0</v>
      </c>
      <c r="BC42" s="26">
        <f t="shared" si="14"/>
        <v>0</v>
      </c>
      <c r="BD42" s="26">
        <f>IFERROR(INDEX('Month-1'!$G$3:$G$53,MATCH($B42,'Month-1'!$B$3:$B$53,0)),0) + 1</f>
        <v>1</v>
      </c>
      <c r="BE42" s="26">
        <f t="shared" si="15"/>
        <v>0</v>
      </c>
    </row>
    <row r="43" spans="2:57" x14ac:dyDescent="0.2">
      <c r="B43" s="71"/>
      <c r="C43" s="18"/>
      <c r="D43" s="18"/>
      <c r="E43" s="18"/>
      <c r="F43" s="307"/>
      <c r="G43" s="25" t="str">
        <f>IFERROR(IF(VLOOKUP($B43,'Month-1'!$B$3:$D$53,2,0)=0,"",VLOOKUP($B43,'Month-1'!$B$3:$D$53,2,0)),"")</f>
        <v/>
      </c>
      <c r="H43" s="26" t="str">
        <f>IFERROR(IF(VLOOKUP($B43,'Month-1'!$B$3:$D$53,3,0)=0,"",VLOOKUP($B44,'Month-1'!$B$3:$D$53,3,0)),"")</f>
        <v/>
      </c>
      <c r="I43" s="365"/>
      <c r="J43" s="356"/>
      <c r="K43" s="356"/>
      <c r="L43" s="356"/>
      <c r="M43" s="356"/>
      <c r="N43" s="356"/>
      <c r="O43" s="356"/>
      <c r="P43" s="356"/>
      <c r="Q43" s="18"/>
      <c r="R43" s="18"/>
      <c r="S43" s="18"/>
      <c r="T43" s="356"/>
      <c r="U43" s="356"/>
      <c r="V43" s="356"/>
      <c r="W43" s="18"/>
      <c r="X43" s="18"/>
      <c r="Y43" s="356"/>
      <c r="Z43" s="18"/>
      <c r="AA43" s="356"/>
      <c r="AB43" s="18"/>
      <c r="AC43" s="18"/>
      <c r="AD43" s="18"/>
      <c r="AE43" s="18"/>
      <c r="AF43" s="18"/>
      <c r="AG43" s="18"/>
      <c r="AH43" s="356"/>
      <c r="AI43" s="18"/>
      <c r="AJ43" s="18"/>
      <c r="AK43" s="18"/>
      <c r="AL43" s="356"/>
      <c r="AM43" s="356"/>
      <c r="AN43" s="18"/>
      <c r="AO43" s="18"/>
      <c r="AP43" s="18"/>
      <c r="AQ43" s="18"/>
      <c r="AR43" s="26"/>
      <c r="AT43" s="42">
        <f t="shared" si="6"/>
        <v>0</v>
      </c>
      <c r="AU43" s="23">
        <f t="shared" si="7"/>
        <v>0</v>
      </c>
      <c r="AV43" s="23">
        <f t="shared" si="8"/>
        <v>0</v>
      </c>
      <c r="AW43" s="23">
        <f t="shared" si="9"/>
        <v>0</v>
      </c>
      <c r="AX43" s="278">
        <f t="shared" si="10"/>
        <v>0</v>
      </c>
      <c r="AY43" s="39">
        <f t="shared" si="11"/>
        <v>0</v>
      </c>
      <c r="AZ43" s="25">
        <f t="shared" si="12"/>
        <v>0</v>
      </c>
      <c r="BA43" s="26">
        <f t="shared" si="13"/>
        <v>0</v>
      </c>
      <c r="BB43" s="25">
        <f>IFERROR(INDEX('Month-1'!$F$3:$F$53,MATCH($B43,'Month-1'!$B$3:$B$53,0)),0)</f>
        <v>0</v>
      </c>
      <c r="BC43" s="26">
        <f t="shared" si="14"/>
        <v>0</v>
      </c>
      <c r="BD43" s="26">
        <f>IFERROR(INDEX('Month-1'!$G$3:$G$53,MATCH($B43,'Month-1'!$B$3:$B$53,0)),0) + 1</f>
        <v>1</v>
      </c>
      <c r="BE43" s="26">
        <f t="shared" si="15"/>
        <v>0</v>
      </c>
    </row>
    <row r="44" spans="2:57" x14ac:dyDescent="0.2">
      <c r="B44" s="71"/>
      <c r="C44" s="18"/>
      <c r="D44" s="18"/>
      <c r="E44" s="18"/>
      <c r="F44" s="307"/>
      <c r="G44" s="25" t="str">
        <f>IFERROR(IF(VLOOKUP($B44,'Month-1'!$B$3:$D$53,2,0)=0,"",VLOOKUP($B44,'Month-1'!$B$3:$D$53,2,0)),"")</f>
        <v/>
      </c>
      <c r="H44" s="26" t="str">
        <f>IFERROR(IF(VLOOKUP($B44,'Month-1'!$B$3:$D$53,3,0)=0,"",VLOOKUP($B45,'Month-1'!$B$3:$D$53,3,0)),"")</f>
        <v/>
      </c>
      <c r="I44" s="365"/>
      <c r="J44" s="18"/>
      <c r="K44" s="18"/>
      <c r="L44" s="18"/>
      <c r="M44" s="18"/>
      <c r="N44" s="18"/>
      <c r="O44" s="356"/>
      <c r="P44" s="356"/>
      <c r="Q44" s="356"/>
      <c r="R44" s="356"/>
      <c r="S44" s="356"/>
      <c r="T44" s="356"/>
      <c r="U44" s="356"/>
      <c r="V44" s="18"/>
      <c r="W44" s="18"/>
      <c r="X44" s="18"/>
      <c r="Y44" s="18"/>
      <c r="Z44" s="356"/>
      <c r="AA44" s="356"/>
      <c r="AB44" s="356"/>
      <c r="AC44" s="18"/>
      <c r="AD44" s="18"/>
      <c r="AE44" s="18"/>
      <c r="AF44" s="18"/>
      <c r="AG44" s="356"/>
      <c r="AH44" s="356"/>
      <c r="AI44" s="356"/>
      <c r="AJ44" s="356"/>
      <c r="AK44" s="18"/>
      <c r="AL44" s="18"/>
      <c r="AM44" s="356"/>
      <c r="AN44" s="356"/>
      <c r="AO44" s="356"/>
      <c r="AP44" s="356"/>
      <c r="AQ44" s="356"/>
      <c r="AR44" s="26"/>
      <c r="AT44" s="42">
        <f t="shared" si="6"/>
        <v>0</v>
      </c>
      <c r="AU44" s="23">
        <f t="shared" si="7"/>
        <v>0</v>
      </c>
      <c r="AV44" s="23">
        <f t="shared" si="8"/>
        <v>0</v>
      </c>
      <c r="AW44" s="23">
        <f t="shared" si="9"/>
        <v>0</v>
      </c>
      <c r="AX44" s="278">
        <f t="shared" si="10"/>
        <v>0</v>
      </c>
      <c r="AY44" s="39">
        <f t="shared" si="11"/>
        <v>0</v>
      </c>
      <c r="AZ44" s="25">
        <f t="shared" si="12"/>
        <v>0</v>
      </c>
      <c r="BA44" s="26">
        <f t="shared" si="13"/>
        <v>0</v>
      </c>
      <c r="BB44" s="25">
        <f>IFERROR(INDEX('Month-1'!$F$3:$F$53,MATCH($B44,'Month-1'!$B$3:$B$53,0)),0)</f>
        <v>0</v>
      </c>
      <c r="BC44" s="26">
        <f t="shared" si="14"/>
        <v>0</v>
      </c>
      <c r="BD44" s="26">
        <f>IFERROR(INDEX('Month-1'!$G$3:$G$53,MATCH($B44,'Month-1'!$B$3:$B$53,0)),0) + 1</f>
        <v>1</v>
      </c>
      <c r="BE44" s="26">
        <f t="shared" si="15"/>
        <v>0</v>
      </c>
    </row>
    <row r="45" spans="2:57" x14ac:dyDescent="0.2">
      <c r="B45" s="71"/>
      <c r="C45" s="18"/>
      <c r="D45" s="18"/>
      <c r="E45" s="18"/>
      <c r="F45" s="307"/>
      <c r="G45" s="25" t="str">
        <f>IFERROR(IF(VLOOKUP($B45,'Month-1'!$B$3:$D$53,2,0)=0,"",VLOOKUP($B45,'Month-1'!$B$3:$D$53,2,0)),"")</f>
        <v/>
      </c>
      <c r="H45" s="26" t="str">
        <f>IFERROR(IF(VLOOKUP($B45,'Month-1'!$B$3:$D$53,3,0)=0,"",VLOOKUP($B46,'Month-1'!$B$3:$D$53,3,0)),"")</f>
        <v/>
      </c>
      <c r="I45" s="365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356"/>
      <c r="V45" s="18"/>
      <c r="W45" s="356"/>
      <c r="X45" s="18"/>
      <c r="Y45" s="18"/>
      <c r="Z45" s="352"/>
      <c r="AA45" s="18"/>
      <c r="AB45" s="356"/>
      <c r="AC45" s="18"/>
      <c r="AD45" s="356"/>
      <c r="AE45" s="356"/>
      <c r="AF45" s="356"/>
      <c r="AG45" s="356"/>
      <c r="AH45" s="356"/>
      <c r="AI45" s="356"/>
      <c r="AJ45" s="356"/>
      <c r="AK45" s="356"/>
      <c r="AL45" s="356"/>
      <c r="AM45" s="18"/>
      <c r="AN45" s="18"/>
      <c r="AO45" s="18"/>
      <c r="AP45" s="356"/>
      <c r="AQ45" s="356"/>
      <c r="AR45" s="26"/>
      <c r="AT45" s="42">
        <f t="shared" si="6"/>
        <v>0</v>
      </c>
      <c r="AU45" s="23">
        <f t="shared" si="7"/>
        <v>0</v>
      </c>
      <c r="AV45" s="23">
        <f t="shared" si="8"/>
        <v>0</v>
      </c>
      <c r="AW45" s="23">
        <f t="shared" si="9"/>
        <v>0</v>
      </c>
      <c r="AX45" s="278">
        <f t="shared" si="10"/>
        <v>0</v>
      </c>
      <c r="AY45" s="39">
        <f t="shared" si="11"/>
        <v>0</v>
      </c>
      <c r="AZ45" s="25">
        <f t="shared" si="12"/>
        <v>0</v>
      </c>
      <c r="BA45" s="26">
        <f t="shared" si="13"/>
        <v>0</v>
      </c>
      <c r="BB45" s="25">
        <f>IFERROR(INDEX('Month-1'!$F$3:$F$53,MATCH($B45,'Month-1'!$B$3:$B$53,0)),0)</f>
        <v>0</v>
      </c>
      <c r="BC45" s="26">
        <f t="shared" si="14"/>
        <v>0</v>
      </c>
      <c r="BD45" s="26">
        <f>IFERROR(INDEX('Month-1'!$G$3:$G$53,MATCH($B45,'Month-1'!$B$3:$B$53,0)),0) + 1</f>
        <v>1</v>
      </c>
      <c r="BE45" s="26">
        <f t="shared" si="15"/>
        <v>0</v>
      </c>
    </row>
    <row r="46" spans="2:57" x14ac:dyDescent="0.2">
      <c r="B46" s="71"/>
      <c r="C46" s="18"/>
      <c r="D46" s="18"/>
      <c r="E46" s="18"/>
      <c r="F46" s="307"/>
      <c r="G46" s="25" t="str">
        <f>IFERROR(IF(VLOOKUP($B46,'Month-1'!$B$3:$D$53,2,0)=0,"",VLOOKUP($B46,'Month-1'!$B$3:$D$53,2,0)),"")</f>
        <v/>
      </c>
      <c r="H46" s="26" t="str">
        <f>IFERROR(IF(VLOOKUP($B46,'Month-1'!$B$3:$D$53,3,0)=0,"",VLOOKUP($B47,'Month-1'!$B$3:$D$53,3,0)),"")</f>
        <v/>
      </c>
      <c r="I46" s="24"/>
      <c r="J46" s="18"/>
      <c r="K46" s="18"/>
      <c r="L46" s="18"/>
      <c r="M46" s="18"/>
      <c r="N46" s="18"/>
      <c r="O46" s="18"/>
      <c r="P46" s="356"/>
      <c r="Q46" s="18"/>
      <c r="R46" s="356"/>
      <c r="S46" s="18"/>
      <c r="T46" s="18"/>
      <c r="U46" s="18"/>
      <c r="V46" s="356"/>
      <c r="W46" s="356"/>
      <c r="X46" s="18"/>
      <c r="Y46" s="18"/>
      <c r="Z46" s="18"/>
      <c r="AA46" s="356"/>
      <c r="AB46" s="356"/>
      <c r="AC46" s="18"/>
      <c r="AD46" s="18"/>
      <c r="AE46" s="18"/>
      <c r="AF46" s="18"/>
      <c r="AG46" s="356"/>
      <c r="AH46" s="356"/>
      <c r="AI46" s="18"/>
      <c r="AJ46" s="18"/>
      <c r="AK46" s="18"/>
      <c r="AL46" s="18"/>
      <c r="AM46" s="18"/>
      <c r="AN46" s="18"/>
      <c r="AO46" s="18"/>
      <c r="AP46" s="18"/>
      <c r="AQ46" s="18"/>
      <c r="AR46" s="358"/>
      <c r="AT46" s="42">
        <f t="shared" si="6"/>
        <v>0</v>
      </c>
      <c r="AU46" s="23">
        <f t="shared" si="7"/>
        <v>0</v>
      </c>
      <c r="AV46" s="23">
        <f t="shared" si="8"/>
        <v>0</v>
      </c>
      <c r="AW46" s="23">
        <f t="shared" si="9"/>
        <v>0</v>
      </c>
      <c r="AX46" s="278">
        <f t="shared" si="10"/>
        <v>0</v>
      </c>
      <c r="AY46" s="39">
        <f t="shared" si="11"/>
        <v>0</v>
      </c>
      <c r="AZ46" s="25">
        <f t="shared" si="12"/>
        <v>0</v>
      </c>
      <c r="BA46" s="26">
        <f t="shared" si="13"/>
        <v>0</v>
      </c>
      <c r="BB46" s="25">
        <f>IFERROR(INDEX('Month-1'!$F$3:$F$53,MATCH($B46,'Month-1'!$B$3:$B$53,0)),0)</f>
        <v>0</v>
      </c>
      <c r="BC46" s="26">
        <f t="shared" si="14"/>
        <v>0</v>
      </c>
      <c r="BD46" s="26">
        <f>IFERROR(INDEX('Month-1'!$G$3:$G$53,MATCH($B46,'Month-1'!$B$3:$B$53,0)),0) + 1</f>
        <v>1</v>
      </c>
      <c r="BE46" s="26">
        <f t="shared" si="15"/>
        <v>0</v>
      </c>
    </row>
    <row r="47" spans="2:57" x14ac:dyDescent="0.2">
      <c r="B47" s="71"/>
      <c r="C47" s="18"/>
      <c r="D47" s="18"/>
      <c r="E47" s="18"/>
      <c r="F47" s="307"/>
      <c r="G47" s="25" t="str">
        <f>IFERROR(IF(VLOOKUP($B47,'Month-1'!$B$3:$D$53,2,0)=0,"",VLOOKUP($B47,'Month-1'!$B$3:$D$53,2,0)),"")</f>
        <v/>
      </c>
      <c r="H47" s="26" t="str">
        <f>IFERROR(IF(VLOOKUP($B47,'Month-1'!$B$3:$D$53,3,0)=0,"",VLOOKUP($B48,'Month-1'!$B$3:$D$53,3,0)),"")</f>
        <v/>
      </c>
      <c r="I47" s="365"/>
      <c r="J47" s="18"/>
      <c r="K47" s="18"/>
      <c r="L47" s="18"/>
      <c r="M47" s="18"/>
      <c r="N47" s="356"/>
      <c r="O47" s="356"/>
      <c r="P47" s="356"/>
      <c r="Q47" s="18"/>
      <c r="R47" s="356"/>
      <c r="S47" s="18"/>
      <c r="T47" s="356"/>
      <c r="U47" s="356"/>
      <c r="V47" s="18"/>
      <c r="W47" s="18"/>
      <c r="X47" s="18"/>
      <c r="Y47" s="18"/>
      <c r="Z47" s="356"/>
      <c r="AA47" s="356"/>
      <c r="AB47" s="356"/>
      <c r="AC47" s="18"/>
      <c r="AD47" s="356"/>
      <c r="AE47" s="356"/>
      <c r="AF47" s="356"/>
      <c r="AG47" s="356"/>
      <c r="AH47" s="18"/>
      <c r="AI47" s="18"/>
      <c r="AJ47" s="18"/>
      <c r="AK47" s="18"/>
      <c r="AL47" s="18"/>
      <c r="AM47" s="18"/>
      <c r="AN47" s="18"/>
      <c r="AO47" s="18"/>
      <c r="AP47" s="356"/>
      <c r="AQ47" s="356"/>
      <c r="AR47" s="26"/>
      <c r="AT47" s="42">
        <f t="shared" si="6"/>
        <v>0</v>
      </c>
      <c r="AU47" s="23">
        <f t="shared" si="7"/>
        <v>0</v>
      </c>
      <c r="AV47" s="23">
        <f t="shared" si="8"/>
        <v>0</v>
      </c>
      <c r="AW47" s="23">
        <f t="shared" si="9"/>
        <v>0</v>
      </c>
      <c r="AX47" s="278">
        <f t="shared" si="10"/>
        <v>0</v>
      </c>
      <c r="AY47" s="39">
        <f t="shared" si="11"/>
        <v>0</v>
      </c>
      <c r="AZ47" s="25">
        <f t="shared" si="12"/>
        <v>0</v>
      </c>
      <c r="BA47" s="26">
        <f t="shared" si="13"/>
        <v>0</v>
      </c>
      <c r="BB47" s="25">
        <f>IFERROR(INDEX('Month-1'!$F$3:$F$53,MATCH($B47,'Month-1'!$B$3:$B$53,0)),0)</f>
        <v>0</v>
      </c>
      <c r="BC47" s="26">
        <f t="shared" si="14"/>
        <v>0</v>
      </c>
      <c r="BD47" s="26">
        <f>IFERROR(INDEX('Month-1'!$G$3:$G$53,MATCH($B47,'Month-1'!$B$3:$B$53,0)),0) + 1</f>
        <v>1</v>
      </c>
      <c r="BE47" s="26">
        <f t="shared" si="15"/>
        <v>0</v>
      </c>
    </row>
    <row r="48" spans="2:57" x14ac:dyDescent="0.2">
      <c r="B48" s="71"/>
      <c r="C48" s="18"/>
      <c r="D48" s="18"/>
      <c r="E48" s="18"/>
      <c r="F48" s="307"/>
      <c r="G48" s="25" t="str">
        <f>IFERROR(IF(VLOOKUP($B48,'Month-1'!$B$3:$D$53,2,0)=0,"",VLOOKUP($B48,'Month-1'!$B$3:$D$53,2,0)),"")</f>
        <v/>
      </c>
      <c r="H48" s="26" t="str">
        <f>IFERROR(IF(VLOOKUP($B48,'Month-1'!$B$3:$D$53,3,0)=0,"",VLOOKUP($B49,'Month-1'!$B$3:$D$53,3,0)),"")</f>
        <v/>
      </c>
      <c r="I48" s="365"/>
      <c r="J48" s="18"/>
      <c r="K48" s="356"/>
      <c r="L48" s="18"/>
      <c r="M48" s="18"/>
      <c r="N48" s="356"/>
      <c r="O48" s="356"/>
      <c r="P48" s="18"/>
      <c r="Q48" s="18"/>
      <c r="R48" s="356"/>
      <c r="S48" s="18"/>
      <c r="T48" s="356"/>
      <c r="U48" s="356"/>
      <c r="V48" s="18"/>
      <c r="W48" s="18"/>
      <c r="X48" s="18"/>
      <c r="Y48" s="356"/>
      <c r="Z48" s="18"/>
      <c r="AA48" s="356"/>
      <c r="AB48" s="356"/>
      <c r="AC48" s="356"/>
      <c r="AD48" s="356"/>
      <c r="AE48" s="356"/>
      <c r="AF48" s="356"/>
      <c r="AG48" s="356"/>
      <c r="AH48" s="356"/>
      <c r="AI48" s="356"/>
      <c r="AJ48" s="18"/>
      <c r="AK48" s="18"/>
      <c r="AL48" s="18"/>
      <c r="AM48" s="18"/>
      <c r="AN48" s="18"/>
      <c r="AO48" s="356"/>
      <c r="AP48" s="356"/>
      <c r="AQ48" s="356"/>
      <c r="AR48" s="358"/>
      <c r="AT48" s="42">
        <f t="shared" si="6"/>
        <v>0</v>
      </c>
      <c r="AU48" s="23">
        <f t="shared" si="7"/>
        <v>0</v>
      </c>
      <c r="AV48" s="23">
        <f t="shared" si="8"/>
        <v>0</v>
      </c>
      <c r="AW48" s="23">
        <f t="shared" si="9"/>
        <v>0</v>
      </c>
      <c r="AX48" s="278">
        <f t="shared" si="10"/>
        <v>0</v>
      </c>
      <c r="AY48" s="39">
        <f t="shared" si="11"/>
        <v>0</v>
      </c>
      <c r="AZ48" s="25">
        <f t="shared" si="12"/>
        <v>0</v>
      </c>
      <c r="BA48" s="26">
        <f t="shared" si="13"/>
        <v>0</v>
      </c>
      <c r="BB48" s="25">
        <f>IFERROR(INDEX('Month-1'!$F$3:$F$53,MATCH($B48,'Month-1'!$B$3:$B$53,0)),0)</f>
        <v>0</v>
      </c>
      <c r="BC48" s="26">
        <f t="shared" si="14"/>
        <v>0</v>
      </c>
      <c r="BD48" s="26">
        <f>IFERROR(INDEX('Month-1'!$G$3:$G$53,MATCH($B48,'Month-1'!$B$3:$B$53,0)),0) + 1</f>
        <v>1</v>
      </c>
      <c r="BE48" s="26">
        <f t="shared" si="15"/>
        <v>0</v>
      </c>
    </row>
    <row r="49" spans="2:57" x14ac:dyDescent="0.2">
      <c r="B49" s="71"/>
      <c r="C49" s="18"/>
      <c r="D49" s="18"/>
      <c r="E49" s="18"/>
      <c r="F49" s="307"/>
      <c r="G49" s="25" t="str">
        <f>IFERROR(IF(VLOOKUP($B49,'Month-1'!$B$3:$D$53,2,0)=0,"",VLOOKUP($B49,'Month-1'!$B$3:$D$53,2,0)),"")</f>
        <v/>
      </c>
      <c r="H49" s="26" t="str">
        <f>IFERROR(IF(VLOOKUP($B49,'Month-1'!$B$3:$D$53,3,0)=0,"",VLOOKUP($B50,'Month-1'!$B$3:$D$53,3,0)),"")</f>
        <v/>
      </c>
      <c r="I49" s="24"/>
      <c r="J49" s="356"/>
      <c r="K49" s="356"/>
      <c r="L49" s="356"/>
      <c r="M49" s="356"/>
      <c r="N49" s="356"/>
      <c r="O49" s="356"/>
      <c r="P49" s="356"/>
      <c r="Q49" s="356"/>
      <c r="R49" s="356"/>
      <c r="S49" s="18"/>
      <c r="T49" s="356"/>
      <c r="U49" s="18"/>
      <c r="V49" s="18"/>
      <c r="W49" s="18"/>
      <c r="X49" s="356"/>
      <c r="Y49" s="356"/>
      <c r="Z49" s="356"/>
      <c r="AA49" s="356"/>
      <c r="AB49" s="18"/>
      <c r="AC49" s="18"/>
      <c r="AD49" s="18"/>
      <c r="AE49" s="356"/>
      <c r="AF49" s="18"/>
      <c r="AG49" s="356"/>
      <c r="AH49" s="18"/>
      <c r="AI49" s="356"/>
      <c r="AJ49" s="18"/>
      <c r="AK49" s="18"/>
      <c r="AL49" s="18"/>
      <c r="AM49" s="18"/>
      <c r="AN49" s="18"/>
      <c r="AO49" s="18"/>
      <c r="AP49" s="356"/>
      <c r="AQ49" s="356"/>
      <c r="AR49" s="358"/>
      <c r="AT49" s="42">
        <f t="shared" si="6"/>
        <v>0</v>
      </c>
      <c r="AU49" s="23">
        <f t="shared" si="7"/>
        <v>0</v>
      </c>
      <c r="AV49" s="23">
        <f t="shared" si="8"/>
        <v>0</v>
      </c>
      <c r="AW49" s="23">
        <f t="shared" si="9"/>
        <v>0</v>
      </c>
      <c r="AX49" s="278">
        <f t="shared" si="10"/>
        <v>0</v>
      </c>
      <c r="AY49" s="39">
        <f t="shared" si="11"/>
        <v>0</v>
      </c>
      <c r="AZ49" s="25">
        <f t="shared" si="12"/>
        <v>0</v>
      </c>
      <c r="BA49" s="26">
        <f t="shared" si="13"/>
        <v>0</v>
      </c>
      <c r="BB49" s="25">
        <f>IFERROR(INDEX('Month-1'!$F$3:$F$53,MATCH($B49,'Month-1'!$B$3:$B$53,0)),0)</f>
        <v>0</v>
      </c>
      <c r="BC49" s="26">
        <f t="shared" si="14"/>
        <v>0</v>
      </c>
      <c r="BD49" s="26">
        <f>IFERROR(INDEX('Month-1'!$G$3:$G$53,MATCH($B49,'Month-1'!$B$3:$B$53,0)),0) + 1</f>
        <v>1</v>
      </c>
      <c r="BE49" s="26">
        <f t="shared" si="15"/>
        <v>0</v>
      </c>
    </row>
    <row r="50" spans="2:57" x14ac:dyDescent="0.2">
      <c r="B50" s="71"/>
      <c r="C50" s="18"/>
      <c r="D50" s="18"/>
      <c r="E50" s="18"/>
      <c r="F50" s="307"/>
      <c r="G50" s="25" t="str">
        <f>IFERROR(IF(VLOOKUP($B50,'Month-1'!$B$3:$D$53,2,0)=0,"",VLOOKUP($B50,'Month-1'!$B$3:$D$53,2,0)),"")</f>
        <v/>
      </c>
      <c r="H50" s="26" t="str">
        <f>IFERROR(IF(VLOOKUP($B50,'Month-1'!$B$3:$D$53,3,0)=0,"",VLOOKUP($B51,'Month-1'!$B$3:$D$53,3,0)),"")</f>
        <v/>
      </c>
      <c r="I50" s="24"/>
      <c r="J50" s="18"/>
      <c r="K50" s="18"/>
      <c r="L50" s="356"/>
      <c r="M50" s="18"/>
      <c r="N50" s="18"/>
      <c r="O50" s="18"/>
      <c r="P50" s="18"/>
      <c r="Q50" s="18"/>
      <c r="R50" s="356"/>
      <c r="S50" s="18"/>
      <c r="T50" s="18"/>
      <c r="U50" s="356"/>
      <c r="V50" s="356"/>
      <c r="W50" s="18"/>
      <c r="X50" s="18"/>
      <c r="Y50" s="18"/>
      <c r="Z50" s="356"/>
      <c r="AA50" s="356"/>
      <c r="AB50" s="356"/>
      <c r="AC50" s="18"/>
      <c r="AD50" s="356"/>
      <c r="AE50" s="356"/>
      <c r="AF50" s="356"/>
      <c r="AG50" s="356"/>
      <c r="AH50" s="18"/>
      <c r="AI50" s="18"/>
      <c r="AJ50" s="18"/>
      <c r="AK50" s="18"/>
      <c r="AL50" s="18"/>
      <c r="AM50" s="18"/>
      <c r="AN50" s="356"/>
      <c r="AO50" s="356"/>
      <c r="AP50" s="356"/>
      <c r="AQ50" s="356"/>
      <c r="AR50" s="358"/>
      <c r="AT50" s="42">
        <f t="shared" si="6"/>
        <v>0</v>
      </c>
      <c r="AU50" s="23">
        <f t="shared" si="7"/>
        <v>0</v>
      </c>
      <c r="AV50" s="23">
        <f t="shared" si="8"/>
        <v>0</v>
      </c>
      <c r="AW50" s="23">
        <f t="shared" si="9"/>
        <v>0</v>
      </c>
      <c r="AX50" s="278">
        <f t="shared" si="10"/>
        <v>0</v>
      </c>
      <c r="AY50" s="39">
        <f t="shared" si="11"/>
        <v>0</v>
      </c>
      <c r="AZ50" s="25">
        <f t="shared" si="12"/>
        <v>0</v>
      </c>
      <c r="BA50" s="26">
        <f t="shared" si="13"/>
        <v>0</v>
      </c>
      <c r="BB50" s="25">
        <f>IFERROR(INDEX('Month-1'!$F$3:$F$53,MATCH($B50,'Month-1'!$B$3:$B$53,0)),0)</f>
        <v>0</v>
      </c>
      <c r="BC50" s="26">
        <f t="shared" si="14"/>
        <v>0</v>
      </c>
      <c r="BD50" s="26">
        <f>IFERROR(INDEX('Month-1'!$G$3:$G$53,MATCH($B50,'Month-1'!$B$3:$B$53,0)),0) + 1</f>
        <v>1</v>
      </c>
      <c r="BE50" s="26">
        <f t="shared" si="15"/>
        <v>0</v>
      </c>
    </row>
    <row r="51" spans="2:57" x14ac:dyDescent="0.2">
      <c r="B51" s="71"/>
      <c r="C51" s="18"/>
      <c r="D51" s="18"/>
      <c r="E51" s="18"/>
      <c r="F51" s="307"/>
      <c r="G51" s="25" t="str">
        <f>IFERROR(IF(VLOOKUP($B51,'Month-1'!$B$3:$D$53,2,0)=0,"",VLOOKUP($B51,'Month-1'!$B$3:$D$53,2,0)),"")</f>
        <v/>
      </c>
      <c r="H51" s="26" t="str">
        <f>IFERROR(IF(VLOOKUP($B51,'Month-1'!$B$3:$D$53,3,0)=0,"",VLOOKUP($B52,'Month-1'!$B$3:$D$53,3,0)),"")</f>
        <v/>
      </c>
      <c r="I51" s="24"/>
      <c r="J51" s="18"/>
      <c r="K51" s="356"/>
      <c r="L51" s="356"/>
      <c r="M51" s="356"/>
      <c r="N51" s="356"/>
      <c r="O51" s="356"/>
      <c r="P51" s="18"/>
      <c r="Q51" s="18"/>
      <c r="R51" s="18"/>
      <c r="S51" s="18"/>
      <c r="T51" s="18"/>
      <c r="U51" s="356"/>
      <c r="V51" s="356"/>
      <c r="W51" s="18"/>
      <c r="X51" s="356"/>
      <c r="Y51" s="18"/>
      <c r="Z51" s="18"/>
      <c r="AA51" s="18"/>
      <c r="AB51" s="18"/>
      <c r="AC51" s="18"/>
      <c r="AD51" s="18"/>
      <c r="AE51" s="18"/>
      <c r="AF51" s="18"/>
      <c r="AG51" s="356"/>
      <c r="AH51" s="18"/>
      <c r="AI51" s="356"/>
      <c r="AJ51" s="18"/>
      <c r="AK51" s="18"/>
      <c r="AL51" s="18"/>
      <c r="AM51" s="18"/>
      <c r="AN51" s="356"/>
      <c r="AO51" s="356"/>
      <c r="AP51" s="356"/>
      <c r="AQ51" s="356"/>
      <c r="AR51" s="358"/>
      <c r="AT51" s="42">
        <f t="shared" si="6"/>
        <v>0</v>
      </c>
      <c r="AU51" s="23">
        <f t="shared" si="7"/>
        <v>0</v>
      </c>
      <c r="AV51" s="23">
        <f t="shared" si="8"/>
        <v>0</v>
      </c>
      <c r="AW51" s="23">
        <f t="shared" si="9"/>
        <v>0</v>
      </c>
      <c r="AX51" s="278">
        <f t="shared" si="10"/>
        <v>0</v>
      </c>
      <c r="AY51" s="39">
        <f t="shared" si="11"/>
        <v>0</v>
      </c>
      <c r="AZ51" s="25">
        <f t="shared" si="12"/>
        <v>0</v>
      </c>
      <c r="BA51" s="26">
        <f t="shared" si="13"/>
        <v>0</v>
      </c>
      <c r="BB51" s="25">
        <f>IFERROR(INDEX('Month-1'!$F$3:$F$53,MATCH($B51,'Month-1'!$B$3:$B$53,0)),0)</f>
        <v>0</v>
      </c>
      <c r="BC51" s="26">
        <f t="shared" si="14"/>
        <v>0</v>
      </c>
      <c r="BD51" s="26">
        <f>IFERROR(INDEX('Month-1'!$G$3:$G$53,MATCH($B51,'Month-1'!$B$3:$B$53,0)),0) + 1</f>
        <v>1</v>
      </c>
      <c r="BE51" s="26">
        <f t="shared" si="15"/>
        <v>0</v>
      </c>
    </row>
    <row r="52" spans="2:57" x14ac:dyDescent="0.2">
      <c r="B52" s="71"/>
      <c r="C52" s="18"/>
      <c r="D52" s="18"/>
      <c r="E52" s="18"/>
      <c r="F52" s="307"/>
      <c r="G52" s="25" t="str">
        <f>IFERROR(IF(VLOOKUP($B52,'Month-1'!$B$3:$D$53,2,0)=0,"",VLOOKUP($B52,'Month-1'!$B$3:$D$53,2,0)),"")</f>
        <v/>
      </c>
      <c r="H52" s="26" t="str">
        <f>IFERROR(IF(VLOOKUP($B52,'Month-1'!$B$3:$D$53,3,0)=0,"",VLOOKUP($B53,'Month-1'!$B$3:$D$53,3,0)),"")</f>
        <v/>
      </c>
      <c r="I52" s="24"/>
      <c r="J52" s="18"/>
      <c r="K52" s="356"/>
      <c r="L52" s="356"/>
      <c r="M52" s="356"/>
      <c r="N52" s="356"/>
      <c r="O52" s="356"/>
      <c r="P52" s="18"/>
      <c r="Q52" s="18"/>
      <c r="R52" s="18"/>
      <c r="S52" s="18"/>
      <c r="T52" s="18"/>
      <c r="U52" s="356"/>
      <c r="V52" s="356"/>
      <c r="W52" s="18"/>
      <c r="X52" s="356"/>
      <c r="Y52" s="18"/>
      <c r="Z52" s="18"/>
      <c r="AA52" s="18"/>
      <c r="AB52" s="18"/>
      <c r="AC52" s="18"/>
      <c r="AD52" s="18"/>
      <c r="AE52" s="18"/>
      <c r="AF52" s="18"/>
      <c r="AG52" s="356"/>
      <c r="AH52" s="18"/>
      <c r="AI52" s="356"/>
      <c r="AJ52" s="18"/>
      <c r="AK52" s="18"/>
      <c r="AL52" s="18"/>
      <c r="AM52" s="18"/>
      <c r="AN52" s="356"/>
      <c r="AO52" s="356"/>
      <c r="AP52" s="356"/>
      <c r="AQ52" s="356"/>
      <c r="AR52" s="358"/>
      <c r="AT52" s="42">
        <f t="shared" si="6"/>
        <v>0</v>
      </c>
      <c r="AU52" s="23">
        <f t="shared" si="7"/>
        <v>0</v>
      </c>
      <c r="AV52" s="23">
        <f t="shared" si="8"/>
        <v>0</v>
      </c>
      <c r="AW52" s="23">
        <f t="shared" si="9"/>
        <v>0</v>
      </c>
      <c r="AX52" s="278">
        <f t="shared" si="10"/>
        <v>0</v>
      </c>
      <c r="AY52" s="39">
        <f t="shared" si="11"/>
        <v>0</v>
      </c>
      <c r="AZ52" s="25">
        <f t="shared" si="12"/>
        <v>0</v>
      </c>
      <c r="BA52" s="26">
        <f t="shared" si="13"/>
        <v>0</v>
      </c>
      <c r="BB52" s="25">
        <f>IFERROR(INDEX('Month-1'!$F$3:$F$53,MATCH($B52,'Month-1'!$B$3:$B$53,0)),0)</f>
        <v>0</v>
      </c>
      <c r="BC52" s="26">
        <f t="shared" si="14"/>
        <v>0</v>
      </c>
      <c r="BD52" s="26">
        <f>IFERROR(INDEX('Month-1'!$G$3:$G$53,MATCH($B52,'Month-1'!$B$3:$B$53,0)),0) + 1</f>
        <v>1</v>
      </c>
      <c r="BE52" s="26">
        <f t="shared" si="15"/>
        <v>0</v>
      </c>
    </row>
    <row r="53" spans="2:57" x14ac:dyDescent="0.2">
      <c r="B53" s="71"/>
      <c r="C53" s="18"/>
      <c r="D53" s="18"/>
      <c r="E53" s="18"/>
      <c r="F53" s="307"/>
      <c r="G53" s="25" t="str">
        <f>IFERROR(IF(VLOOKUP($B53,'Month-1'!$B$3:$D$53,2,0)=0,"",VLOOKUP($B53,'Month-1'!$B$3:$D$53,2,0)),"")</f>
        <v/>
      </c>
      <c r="H53" s="26" t="str">
        <f>IFERROR(IF(VLOOKUP($B53,'Month-1'!$B$3:$D$53,3,0)=0,"",VLOOKUP($B54,'Month-1'!$B$3:$D$53,3,0)),"")</f>
        <v/>
      </c>
      <c r="I53" s="24"/>
      <c r="J53" s="18"/>
      <c r="K53" s="356"/>
      <c r="L53" s="356"/>
      <c r="M53" s="356"/>
      <c r="N53" s="356"/>
      <c r="O53" s="356"/>
      <c r="P53" s="18"/>
      <c r="Q53" s="18"/>
      <c r="R53" s="18"/>
      <c r="S53" s="18"/>
      <c r="T53" s="18"/>
      <c r="U53" s="356"/>
      <c r="V53" s="356"/>
      <c r="W53" s="18"/>
      <c r="X53" s="356"/>
      <c r="Y53" s="18"/>
      <c r="Z53" s="18"/>
      <c r="AA53" s="18"/>
      <c r="AB53" s="18"/>
      <c r="AC53" s="18"/>
      <c r="AD53" s="18"/>
      <c r="AE53" s="18"/>
      <c r="AF53" s="18"/>
      <c r="AG53" s="356"/>
      <c r="AH53" s="18"/>
      <c r="AI53" s="356"/>
      <c r="AJ53" s="18"/>
      <c r="AK53" s="18"/>
      <c r="AL53" s="18"/>
      <c r="AM53" s="18"/>
      <c r="AN53" s="356"/>
      <c r="AO53" s="356"/>
      <c r="AP53" s="356"/>
      <c r="AQ53" s="356"/>
      <c r="AR53" s="358"/>
      <c r="AT53" s="42">
        <f t="shared" si="6"/>
        <v>0</v>
      </c>
      <c r="AU53" s="23">
        <f t="shared" si="7"/>
        <v>0</v>
      </c>
      <c r="AV53" s="23">
        <f t="shared" si="8"/>
        <v>0</v>
      </c>
      <c r="AW53" s="23">
        <f t="shared" si="9"/>
        <v>0</v>
      </c>
      <c r="AX53" s="278">
        <f t="shared" si="10"/>
        <v>0</v>
      </c>
      <c r="AY53" s="39">
        <f t="shared" si="11"/>
        <v>0</v>
      </c>
      <c r="AZ53" s="25">
        <f t="shared" si="12"/>
        <v>0</v>
      </c>
      <c r="BA53" s="26">
        <f t="shared" si="13"/>
        <v>0</v>
      </c>
      <c r="BB53" s="25">
        <f>IFERROR(INDEX('Month-1'!$F$3:$F$53,MATCH($B53,'Month-1'!$B$3:$B$53,0)),0)</f>
        <v>0</v>
      </c>
      <c r="BC53" s="26">
        <f t="shared" si="14"/>
        <v>0</v>
      </c>
      <c r="BD53" s="26">
        <f>IFERROR(INDEX('Month-1'!$G$3:$G$53,MATCH($B53,'Month-1'!$B$3:$B$53,0)),0) + 1</f>
        <v>1</v>
      </c>
      <c r="BE53" s="26">
        <f t="shared" si="15"/>
        <v>0</v>
      </c>
    </row>
    <row r="54" spans="2:57" x14ac:dyDescent="0.2">
      <c r="B54" s="71"/>
      <c r="C54" s="18"/>
      <c r="D54" s="18"/>
      <c r="E54" s="18"/>
      <c r="F54" s="307"/>
      <c r="G54" s="25" t="str">
        <f>IFERROR(IF(VLOOKUP($B54,'Month-1'!$B$3:$D$53,2,0)=0,"",VLOOKUP($B54,'Month-1'!$B$3:$D$53,2,0)),"")</f>
        <v/>
      </c>
      <c r="H54" s="26" t="str">
        <f>IFERROR(IF(VLOOKUP($B54,'Month-1'!$B$3:$D$53,3,0)=0,"",VLOOKUP($B55,'Month-1'!$B$3:$D$53,3,0)),"")</f>
        <v/>
      </c>
      <c r="I54" s="24"/>
      <c r="J54" s="18"/>
      <c r="K54" s="356"/>
      <c r="L54" s="356"/>
      <c r="M54" s="356"/>
      <c r="N54" s="356"/>
      <c r="O54" s="356"/>
      <c r="P54" s="18"/>
      <c r="Q54" s="18"/>
      <c r="R54" s="18"/>
      <c r="S54" s="18"/>
      <c r="T54" s="18"/>
      <c r="U54" s="356"/>
      <c r="V54" s="356"/>
      <c r="W54" s="18"/>
      <c r="X54" s="356"/>
      <c r="Y54" s="18"/>
      <c r="Z54" s="18"/>
      <c r="AA54" s="18"/>
      <c r="AB54" s="18"/>
      <c r="AC54" s="18"/>
      <c r="AD54" s="18"/>
      <c r="AE54" s="18"/>
      <c r="AF54" s="18"/>
      <c r="AG54" s="356"/>
      <c r="AH54" s="18"/>
      <c r="AI54" s="356"/>
      <c r="AJ54" s="18"/>
      <c r="AK54" s="18"/>
      <c r="AL54" s="18"/>
      <c r="AM54" s="18"/>
      <c r="AN54" s="356"/>
      <c r="AO54" s="356"/>
      <c r="AP54" s="356"/>
      <c r="AQ54" s="356"/>
      <c r="AR54" s="358"/>
      <c r="AT54" s="42">
        <f t="shared" si="6"/>
        <v>0</v>
      </c>
      <c r="AU54" s="23">
        <f t="shared" si="7"/>
        <v>0</v>
      </c>
      <c r="AV54" s="23">
        <f t="shared" si="8"/>
        <v>0</v>
      </c>
      <c r="AW54" s="23">
        <f t="shared" si="9"/>
        <v>0</v>
      </c>
      <c r="AX54" s="278">
        <f t="shared" si="10"/>
        <v>0</v>
      </c>
      <c r="AY54" s="39">
        <f t="shared" si="11"/>
        <v>0</v>
      </c>
      <c r="AZ54" s="25">
        <f t="shared" si="12"/>
        <v>0</v>
      </c>
      <c r="BA54" s="26">
        <f t="shared" si="13"/>
        <v>0</v>
      </c>
      <c r="BB54" s="25">
        <f>IFERROR(INDEX('Month-1'!$F$3:$F$53,MATCH($B54,'Month-1'!$B$3:$B$53,0)),0)</f>
        <v>0</v>
      </c>
      <c r="BC54" s="26">
        <f t="shared" si="14"/>
        <v>0</v>
      </c>
      <c r="BD54" s="26">
        <f>IFERROR(INDEX('Month-1'!$G$3:$G$53,MATCH($B54,'Month-1'!$B$3:$B$53,0)),0) + 1</f>
        <v>1</v>
      </c>
      <c r="BE54" s="26">
        <f t="shared" si="15"/>
        <v>0</v>
      </c>
    </row>
    <row r="55" spans="2:57" ht="16" thickBot="1" x14ac:dyDescent="0.25">
      <c r="B55" s="75"/>
      <c r="C55" s="34"/>
      <c r="D55" s="34"/>
      <c r="E55" s="34"/>
      <c r="F55" s="308"/>
      <c r="G55" s="33" t="str">
        <f>IFERROR(IF(VLOOKUP($B55,'Month-1'!$B$3:$D$53,2,0)=0,"",VLOOKUP($B55,'Month-1'!$B$3:$D$53,2,0)),"")</f>
        <v/>
      </c>
      <c r="H55" s="41" t="str">
        <f>IFERROR(IF(VLOOKUP($B55,'Month-1'!$B$3:$D$53,3,0)=0,"",VLOOKUP($B56,'Month-1'!$B$3:$D$53,3,0)),"")</f>
        <v/>
      </c>
      <c r="I55" s="38"/>
      <c r="J55" s="34"/>
      <c r="K55" s="359"/>
      <c r="L55" s="34"/>
      <c r="M55" s="359"/>
      <c r="N55" s="34"/>
      <c r="O55" s="34"/>
      <c r="P55" s="34"/>
      <c r="Q55" s="34"/>
      <c r="R55" s="359"/>
      <c r="S55" s="34"/>
      <c r="T55" s="34"/>
      <c r="U55" s="34"/>
      <c r="V55" s="34"/>
      <c r="W55" s="359"/>
      <c r="X55" s="359"/>
      <c r="Y55" s="359"/>
      <c r="Z55" s="34"/>
      <c r="AA55" s="34"/>
      <c r="AB55" s="359"/>
      <c r="AC55" s="34"/>
      <c r="AD55" s="34"/>
      <c r="AE55" s="359"/>
      <c r="AF55" s="359"/>
      <c r="AG55" s="359"/>
      <c r="AH55" s="34"/>
      <c r="AI55" s="34"/>
      <c r="AJ55" s="34"/>
      <c r="AK55" s="34"/>
      <c r="AL55" s="359"/>
      <c r="AM55" s="34"/>
      <c r="AN55" s="359"/>
      <c r="AO55" s="359"/>
      <c r="AP55" s="359"/>
      <c r="AQ55" s="359"/>
      <c r="AR55" s="360"/>
      <c r="AT55" s="49">
        <f t="shared" si="6"/>
        <v>0</v>
      </c>
      <c r="AU55" s="48">
        <f t="shared" si="7"/>
        <v>0</v>
      </c>
      <c r="AV55" s="48">
        <f t="shared" si="8"/>
        <v>0</v>
      </c>
      <c r="AW55" s="48">
        <f t="shared" si="9"/>
        <v>0</v>
      </c>
      <c r="AX55" s="279">
        <f t="shared" si="10"/>
        <v>0</v>
      </c>
      <c r="AY55" s="50">
        <f t="shared" si="11"/>
        <v>0</v>
      </c>
      <c r="AZ55" s="33">
        <f t="shared" si="12"/>
        <v>0</v>
      </c>
      <c r="BA55" s="41">
        <f t="shared" si="13"/>
        <v>0</v>
      </c>
      <c r="BB55" s="33">
        <f>IFERROR(INDEX('Month-1'!$F$3:$F$53,MATCH($B55,'Month-1'!$B$3:$B$53,0)),0)</f>
        <v>0</v>
      </c>
      <c r="BC55" s="41">
        <f t="shared" si="14"/>
        <v>0</v>
      </c>
      <c r="BD55" s="41">
        <f>IFERROR(INDEX('Month-1'!$G$3:$G$53,MATCH($B55,'Month-1'!$B$3:$B$53,0)),0) + 1</f>
        <v>1</v>
      </c>
      <c r="BE55" s="41">
        <f t="shared" si="15"/>
        <v>0</v>
      </c>
    </row>
    <row r="57" spans="2:57" x14ac:dyDescent="0.2">
      <c r="E57" s="3" t="s">
        <v>269</v>
      </c>
      <c r="I57" s="1">
        <f t="shared" ref="I57:R62" si="16">COUNTIFS(I$6:I$55,$E57)</f>
        <v>0</v>
      </c>
      <c r="J57" s="1">
        <f t="shared" si="16"/>
        <v>0</v>
      </c>
      <c r="K57" s="1">
        <f t="shared" si="16"/>
        <v>0</v>
      </c>
      <c r="L57" s="1">
        <f t="shared" si="16"/>
        <v>0</v>
      </c>
      <c r="M57" s="1">
        <f t="shared" si="16"/>
        <v>0</v>
      </c>
      <c r="N57" s="1">
        <f t="shared" si="16"/>
        <v>0</v>
      </c>
      <c r="O57" s="1">
        <f t="shared" si="16"/>
        <v>0</v>
      </c>
      <c r="P57" s="1">
        <f t="shared" si="16"/>
        <v>0</v>
      </c>
      <c r="Q57" s="1">
        <f t="shared" si="16"/>
        <v>0</v>
      </c>
      <c r="R57" s="1">
        <f t="shared" si="16"/>
        <v>0</v>
      </c>
      <c r="S57" s="1">
        <f t="shared" ref="S57:AB62" si="17">COUNTIFS(S$6:S$55,$E57)</f>
        <v>0</v>
      </c>
      <c r="T57" s="1">
        <f t="shared" si="17"/>
        <v>0</v>
      </c>
      <c r="U57" s="1">
        <f t="shared" si="17"/>
        <v>0</v>
      </c>
      <c r="V57" s="1">
        <f t="shared" si="17"/>
        <v>0</v>
      </c>
      <c r="W57" s="1">
        <f t="shared" si="17"/>
        <v>0</v>
      </c>
      <c r="X57" s="1">
        <f t="shared" si="17"/>
        <v>0</v>
      </c>
      <c r="Y57" s="1">
        <f t="shared" si="17"/>
        <v>0</v>
      </c>
      <c r="Z57" s="1">
        <f t="shared" si="17"/>
        <v>0</v>
      </c>
      <c r="AA57" s="1">
        <f t="shared" si="17"/>
        <v>0</v>
      </c>
      <c r="AB57" s="1">
        <f t="shared" si="17"/>
        <v>0</v>
      </c>
      <c r="AC57" s="1">
        <f t="shared" ref="AC57:AL62" si="18">COUNTIFS(AC$6:AC$55,$E57)</f>
        <v>0</v>
      </c>
      <c r="AD57" s="1">
        <f t="shared" si="18"/>
        <v>0</v>
      </c>
      <c r="AE57" s="1">
        <f t="shared" si="18"/>
        <v>0</v>
      </c>
      <c r="AF57" s="1">
        <f t="shared" si="18"/>
        <v>0</v>
      </c>
      <c r="AG57" s="1">
        <f t="shared" si="18"/>
        <v>0</v>
      </c>
      <c r="AH57" s="1">
        <f t="shared" si="18"/>
        <v>0</v>
      </c>
      <c r="AI57" s="1">
        <f t="shared" si="18"/>
        <v>0</v>
      </c>
      <c r="AJ57" s="1">
        <f t="shared" si="18"/>
        <v>0</v>
      </c>
      <c r="AK57" s="1">
        <f t="shared" si="18"/>
        <v>0</v>
      </c>
      <c r="AL57" s="1">
        <f t="shared" si="18"/>
        <v>0</v>
      </c>
      <c r="AM57" s="1">
        <f t="shared" ref="AM57:AR62" si="19">COUNTIFS(AM$6:AM$55,$E57)</f>
        <v>0</v>
      </c>
      <c r="AN57" s="1">
        <f t="shared" si="19"/>
        <v>0</v>
      </c>
      <c r="AO57" s="1">
        <f t="shared" si="19"/>
        <v>0</v>
      </c>
      <c r="AP57" s="1">
        <f t="shared" si="19"/>
        <v>0</v>
      </c>
      <c r="AQ57" s="1">
        <f t="shared" si="19"/>
        <v>0</v>
      </c>
      <c r="AR57" s="1">
        <f t="shared" si="19"/>
        <v>0</v>
      </c>
    </row>
    <row r="58" spans="2:57" x14ac:dyDescent="0.2">
      <c r="E58" s="3" t="s">
        <v>270</v>
      </c>
      <c r="I58" s="1">
        <f t="shared" si="16"/>
        <v>0</v>
      </c>
      <c r="J58" s="1">
        <f t="shared" si="16"/>
        <v>0</v>
      </c>
      <c r="K58" s="1">
        <f t="shared" si="16"/>
        <v>0</v>
      </c>
      <c r="L58" s="1">
        <f t="shared" si="16"/>
        <v>0</v>
      </c>
      <c r="M58" s="1">
        <f t="shared" si="16"/>
        <v>0</v>
      </c>
      <c r="N58" s="1">
        <f t="shared" si="16"/>
        <v>0</v>
      </c>
      <c r="O58" s="1">
        <f t="shared" si="16"/>
        <v>0</v>
      </c>
      <c r="P58" s="1">
        <f t="shared" si="16"/>
        <v>0</v>
      </c>
      <c r="Q58" s="1">
        <f t="shared" si="16"/>
        <v>0</v>
      </c>
      <c r="R58" s="1">
        <f t="shared" si="16"/>
        <v>0</v>
      </c>
      <c r="S58" s="1">
        <f t="shared" si="17"/>
        <v>0</v>
      </c>
      <c r="T58" s="1">
        <f t="shared" si="17"/>
        <v>0</v>
      </c>
      <c r="U58" s="1">
        <f t="shared" si="17"/>
        <v>0</v>
      </c>
      <c r="V58" s="1">
        <f t="shared" si="17"/>
        <v>0</v>
      </c>
      <c r="W58" s="1">
        <f t="shared" si="17"/>
        <v>0</v>
      </c>
      <c r="X58" s="1">
        <f t="shared" si="17"/>
        <v>0</v>
      </c>
      <c r="Y58" s="1">
        <f t="shared" si="17"/>
        <v>0</v>
      </c>
      <c r="Z58" s="1">
        <f t="shared" si="17"/>
        <v>0</v>
      </c>
      <c r="AA58" s="1">
        <f t="shared" si="17"/>
        <v>0</v>
      </c>
      <c r="AB58" s="1">
        <f t="shared" si="17"/>
        <v>0</v>
      </c>
      <c r="AC58" s="1">
        <f t="shared" si="18"/>
        <v>0</v>
      </c>
      <c r="AD58" s="1">
        <f t="shared" si="18"/>
        <v>0</v>
      </c>
      <c r="AE58" s="1">
        <f t="shared" si="18"/>
        <v>0</v>
      </c>
      <c r="AF58" s="1">
        <f t="shared" si="18"/>
        <v>0</v>
      </c>
      <c r="AG58" s="1">
        <f t="shared" si="18"/>
        <v>0</v>
      </c>
      <c r="AH58" s="1">
        <f t="shared" si="18"/>
        <v>0</v>
      </c>
      <c r="AI58" s="1">
        <f t="shared" si="18"/>
        <v>0</v>
      </c>
      <c r="AJ58" s="1">
        <f t="shared" si="18"/>
        <v>0</v>
      </c>
      <c r="AK58" s="1">
        <f t="shared" si="18"/>
        <v>0</v>
      </c>
      <c r="AL58" s="1">
        <f t="shared" si="18"/>
        <v>0</v>
      </c>
      <c r="AM58" s="1">
        <f t="shared" si="19"/>
        <v>0</v>
      </c>
      <c r="AN58" s="1">
        <f t="shared" si="19"/>
        <v>0</v>
      </c>
      <c r="AO58" s="1">
        <f t="shared" si="19"/>
        <v>0</v>
      </c>
      <c r="AP58" s="1">
        <f t="shared" si="19"/>
        <v>0</v>
      </c>
      <c r="AQ58" s="1">
        <f t="shared" si="19"/>
        <v>0</v>
      </c>
      <c r="AR58" s="1">
        <f t="shared" si="19"/>
        <v>0</v>
      </c>
    </row>
    <row r="59" spans="2:57" x14ac:dyDescent="0.2">
      <c r="E59" s="3" t="s">
        <v>271</v>
      </c>
      <c r="I59" s="1">
        <f t="shared" si="16"/>
        <v>0</v>
      </c>
      <c r="J59" s="1">
        <f t="shared" si="16"/>
        <v>0</v>
      </c>
      <c r="K59" s="1">
        <f t="shared" si="16"/>
        <v>0</v>
      </c>
      <c r="L59" s="1">
        <f t="shared" si="16"/>
        <v>0</v>
      </c>
      <c r="M59" s="1">
        <f t="shared" si="16"/>
        <v>0</v>
      </c>
      <c r="N59" s="1">
        <f t="shared" si="16"/>
        <v>0</v>
      </c>
      <c r="O59" s="1">
        <f t="shared" si="16"/>
        <v>0</v>
      </c>
      <c r="P59" s="1">
        <f t="shared" si="16"/>
        <v>0</v>
      </c>
      <c r="Q59" s="1">
        <f t="shared" si="16"/>
        <v>0</v>
      </c>
      <c r="R59" s="1">
        <f t="shared" si="16"/>
        <v>0</v>
      </c>
      <c r="S59" s="1">
        <f t="shared" si="17"/>
        <v>0</v>
      </c>
      <c r="T59" s="1">
        <f t="shared" si="17"/>
        <v>0</v>
      </c>
      <c r="U59" s="1">
        <f t="shared" si="17"/>
        <v>0</v>
      </c>
      <c r="V59" s="1">
        <f t="shared" si="17"/>
        <v>0</v>
      </c>
      <c r="W59" s="1">
        <f t="shared" si="17"/>
        <v>0</v>
      </c>
      <c r="X59" s="1">
        <f t="shared" si="17"/>
        <v>0</v>
      </c>
      <c r="Y59" s="1">
        <f t="shared" si="17"/>
        <v>0</v>
      </c>
      <c r="Z59" s="1">
        <f t="shared" si="17"/>
        <v>0</v>
      </c>
      <c r="AA59" s="1">
        <f t="shared" si="17"/>
        <v>0</v>
      </c>
      <c r="AB59" s="1">
        <f t="shared" si="17"/>
        <v>0</v>
      </c>
      <c r="AC59" s="1">
        <f t="shared" si="18"/>
        <v>0</v>
      </c>
      <c r="AD59" s="1">
        <f t="shared" si="18"/>
        <v>0</v>
      </c>
      <c r="AE59" s="1">
        <f t="shared" si="18"/>
        <v>0</v>
      </c>
      <c r="AF59" s="1">
        <f t="shared" si="18"/>
        <v>0</v>
      </c>
      <c r="AG59" s="1">
        <f t="shared" si="18"/>
        <v>0</v>
      </c>
      <c r="AH59" s="1">
        <f t="shared" si="18"/>
        <v>0</v>
      </c>
      <c r="AI59" s="1">
        <f t="shared" si="18"/>
        <v>0</v>
      </c>
      <c r="AJ59" s="1">
        <f t="shared" si="18"/>
        <v>0</v>
      </c>
      <c r="AK59" s="1">
        <f t="shared" si="18"/>
        <v>0</v>
      </c>
      <c r="AL59" s="1">
        <f t="shared" si="18"/>
        <v>0</v>
      </c>
      <c r="AM59" s="1">
        <f t="shared" si="19"/>
        <v>0</v>
      </c>
      <c r="AN59" s="1">
        <f t="shared" si="19"/>
        <v>0</v>
      </c>
      <c r="AO59" s="1">
        <f t="shared" si="19"/>
        <v>0</v>
      </c>
      <c r="AP59" s="1">
        <f t="shared" si="19"/>
        <v>0</v>
      </c>
      <c r="AQ59" s="1">
        <f t="shared" si="19"/>
        <v>0</v>
      </c>
      <c r="AR59" s="1">
        <f t="shared" si="19"/>
        <v>0</v>
      </c>
    </row>
    <row r="60" spans="2:57" x14ac:dyDescent="0.2">
      <c r="E60" s="3" t="s">
        <v>272</v>
      </c>
      <c r="I60" s="1">
        <f t="shared" si="16"/>
        <v>0</v>
      </c>
      <c r="J60" s="1">
        <f t="shared" si="16"/>
        <v>0</v>
      </c>
      <c r="K60" s="1">
        <f t="shared" si="16"/>
        <v>0</v>
      </c>
      <c r="L60" s="1">
        <f t="shared" si="16"/>
        <v>0</v>
      </c>
      <c r="M60" s="1">
        <f t="shared" si="16"/>
        <v>0</v>
      </c>
      <c r="N60" s="1">
        <f t="shared" si="16"/>
        <v>0</v>
      </c>
      <c r="O60" s="1">
        <f t="shared" si="16"/>
        <v>0</v>
      </c>
      <c r="P60" s="1">
        <f t="shared" si="16"/>
        <v>0</v>
      </c>
      <c r="Q60" s="1">
        <f t="shared" si="16"/>
        <v>0</v>
      </c>
      <c r="R60" s="1">
        <f t="shared" si="16"/>
        <v>0</v>
      </c>
      <c r="S60" s="1">
        <f t="shared" si="17"/>
        <v>0</v>
      </c>
      <c r="T60" s="1">
        <f t="shared" si="17"/>
        <v>0</v>
      </c>
      <c r="U60" s="1">
        <f t="shared" si="17"/>
        <v>0</v>
      </c>
      <c r="V60" s="1">
        <f t="shared" si="17"/>
        <v>0</v>
      </c>
      <c r="W60" s="1">
        <f t="shared" si="17"/>
        <v>0</v>
      </c>
      <c r="X60" s="1">
        <f t="shared" si="17"/>
        <v>0</v>
      </c>
      <c r="Y60" s="1">
        <f t="shared" si="17"/>
        <v>0</v>
      </c>
      <c r="Z60" s="1">
        <f t="shared" si="17"/>
        <v>0</v>
      </c>
      <c r="AA60" s="1">
        <f t="shared" si="17"/>
        <v>0</v>
      </c>
      <c r="AB60" s="1">
        <f t="shared" si="17"/>
        <v>0</v>
      </c>
      <c r="AC60" s="1">
        <f t="shared" si="18"/>
        <v>0</v>
      </c>
      <c r="AD60" s="1">
        <f t="shared" si="18"/>
        <v>0</v>
      </c>
      <c r="AE60" s="1">
        <f t="shared" si="18"/>
        <v>0</v>
      </c>
      <c r="AF60" s="1">
        <f t="shared" si="18"/>
        <v>0</v>
      </c>
      <c r="AG60" s="1">
        <f t="shared" si="18"/>
        <v>0</v>
      </c>
      <c r="AH60" s="1">
        <f t="shared" si="18"/>
        <v>0</v>
      </c>
      <c r="AI60" s="1">
        <f t="shared" si="18"/>
        <v>0</v>
      </c>
      <c r="AJ60" s="1">
        <f t="shared" si="18"/>
        <v>0</v>
      </c>
      <c r="AK60" s="1">
        <f t="shared" si="18"/>
        <v>0</v>
      </c>
      <c r="AL60" s="1">
        <f t="shared" si="18"/>
        <v>0</v>
      </c>
      <c r="AM60" s="1">
        <f t="shared" si="19"/>
        <v>0</v>
      </c>
      <c r="AN60" s="1">
        <f t="shared" si="19"/>
        <v>0</v>
      </c>
      <c r="AO60" s="1">
        <f t="shared" si="19"/>
        <v>0</v>
      </c>
      <c r="AP60" s="1">
        <f t="shared" si="19"/>
        <v>0</v>
      </c>
      <c r="AQ60" s="1">
        <f t="shared" si="19"/>
        <v>0</v>
      </c>
      <c r="AR60" s="1">
        <f t="shared" si="19"/>
        <v>0</v>
      </c>
    </row>
    <row r="61" spans="2:57" x14ac:dyDescent="0.2">
      <c r="E61" s="3" t="s">
        <v>273</v>
      </c>
      <c r="I61" s="1">
        <f t="shared" si="16"/>
        <v>0</v>
      </c>
      <c r="J61" s="1">
        <f t="shared" si="16"/>
        <v>0</v>
      </c>
      <c r="K61" s="1">
        <f t="shared" si="16"/>
        <v>0</v>
      </c>
      <c r="L61" s="1">
        <f t="shared" si="16"/>
        <v>0</v>
      </c>
      <c r="M61" s="1">
        <f t="shared" si="16"/>
        <v>0</v>
      </c>
      <c r="N61" s="1">
        <f t="shared" si="16"/>
        <v>0</v>
      </c>
      <c r="O61" s="1">
        <f t="shared" si="16"/>
        <v>0</v>
      </c>
      <c r="P61" s="1">
        <f t="shared" si="16"/>
        <v>0</v>
      </c>
      <c r="Q61" s="1">
        <f t="shared" si="16"/>
        <v>0</v>
      </c>
      <c r="R61" s="1">
        <f t="shared" si="16"/>
        <v>0</v>
      </c>
      <c r="S61" s="1">
        <f t="shared" si="17"/>
        <v>0</v>
      </c>
      <c r="T61" s="1">
        <f t="shared" si="17"/>
        <v>0</v>
      </c>
      <c r="U61" s="1">
        <f t="shared" si="17"/>
        <v>0</v>
      </c>
      <c r="V61" s="1">
        <f t="shared" si="17"/>
        <v>0</v>
      </c>
      <c r="W61" s="1">
        <f t="shared" si="17"/>
        <v>0</v>
      </c>
      <c r="X61" s="1">
        <f t="shared" si="17"/>
        <v>0</v>
      </c>
      <c r="Y61" s="1">
        <f t="shared" si="17"/>
        <v>0</v>
      </c>
      <c r="Z61" s="1">
        <f t="shared" si="17"/>
        <v>0</v>
      </c>
      <c r="AA61" s="1">
        <f t="shared" si="17"/>
        <v>0</v>
      </c>
      <c r="AB61" s="1">
        <f t="shared" si="17"/>
        <v>0</v>
      </c>
      <c r="AC61" s="1">
        <f t="shared" si="18"/>
        <v>0</v>
      </c>
      <c r="AD61" s="1">
        <f t="shared" si="18"/>
        <v>0</v>
      </c>
      <c r="AE61" s="1">
        <f t="shared" si="18"/>
        <v>0</v>
      </c>
      <c r="AF61" s="1">
        <f t="shared" si="18"/>
        <v>0</v>
      </c>
      <c r="AG61" s="1">
        <f t="shared" si="18"/>
        <v>0</v>
      </c>
      <c r="AH61" s="1">
        <f t="shared" si="18"/>
        <v>0</v>
      </c>
      <c r="AI61" s="1">
        <f t="shared" si="18"/>
        <v>0</v>
      </c>
      <c r="AJ61" s="1">
        <f t="shared" si="18"/>
        <v>0</v>
      </c>
      <c r="AK61" s="1">
        <f t="shared" si="18"/>
        <v>0</v>
      </c>
      <c r="AL61" s="1">
        <f t="shared" si="18"/>
        <v>0</v>
      </c>
      <c r="AM61" s="1">
        <f t="shared" si="19"/>
        <v>0</v>
      </c>
      <c r="AN61" s="1">
        <f t="shared" si="19"/>
        <v>0</v>
      </c>
      <c r="AO61" s="1">
        <f t="shared" si="19"/>
        <v>0</v>
      </c>
      <c r="AP61" s="1">
        <f t="shared" si="19"/>
        <v>0</v>
      </c>
      <c r="AQ61" s="1">
        <f t="shared" si="19"/>
        <v>0</v>
      </c>
      <c r="AR61" s="1">
        <f t="shared" si="19"/>
        <v>0</v>
      </c>
    </row>
    <row r="62" spans="2:57" x14ac:dyDescent="0.2">
      <c r="E62" s="3" t="s">
        <v>274</v>
      </c>
      <c r="I62" s="1">
        <f t="shared" si="16"/>
        <v>0</v>
      </c>
      <c r="J62" s="1">
        <f t="shared" si="16"/>
        <v>0</v>
      </c>
      <c r="K62" s="1">
        <f t="shared" si="16"/>
        <v>0</v>
      </c>
      <c r="L62" s="1">
        <f t="shared" si="16"/>
        <v>0</v>
      </c>
      <c r="M62" s="1">
        <f t="shared" si="16"/>
        <v>0</v>
      </c>
      <c r="N62" s="1">
        <f t="shared" si="16"/>
        <v>0</v>
      </c>
      <c r="O62" s="1">
        <f t="shared" si="16"/>
        <v>0</v>
      </c>
      <c r="P62" s="1">
        <f t="shared" si="16"/>
        <v>0</v>
      </c>
      <c r="Q62" s="1">
        <f t="shared" si="16"/>
        <v>0</v>
      </c>
      <c r="R62" s="1">
        <f t="shared" si="16"/>
        <v>0</v>
      </c>
      <c r="S62" s="1">
        <f t="shared" si="17"/>
        <v>0</v>
      </c>
      <c r="T62" s="1">
        <f t="shared" si="17"/>
        <v>0</v>
      </c>
      <c r="U62" s="1">
        <f t="shared" si="17"/>
        <v>0</v>
      </c>
      <c r="V62" s="1">
        <f t="shared" si="17"/>
        <v>0</v>
      </c>
      <c r="W62" s="1">
        <f t="shared" si="17"/>
        <v>0</v>
      </c>
      <c r="X62" s="1">
        <f t="shared" si="17"/>
        <v>0</v>
      </c>
      <c r="Y62" s="1">
        <f t="shared" si="17"/>
        <v>0</v>
      </c>
      <c r="Z62" s="1">
        <f t="shared" si="17"/>
        <v>0</v>
      </c>
      <c r="AA62" s="1">
        <f t="shared" si="17"/>
        <v>0</v>
      </c>
      <c r="AB62" s="1">
        <f t="shared" si="17"/>
        <v>0</v>
      </c>
      <c r="AC62" s="1">
        <f t="shared" si="18"/>
        <v>0</v>
      </c>
      <c r="AD62" s="1">
        <f t="shared" si="18"/>
        <v>0</v>
      </c>
      <c r="AE62" s="1">
        <f t="shared" si="18"/>
        <v>0</v>
      </c>
      <c r="AF62" s="1">
        <f t="shared" si="18"/>
        <v>0</v>
      </c>
      <c r="AG62" s="1">
        <f t="shared" si="18"/>
        <v>0</v>
      </c>
      <c r="AH62" s="1">
        <f t="shared" si="18"/>
        <v>0</v>
      </c>
      <c r="AI62" s="1">
        <f t="shared" si="18"/>
        <v>0</v>
      </c>
      <c r="AJ62" s="1">
        <f t="shared" si="18"/>
        <v>0</v>
      </c>
      <c r="AK62" s="1">
        <f t="shared" si="18"/>
        <v>0</v>
      </c>
      <c r="AL62" s="1">
        <f t="shared" si="18"/>
        <v>0</v>
      </c>
      <c r="AM62" s="1">
        <f t="shared" si="19"/>
        <v>0</v>
      </c>
      <c r="AN62" s="1">
        <f t="shared" si="19"/>
        <v>0</v>
      </c>
      <c r="AO62" s="1">
        <f t="shared" si="19"/>
        <v>0</v>
      </c>
      <c r="AP62" s="1">
        <f t="shared" si="19"/>
        <v>0</v>
      </c>
      <c r="AQ62" s="1">
        <f t="shared" si="19"/>
        <v>0</v>
      </c>
      <c r="AR62" s="1">
        <f t="shared" si="19"/>
        <v>0</v>
      </c>
    </row>
    <row r="63" spans="2:57" x14ac:dyDescent="0.2">
      <c r="E63" s="3" t="s">
        <v>212</v>
      </c>
      <c r="I63" s="1">
        <f>COUNTIFS(I$6:I$55,"WR*")</f>
        <v>0</v>
      </c>
      <c r="J63" s="1">
        <f t="shared" ref="J63:AR63" si="20">COUNTIFS(J$6:J$55,"WR*")</f>
        <v>0</v>
      </c>
      <c r="K63" s="1">
        <f t="shared" si="20"/>
        <v>0</v>
      </c>
      <c r="L63" s="1">
        <f t="shared" si="20"/>
        <v>0</v>
      </c>
      <c r="M63" s="1">
        <f t="shared" si="20"/>
        <v>0</v>
      </c>
      <c r="N63" s="1">
        <f t="shared" si="20"/>
        <v>0</v>
      </c>
      <c r="O63" s="1">
        <f t="shared" si="20"/>
        <v>0</v>
      </c>
      <c r="P63" s="1">
        <f t="shared" si="20"/>
        <v>0</v>
      </c>
      <c r="Q63" s="1">
        <f t="shared" si="20"/>
        <v>0</v>
      </c>
      <c r="R63" s="1">
        <f t="shared" si="20"/>
        <v>0</v>
      </c>
      <c r="S63" s="1">
        <f t="shared" si="20"/>
        <v>0</v>
      </c>
      <c r="T63" s="1">
        <f t="shared" si="20"/>
        <v>0</v>
      </c>
      <c r="U63" s="1">
        <f t="shared" si="20"/>
        <v>0</v>
      </c>
      <c r="V63" s="1">
        <f t="shared" si="20"/>
        <v>0</v>
      </c>
      <c r="W63" s="1">
        <f t="shared" si="20"/>
        <v>0</v>
      </c>
      <c r="X63" s="1">
        <f t="shared" si="20"/>
        <v>0</v>
      </c>
      <c r="Y63" s="1">
        <f t="shared" si="20"/>
        <v>0</v>
      </c>
      <c r="Z63" s="1">
        <f t="shared" si="20"/>
        <v>0</v>
      </c>
      <c r="AA63" s="1">
        <f t="shared" si="20"/>
        <v>0</v>
      </c>
      <c r="AB63" s="1">
        <f t="shared" si="20"/>
        <v>0</v>
      </c>
      <c r="AC63" s="1">
        <f t="shared" si="20"/>
        <v>0</v>
      </c>
      <c r="AD63" s="1">
        <f t="shared" si="20"/>
        <v>0</v>
      </c>
      <c r="AE63" s="1">
        <f t="shared" si="20"/>
        <v>0</v>
      </c>
      <c r="AF63" s="1">
        <f t="shared" si="20"/>
        <v>0</v>
      </c>
      <c r="AG63" s="1">
        <f t="shared" si="20"/>
        <v>0</v>
      </c>
      <c r="AH63" s="1">
        <f t="shared" si="20"/>
        <v>0</v>
      </c>
      <c r="AI63" s="1">
        <f t="shared" si="20"/>
        <v>0</v>
      </c>
      <c r="AJ63" s="1">
        <f t="shared" si="20"/>
        <v>0</v>
      </c>
      <c r="AK63" s="1">
        <f t="shared" si="20"/>
        <v>0</v>
      </c>
      <c r="AL63" s="1">
        <f t="shared" si="20"/>
        <v>0</v>
      </c>
      <c r="AM63" s="1">
        <f t="shared" si="20"/>
        <v>0</v>
      </c>
      <c r="AN63" s="1">
        <f t="shared" si="20"/>
        <v>0</v>
      </c>
      <c r="AO63" s="1">
        <f t="shared" si="20"/>
        <v>0</v>
      </c>
      <c r="AP63" s="1">
        <f t="shared" si="20"/>
        <v>0</v>
      </c>
      <c r="AQ63" s="1">
        <f t="shared" si="20"/>
        <v>0</v>
      </c>
      <c r="AR63" s="1">
        <f t="shared" si="20"/>
        <v>0</v>
      </c>
    </row>
    <row r="64" spans="2:57" x14ac:dyDescent="0.2">
      <c r="E64" s="3" t="s">
        <v>216</v>
      </c>
      <c r="I64" s="1">
        <f>COUNTIFS(I$6:I$55,"SB")</f>
        <v>0</v>
      </c>
      <c r="J64" s="1">
        <f t="shared" ref="J64:AR64" si="21">COUNTIFS(J$6:J$55,"SB")</f>
        <v>0</v>
      </c>
      <c r="K64" s="1">
        <f t="shared" si="21"/>
        <v>0</v>
      </c>
      <c r="L64" s="1">
        <f t="shared" si="21"/>
        <v>0</v>
      </c>
      <c r="M64" s="1">
        <f t="shared" si="21"/>
        <v>0</v>
      </c>
      <c r="N64" s="1">
        <f t="shared" si="21"/>
        <v>0</v>
      </c>
      <c r="O64" s="1">
        <f t="shared" si="21"/>
        <v>0</v>
      </c>
      <c r="P64" s="1">
        <f t="shared" si="21"/>
        <v>0</v>
      </c>
      <c r="Q64" s="1">
        <f t="shared" si="21"/>
        <v>0</v>
      </c>
      <c r="R64" s="1">
        <f t="shared" si="21"/>
        <v>0</v>
      </c>
      <c r="S64" s="1">
        <f t="shared" si="21"/>
        <v>0</v>
      </c>
      <c r="T64" s="1">
        <f t="shared" si="21"/>
        <v>0</v>
      </c>
      <c r="U64" s="1">
        <f t="shared" si="21"/>
        <v>0</v>
      </c>
      <c r="V64" s="1">
        <f t="shared" si="21"/>
        <v>0</v>
      </c>
      <c r="W64" s="1">
        <f t="shared" si="21"/>
        <v>0</v>
      </c>
      <c r="X64" s="1">
        <f t="shared" si="21"/>
        <v>0</v>
      </c>
      <c r="Y64" s="1">
        <f t="shared" si="21"/>
        <v>0</v>
      </c>
      <c r="Z64" s="1">
        <f t="shared" si="21"/>
        <v>0</v>
      </c>
      <c r="AA64" s="1">
        <f t="shared" si="21"/>
        <v>0</v>
      </c>
      <c r="AB64" s="1">
        <f t="shared" si="21"/>
        <v>0</v>
      </c>
      <c r="AC64" s="1">
        <f t="shared" si="21"/>
        <v>0</v>
      </c>
      <c r="AD64" s="1">
        <f t="shared" si="21"/>
        <v>0</v>
      </c>
      <c r="AE64" s="1">
        <f t="shared" si="21"/>
        <v>0</v>
      </c>
      <c r="AF64" s="1">
        <f t="shared" si="21"/>
        <v>0</v>
      </c>
      <c r="AG64" s="1">
        <f t="shared" si="21"/>
        <v>0</v>
      </c>
      <c r="AH64" s="1">
        <f t="shared" si="21"/>
        <v>0</v>
      </c>
      <c r="AI64" s="1">
        <f t="shared" si="21"/>
        <v>0</v>
      </c>
      <c r="AJ64" s="1">
        <f t="shared" si="21"/>
        <v>0</v>
      </c>
      <c r="AK64" s="1">
        <f t="shared" si="21"/>
        <v>0</v>
      </c>
      <c r="AL64" s="1">
        <f t="shared" si="21"/>
        <v>0</v>
      </c>
      <c r="AM64" s="1">
        <f t="shared" si="21"/>
        <v>0</v>
      </c>
      <c r="AN64" s="1">
        <f t="shared" si="21"/>
        <v>0</v>
      </c>
      <c r="AO64" s="1">
        <f t="shared" si="21"/>
        <v>0</v>
      </c>
      <c r="AP64" s="1">
        <f t="shared" si="21"/>
        <v>0</v>
      </c>
      <c r="AQ64" s="1">
        <f t="shared" si="21"/>
        <v>0</v>
      </c>
      <c r="AR64" s="1">
        <f t="shared" si="21"/>
        <v>0</v>
      </c>
    </row>
    <row r="66" spans="2:8" x14ac:dyDescent="0.2">
      <c r="B66" s="3" t="s">
        <v>49</v>
      </c>
    </row>
    <row r="67" spans="2:8" x14ac:dyDescent="0.2">
      <c r="B67" s="333" t="s">
        <v>244</v>
      </c>
      <c r="D67" s="327" t="s">
        <v>213</v>
      </c>
      <c r="E67" s="327"/>
      <c r="F67" s="327"/>
      <c r="G67" s="327"/>
      <c r="H67" s="327"/>
    </row>
    <row r="68" spans="2:8" x14ac:dyDescent="0.2">
      <c r="B68" s="334" t="s">
        <v>245</v>
      </c>
      <c r="D68" s="327" t="s">
        <v>214</v>
      </c>
      <c r="E68" s="327"/>
      <c r="F68" s="327"/>
      <c r="G68" s="327"/>
      <c r="H68" s="327"/>
    </row>
    <row r="69" spans="2:8" x14ac:dyDescent="0.2">
      <c r="B69" s="335" t="s">
        <v>243</v>
      </c>
      <c r="D69" s="327" t="s">
        <v>293</v>
      </c>
      <c r="E69" s="327"/>
      <c r="F69" s="327"/>
      <c r="G69" s="327"/>
      <c r="H69" s="327"/>
    </row>
    <row r="70" spans="2:8" x14ac:dyDescent="0.2">
      <c r="B70" s="378" t="s">
        <v>291</v>
      </c>
      <c r="D70" s="3" t="s">
        <v>289</v>
      </c>
    </row>
    <row r="71" spans="2:8" x14ac:dyDescent="0.2">
      <c r="B71" s="379" t="s">
        <v>292</v>
      </c>
      <c r="D71" s="3" t="s">
        <v>326</v>
      </c>
    </row>
    <row r="72" spans="2:8" x14ac:dyDescent="0.2">
      <c r="B72" s="17" t="s">
        <v>290</v>
      </c>
      <c r="D72" s="3" t="s">
        <v>263</v>
      </c>
    </row>
    <row r="73" spans="2:8" x14ac:dyDescent="0.2">
      <c r="B73" s="336" t="s">
        <v>212</v>
      </c>
      <c r="D73" s="327" t="s">
        <v>215</v>
      </c>
      <c r="E73" s="327"/>
      <c r="F73" s="327"/>
      <c r="G73" s="327"/>
      <c r="H73" s="327"/>
    </row>
    <row r="74" spans="2:8" x14ac:dyDescent="0.2">
      <c r="B74" s="336" t="s">
        <v>216</v>
      </c>
      <c r="D74" s="327" t="s">
        <v>70</v>
      </c>
      <c r="E74" s="327"/>
      <c r="F74" s="327"/>
      <c r="G74" s="327"/>
      <c r="H74" s="327"/>
    </row>
    <row r="75" spans="2:8" x14ac:dyDescent="0.2">
      <c r="B75" s="336" t="s">
        <v>310</v>
      </c>
      <c r="D75" s="3" t="s">
        <v>311</v>
      </c>
    </row>
    <row r="76" spans="2:8" x14ac:dyDescent="0.2">
      <c r="B76" s="1"/>
    </row>
    <row r="77" spans="2:8" x14ac:dyDescent="0.2">
      <c r="C77" s="3"/>
    </row>
    <row r="78" spans="2:8" x14ac:dyDescent="0.2">
      <c r="B78" s="3" t="s">
        <v>252</v>
      </c>
    </row>
    <row r="79" spans="2:8" x14ac:dyDescent="0.2">
      <c r="B79" s="3" t="s">
        <v>59</v>
      </c>
      <c r="D79" s="3" t="s">
        <v>275</v>
      </c>
      <c r="E79" s="3" t="s">
        <v>60</v>
      </c>
      <c r="F79" s="1"/>
      <c r="G79" s="1"/>
      <c r="H79" s="1"/>
    </row>
    <row r="80" spans="2:8" x14ac:dyDescent="0.2">
      <c r="B80" s="3" t="s">
        <v>276</v>
      </c>
      <c r="D80" s="3" t="s">
        <v>277</v>
      </c>
      <c r="E80" s="3" t="s">
        <v>278</v>
      </c>
      <c r="F80" s="1"/>
      <c r="G80" s="1"/>
      <c r="H80" s="1"/>
    </row>
    <row r="81" spans="2:8" x14ac:dyDescent="0.2">
      <c r="B81" s="3" t="s">
        <v>270</v>
      </c>
      <c r="D81" s="3" t="s">
        <v>22</v>
      </c>
      <c r="E81" s="3" t="s">
        <v>279</v>
      </c>
      <c r="F81" s="1"/>
      <c r="G81" s="1"/>
      <c r="H81" s="1"/>
    </row>
    <row r="82" spans="2:8" x14ac:dyDescent="0.2">
      <c r="B82" s="3" t="s">
        <v>271</v>
      </c>
      <c r="D82" s="3" t="s">
        <v>280</v>
      </c>
      <c r="E82" s="3" t="s">
        <v>281</v>
      </c>
      <c r="F82" s="1"/>
      <c r="G82" s="1"/>
      <c r="H82" s="1"/>
    </row>
    <row r="83" spans="2:8" x14ac:dyDescent="0.2">
      <c r="B83" s="3" t="s">
        <v>272</v>
      </c>
      <c r="D83" s="3" t="s">
        <v>282</v>
      </c>
      <c r="E83" s="3" t="s">
        <v>283</v>
      </c>
      <c r="F83" s="1"/>
      <c r="G83" s="1"/>
      <c r="H83" s="1"/>
    </row>
    <row r="84" spans="2:8" x14ac:dyDescent="0.2">
      <c r="B84" s="3" t="s">
        <v>273</v>
      </c>
      <c r="D84" s="3" t="s">
        <v>284</v>
      </c>
      <c r="E84" s="3" t="s">
        <v>285</v>
      </c>
      <c r="F84" s="1"/>
      <c r="G84" s="1"/>
      <c r="H84" s="1"/>
    </row>
    <row r="85" spans="2:8" x14ac:dyDescent="0.2">
      <c r="B85" s="3" t="s">
        <v>286</v>
      </c>
      <c r="D85" s="3" t="s">
        <v>287</v>
      </c>
      <c r="E85" s="3" t="s">
        <v>288</v>
      </c>
      <c r="F85" s="1"/>
      <c r="G85" s="1"/>
      <c r="H85" s="1"/>
    </row>
    <row r="86" spans="2:8" x14ac:dyDescent="0.2">
      <c r="C86" s="3"/>
    </row>
    <row r="87" spans="2:8" x14ac:dyDescent="0.2">
      <c r="B87" s="3" t="s">
        <v>294</v>
      </c>
    </row>
    <row r="88" spans="2:8" x14ac:dyDescent="0.2">
      <c r="B88" s="3" t="s">
        <v>295</v>
      </c>
    </row>
    <row r="89" spans="2:8" x14ac:dyDescent="0.2">
      <c r="B89" s="3" t="s">
        <v>296</v>
      </c>
    </row>
    <row r="90" spans="2:8" x14ac:dyDescent="0.2">
      <c r="B90" s="3" t="s">
        <v>297</v>
      </c>
    </row>
    <row r="91" spans="2:8" x14ac:dyDescent="0.2">
      <c r="B91" s="3" t="s">
        <v>298</v>
      </c>
    </row>
    <row r="92" spans="2:8" x14ac:dyDescent="0.2">
      <c r="B92" s="3" t="s">
        <v>299</v>
      </c>
    </row>
    <row r="93" spans="2:8" x14ac:dyDescent="0.2">
      <c r="B93" s="3" t="s">
        <v>300</v>
      </c>
    </row>
    <row r="94" spans="2:8" x14ac:dyDescent="0.2">
      <c r="B94" s="3" t="s">
        <v>301</v>
      </c>
    </row>
    <row r="95" spans="2:8" x14ac:dyDescent="0.2">
      <c r="B95" s="3" t="s">
        <v>302</v>
      </c>
    </row>
    <row r="96" spans="2:8" x14ac:dyDescent="0.2">
      <c r="B96" s="3" t="s">
        <v>303</v>
      </c>
    </row>
    <row r="97" spans="2:2" x14ac:dyDescent="0.2">
      <c r="B97" s="3" t="s">
        <v>304</v>
      </c>
    </row>
    <row r="98" spans="2:2" x14ac:dyDescent="0.2">
      <c r="B98" s="3" t="s">
        <v>305</v>
      </c>
    </row>
    <row r="99" spans="2:2" x14ac:dyDescent="0.2">
      <c r="B99" s="3" t="s">
        <v>306</v>
      </c>
    </row>
    <row r="100" spans="2:2" x14ac:dyDescent="0.2">
      <c r="B100" s="3" t="s">
        <v>307</v>
      </c>
    </row>
    <row r="101" spans="2:2" x14ac:dyDescent="0.2">
      <c r="B101" s="3" t="s">
        <v>308</v>
      </c>
    </row>
    <row r="102" spans="2:2" x14ac:dyDescent="0.2">
      <c r="B102" s="3" t="s">
        <v>309</v>
      </c>
    </row>
  </sheetData>
  <mergeCells count="4">
    <mergeCell ref="AT4:AY4"/>
    <mergeCell ref="AZ4:BA4"/>
    <mergeCell ref="G4:H4"/>
    <mergeCell ref="BB4:BE4"/>
  </mergeCells>
  <conditionalFormatting sqref="C1:C1048576">
    <cfRule type="beginsWith" dxfId="4" priority="1" operator="beginsWith" text="HA">
      <formula>LEFT(C1,LEN("HA"))="HA"</formula>
    </cfRule>
    <cfRule type="beginsWith" dxfId="3" priority="2" operator="beginsWith" text="D">
      <formula>LEFT(C1,LEN("D"))="D"</formula>
    </cfRule>
    <cfRule type="beginsWith" dxfId="2" priority="3" operator="beginsWith" text="C">
      <formula>LEFT(C1,LEN("C"))="C"</formula>
    </cfRule>
    <cfRule type="beginsWith" dxfId="1" priority="4" operator="beginsWith" text="B">
      <formula>LEFT(C1,LEN("B"))="B"</formula>
    </cfRule>
    <cfRule type="beginsWith" dxfId="0" priority="5" stopIfTrue="1" operator="beginsWith" text="A">
      <formula>LEFT(C1,LEN("A"))="A"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5D6A-7E78-8B4F-9280-A18E1C86E927}">
  <dimension ref="B1:P53"/>
  <sheetViews>
    <sheetView showGridLines="0" zoomScale="70" zoomScaleNormal="82" workbookViewId="0">
      <selection activeCell="I10" sqref="I10"/>
    </sheetView>
  </sheetViews>
  <sheetFormatPr baseColWidth="10" defaultColWidth="10.83203125" defaultRowHeight="15" x14ac:dyDescent="0.2"/>
  <cols>
    <col min="1" max="1" width="1.83203125" style="1" customWidth="1"/>
    <col min="2" max="2" width="23.83203125" style="3" bestFit="1" customWidth="1"/>
    <col min="3" max="4" width="10.83203125" style="1" customWidth="1"/>
    <col min="5" max="7" width="13.6640625" style="1" customWidth="1"/>
    <col min="8" max="16384" width="10.83203125" style="1"/>
  </cols>
  <sheetData>
    <row r="1" spans="2:16" ht="21" customHeight="1" thickBot="1" x14ac:dyDescent="0.25">
      <c r="B1" s="332" t="s">
        <v>319</v>
      </c>
      <c r="C1" s="355"/>
      <c r="D1" s="355"/>
    </row>
    <row r="2" spans="2:16" x14ac:dyDescent="0.2">
      <c r="B2" s="230" t="s">
        <v>250</v>
      </c>
      <c r="C2" s="58">
        <f>Month!I5-2</f>
        <v>46117</v>
      </c>
      <c r="D2" s="290">
        <f>Month!I5-1</f>
        <v>46118</v>
      </c>
      <c r="E2" s="66" t="s">
        <v>323</v>
      </c>
      <c r="F2" s="66" t="s">
        <v>322</v>
      </c>
      <c r="G2" s="66" t="s">
        <v>324</v>
      </c>
      <c r="H2" s="5"/>
      <c r="I2" s="5"/>
      <c r="J2" s="5"/>
      <c r="K2" s="5"/>
      <c r="L2" s="5"/>
      <c r="M2" s="5"/>
      <c r="N2" s="5"/>
      <c r="O2" s="5"/>
      <c r="P2" s="5"/>
    </row>
    <row r="3" spans="2:16" x14ac:dyDescent="0.2">
      <c r="B3" s="380"/>
      <c r="C3" s="2"/>
      <c r="D3" s="381"/>
      <c r="E3" s="2"/>
      <c r="F3" s="2"/>
      <c r="G3" s="2"/>
    </row>
    <row r="4" spans="2:16" x14ac:dyDescent="0.2">
      <c r="B4" s="380"/>
      <c r="C4" s="2"/>
      <c r="D4" s="381"/>
      <c r="E4" s="2"/>
      <c r="F4" s="2"/>
      <c r="G4" s="2"/>
    </row>
    <row r="5" spans="2:16" x14ac:dyDescent="0.2">
      <c r="B5" s="380"/>
      <c r="C5" s="2"/>
      <c r="D5" s="381"/>
      <c r="E5" s="2"/>
      <c r="F5" s="2"/>
      <c r="G5" s="2"/>
    </row>
    <row r="6" spans="2:16" x14ac:dyDescent="0.2">
      <c r="B6" s="380"/>
      <c r="C6" s="2"/>
      <c r="D6" s="381"/>
      <c r="E6" s="2"/>
      <c r="F6" s="2"/>
      <c r="G6" s="2"/>
    </row>
    <row r="7" spans="2:16" x14ac:dyDescent="0.2">
      <c r="B7" s="380"/>
      <c r="C7" s="2"/>
      <c r="D7" s="381"/>
      <c r="E7" s="2"/>
      <c r="F7" s="2"/>
      <c r="G7" s="2"/>
    </row>
    <row r="8" spans="2:16" x14ac:dyDescent="0.2">
      <c r="B8" s="380"/>
      <c r="C8" s="2"/>
      <c r="D8" s="381"/>
      <c r="E8" s="2"/>
      <c r="F8" s="2"/>
      <c r="G8" s="2"/>
    </row>
    <row r="9" spans="2:16" x14ac:dyDescent="0.2">
      <c r="B9" s="380"/>
      <c r="C9" s="2"/>
      <c r="D9" s="381"/>
      <c r="E9" s="2"/>
      <c r="F9" s="2"/>
      <c r="G9" s="2"/>
    </row>
    <row r="10" spans="2:16" x14ac:dyDescent="0.2">
      <c r="B10" s="380"/>
      <c r="C10" s="2"/>
      <c r="D10" s="381"/>
      <c r="E10" s="2"/>
      <c r="F10" s="2"/>
      <c r="G10" s="2"/>
    </row>
    <row r="11" spans="2:16" x14ac:dyDescent="0.2">
      <c r="B11" s="380"/>
      <c r="C11" s="2"/>
      <c r="D11" s="381"/>
      <c r="E11" s="2"/>
      <c r="F11" s="2"/>
      <c r="G11" s="2"/>
    </row>
    <row r="12" spans="2:16" x14ac:dyDescent="0.2">
      <c r="B12" s="380"/>
      <c r="C12" s="2"/>
      <c r="D12" s="381"/>
      <c r="E12" s="2"/>
      <c r="F12" s="2"/>
      <c r="G12" s="2"/>
    </row>
    <row r="13" spans="2:16" x14ac:dyDescent="0.2">
      <c r="B13" s="380"/>
      <c r="C13" s="2"/>
      <c r="D13" s="381"/>
      <c r="E13" s="2"/>
      <c r="F13" s="2"/>
      <c r="G13" s="2"/>
    </row>
    <row r="14" spans="2:16" x14ac:dyDescent="0.2">
      <c r="B14" s="380"/>
      <c r="C14" s="2"/>
      <c r="D14" s="381"/>
      <c r="E14" s="2"/>
      <c r="F14" s="2"/>
      <c r="G14" s="2"/>
    </row>
    <row r="15" spans="2:16" x14ac:dyDescent="0.2">
      <c r="B15" s="380"/>
      <c r="C15" s="2"/>
      <c r="D15" s="381"/>
      <c r="E15" s="2"/>
      <c r="F15" s="2"/>
      <c r="G15" s="2"/>
    </row>
    <row r="16" spans="2:16" x14ac:dyDescent="0.2">
      <c r="B16" s="380"/>
      <c r="C16" s="2"/>
      <c r="D16" s="381"/>
      <c r="E16" s="2"/>
      <c r="F16" s="2"/>
      <c r="G16" s="2"/>
    </row>
    <row r="17" spans="2:7" x14ac:dyDescent="0.2">
      <c r="B17" s="380"/>
      <c r="C17" s="2"/>
      <c r="D17" s="381"/>
      <c r="E17" s="2"/>
      <c r="F17" s="2"/>
      <c r="G17" s="2"/>
    </row>
    <row r="18" spans="2:7" x14ac:dyDescent="0.2">
      <c r="B18" s="380"/>
      <c r="C18" s="2"/>
      <c r="D18" s="381"/>
      <c r="E18" s="2"/>
      <c r="F18" s="2"/>
      <c r="G18" s="2"/>
    </row>
    <row r="19" spans="2:7" x14ac:dyDescent="0.2">
      <c r="B19" s="380"/>
      <c r="C19" s="2"/>
      <c r="D19" s="381"/>
      <c r="E19" s="2"/>
      <c r="F19" s="2"/>
      <c r="G19" s="2"/>
    </row>
    <row r="20" spans="2:7" x14ac:dyDescent="0.2">
      <c r="B20" s="380"/>
      <c r="C20" s="2"/>
      <c r="D20" s="381"/>
      <c r="E20" s="2"/>
      <c r="F20" s="2"/>
      <c r="G20" s="2"/>
    </row>
    <row r="21" spans="2:7" x14ac:dyDescent="0.2">
      <c r="B21" s="380"/>
      <c r="C21" s="2"/>
      <c r="D21" s="381"/>
      <c r="E21" s="2"/>
      <c r="F21" s="2"/>
      <c r="G21" s="2"/>
    </row>
    <row r="22" spans="2:7" x14ac:dyDescent="0.2">
      <c r="B22" s="380"/>
      <c r="C22" s="2"/>
      <c r="D22" s="381"/>
      <c r="E22" s="2"/>
      <c r="F22" s="2"/>
      <c r="G22" s="2"/>
    </row>
    <row r="23" spans="2:7" x14ac:dyDescent="0.2">
      <c r="B23" s="380"/>
      <c r="C23" s="2"/>
      <c r="D23" s="381"/>
      <c r="E23" s="2"/>
      <c r="F23" s="2"/>
      <c r="G23" s="2"/>
    </row>
    <row r="24" spans="2:7" x14ac:dyDescent="0.2">
      <c r="B24" s="380"/>
      <c r="C24" s="2"/>
      <c r="D24" s="381"/>
      <c r="E24" s="2"/>
      <c r="F24" s="2"/>
      <c r="G24" s="2"/>
    </row>
    <row r="25" spans="2:7" x14ac:dyDescent="0.2">
      <c r="B25" s="380"/>
      <c r="C25" s="2"/>
      <c r="D25" s="381"/>
      <c r="E25" s="2"/>
      <c r="F25" s="2"/>
      <c r="G25" s="2"/>
    </row>
    <row r="26" spans="2:7" x14ac:dyDescent="0.2">
      <c r="B26" s="380"/>
      <c r="C26" s="2"/>
      <c r="D26" s="381"/>
      <c r="E26" s="2"/>
      <c r="F26" s="2"/>
      <c r="G26" s="2"/>
    </row>
    <row r="27" spans="2:7" x14ac:dyDescent="0.2">
      <c r="B27" s="380"/>
      <c r="C27" s="2"/>
      <c r="D27" s="381"/>
      <c r="E27" s="2"/>
      <c r="F27" s="2"/>
      <c r="G27" s="2"/>
    </row>
    <row r="28" spans="2:7" x14ac:dyDescent="0.2">
      <c r="B28" s="380"/>
      <c r="C28" s="2"/>
      <c r="D28" s="381"/>
      <c r="E28" s="2"/>
      <c r="F28" s="2"/>
      <c r="G28" s="2"/>
    </row>
    <row r="29" spans="2:7" x14ac:dyDescent="0.2">
      <c r="B29" s="380"/>
      <c r="C29" s="2"/>
      <c r="D29" s="381"/>
      <c r="E29" s="2"/>
      <c r="F29" s="2"/>
      <c r="G29" s="2"/>
    </row>
    <row r="30" spans="2:7" x14ac:dyDescent="0.2">
      <c r="B30" s="380"/>
      <c r="C30" s="2"/>
      <c r="D30" s="381"/>
      <c r="E30" s="2"/>
      <c r="F30" s="2"/>
      <c r="G30" s="2"/>
    </row>
    <row r="31" spans="2:7" x14ac:dyDescent="0.2">
      <c r="B31" s="380"/>
      <c r="C31" s="2"/>
      <c r="D31" s="381"/>
      <c r="E31" s="2"/>
      <c r="F31" s="2"/>
      <c r="G31" s="2"/>
    </row>
    <row r="32" spans="2:7" x14ac:dyDescent="0.2">
      <c r="B32" s="380"/>
      <c r="C32" s="2"/>
      <c r="D32" s="381"/>
      <c r="E32" s="2"/>
      <c r="F32" s="2"/>
      <c r="G32" s="2"/>
    </row>
    <row r="33" spans="2:7" x14ac:dyDescent="0.2">
      <c r="B33" s="380"/>
      <c r="C33" s="2"/>
      <c r="D33" s="381"/>
      <c r="E33" s="2"/>
      <c r="F33" s="2"/>
      <c r="G33" s="2"/>
    </row>
    <row r="34" spans="2:7" x14ac:dyDescent="0.2">
      <c r="B34" s="380"/>
      <c r="C34" s="2"/>
      <c r="D34" s="381"/>
      <c r="E34" s="2"/>
      <c r="F34" s="2"/>
      <c r="G34" s="2"/>
    </row>
    <row r="35" spans="2:7" x14ac:dyDescent="0.2">
      <c r="B35" s="380"/>
      <c r="C35" s="2"/>
      <c r="D35" s="381"/>
      <c r="E35" s="2"/>
      <c r="F35" s="2"/>
      <c r="G35" s="2"/>
    </row>
    <row r="36" spans="2:7" x14ac:dyDescent="0.2">
      <c r="B36" s="380"/>
      <c r="C36" s="2"/>
      <c r="D36" s="381"/>
      <c r="E36" s="2"/>
      <c r="F36" s="2"/>
      <c r="G36" s="2"/>
    </row>
    <row r="37" spans="2:7" x14ac:dyDescent="0.2">
      <c r="B37" s="380"/>
      <c r="C37" s="2"/>
      <c r="D37" s="381"/>
      <c r="E37" s="2"/>
      <c r="F37" s="2"/>
      <c r="G37" s="2"/>
    </row>
    <row r="38" spans="2:7" x14ac:dyDescent="0.2">
      <c r="B38" s="380"/>
      <c r="C38" s="2"/>
      <c r="D38" s="381"/>
      <c r="E38" s="2"/>
      <c r="F38" s="2"/>
      <c r="G38" s="2"/>
    </row>
    <row r="39" spans="2:7" x14ac:dyDescent="0.2">
      <c r="B39" s="380"/>
      <c r="C39" s="2"/>
      <c r="D39" s="381"/>
      <c r="E39" s="2"/>
      <c r="F39" s="2"/>
      <c r="G39" s="2"/>
    </row>
    <row r="40" spans="2:7" x14ac:dyDescent="0.2">
      <c r="B40" s="380"/>
      <c r="C40" s="2"/>
      <c r="D40" s="381"/>
      <c r="E40" s="2"/>
      <c r="F40" s="2"/>
      <c r="G40" s="2"/>
    </row>
    <row r="41" spans="2:7" x14ac:dyDescent="0.2">
      <c r="B41" s="380"/>
      <c r="C41" s="2"/>
      <c r="D41" s="381"/>
      <c r="E41" s="2"/>
      <c r="F41" s="2"/>
      <c r="G41" s="2"/>
    </row>
    <row r="42" spans="2:7" x14ac:dyDescent="0.2">
      <c r="B42" s="380"/>
      <c r="C42" s="2"/>
      <c r="D42" s="381"/>
      <c r="E42" s="2"/>
      <c r="F42" s="2"/>
      <c r="G42" s="2"/>
    </row>
    <row r="43" spans="2:7" x14ac:dyDescent="0.2">
      <c r="B43" s="380"/>
      <c r="C43" s="2"/>
      <c r="D43" s="381"/>
      <c r="E43" s="2"/>
      <c r="F43" s="2"/>
      <c r="G43" s="2"/>
    </row>
    <row r="44" spans="2:7" x14ac:dyDescent="0.2">
      <c r="B44" s="380"/>
      <c r="C44" s="2"/>
      <c r="D44" s="381"/>
      <c r="E44" s="2"/>
      <c r="F44" s="2"/>
      <c r="G44" s="2"/>
    </row>
    <row r="45" spans="2:7" x14ac:dyDescent="0.2">
      <c r="B45" s="380"/>
      <c r="C45" s="2"/>
      <c r="D45" s="381"/>
      <c r="E45" s="2"/>
      <c r="F45" s="2"/>
      <c r="G45" s="2"/>
    </row>
    <row r="46" spans="2:7" x14ac:dyDescent="0.2">
      <c r="B46" s="380"/>
      <c r="C46" s="2"/>
      <c r="D46" s="381"/>
      <c r="E46" s="2"/>
      <c r="F46" s="2"/>
      <c r="G46" s="2"/>
    </row>
    <row r="47" spans="2:7" x14ac:dyDescent="0.2">
      <c r="B47" s="380"/>
      <c r="C47" s="2"/>
      <c r="D47" s="381"/>
      <c r="E47" s="2"/>
      <c r="F47" s="2"/>
      <c r="G47" s="2"/>
    </row>
    <row r="48" spans="2:7" x14ac:dyDescent="0.2">
      <c r="B48" s="380"/>
      <c r="C48" s="2"/>
      <c r="D48" s="381"/>
      <c r="E48" s="2"/>
      <c r="F48" s="2"/>
      <c r="G48" s="2"/>
    </row>
    <row r="49" spans="2:7" x14ac:dyDescent="0.2">
      <c r="B49" s="380"/>
      <c r="C49" s="2"/>
      <c r="D49" s="381"/>
      <c r="E49" s="2"/>
      <c r="F49" s="2"/>
      <c r="G49" s="2"/>
    </row>
    <row r="50" spans="2:7" x14ac:dyDescent="0.2">
      <c r="B50" s="380"/>
      <c r="C50" s="2"/>
      <c r="D50" s="381"/>
      <c r="E50" s="2"/>
      <c r="F50" s="2"/>
      <c r="G50" s="2"/>
    </row>
    <row r="51" spans="2:7" x14ac:dyDescent="0.2">
      <c r="B51" s="380"/>
      <c r="C51" s="2"/>
      <c r="D51" s="381"/>
      <c r="E51" s="2"/>
      <c r="F51" s="2"/>
      <c r="G51" s="2"/>
    </row>
    <row r="52" spans="2:7" x14ac:dyDescent="0.2">
      <c r="B52" s="380"/>
      <c r="C52" s="2"/>
      <c r="D52" s="381"/>
      <c r="E52" s="2"/>
      <c r="F52" s="2"/>
      <c r="G52" s="2"/>
    </row>
    <row r="53" spans="2:7" ht="16" customHeight="1" thickBot="1" x14ac:dyDescent="0.25">
      <c r="B53" s="382"/>
      <c r="C53" s="383"/>
      <c r="D53" s="384"/>
      <c r="E53" s="383"/>
      <c r="F53" s="383"/>
      <c r="G53" s="383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9D3B7-2E9D-1647-95F7-8E142BAF8344}">
  <dimension ref="A1:N43"/>
  <sheetViews>
    <sheetView showGridLines="0" zoomScale="57" zoomScaleNormal="76" workbookViewId="0">
      <selection activeCell="N40" sqref="N40"/>
    </sheetView>
  </sheetViews>
  <sheetFormatPr baseColWidth="10" defaultColWidth="8.83203125" defaultRowHeight="15" x14ac:dyDescent="0.2"/>
  <cols>
    <col min="1" max="1" width="11.5" customWidth="1"/>
    <col min="2" max="2" width="12.1640625" customWidth="1"/>
    <col min="3" max="12" width="18.6640625" customWidth="1"/>
    <col min="13" max="13" width="27.1640625" bestFit="1" customWidth="1"/>
    <col min="14" max="14" width="49.1640625" bestFit="1" customWidth="1"/>
  </cols>
  <sheetData>
    <row r="1" spans="1:14" ht="20" customHeight="1" thickBot="1" x14ac:dyDescent="0.25">
      <c r="A1" s="395" t="s">
        <v>265</v>
      </c>
      <c r="B1" s="396"/>
      <c r="C1" s="401" t="s">
        <v>312</v>
      </c>
      <c r="D1" s="402"/>
      <c r="E1" s="402"/>
      <c r="F1" s="402"/>
      <c r="G1" s="402"/>
      <c r="H1" s="402"/>
      <c r="I1" s="402"/>
      <c r="J1" s="402"/>
      <c r="K1" s="402"/>
      <c r="L1" s="403"/>
      <c r="M1" s="369"/>
      <c r="N1" s="369"/>
    </row>
    <row r="2" spans="1:14" ht="15" customHeight="1" x14ac:dyDescent="0.2">
      <c r="A2" s="397"/>
      <c r="B2" s="398"/>
      <c r="C2" s="366" t="s">
        <v>269</v>
      </c>
      <c r="D2" s="367" t="s">
        <v>270</v>
      </c>
      <c r="E2" s="367" t="s">
        <v>271</v>
      </c>
      <c r="F2" s="367" t="s">
        <v>272</v>
      </c>
      <c r="G2" s="367" t="s">
        <v>273</v>
      </c>
      <c r="H2" s="367" t="s">
        <v>274</v>
      </c>
      <c r="I2" s="367" t="s">
        <v>20</v>
      </c>
      <c r="J2" s="367" t="s">
        <v>21</v>
      </c>
      <c r="K2" s="367" t="s">
        <v>81</v>
      </c>
      <c r="L2" s="368" t="s">
        <v>216</v>
      </c>
      <c r="M2" s="369"/>
      <c r="N2" s="369"/>
    </row>
    <row r="3" spans="1:14" s="1" customFormat="1" ht="15" customHeight="1" thickBot="1" x14ac:dyDescent="0.25">
      <c r="A3" s="399"/>
      <c r="B3" s="400"/>
      <c r="C3" s="370" t="s">
        <v>313</v>
      </c>
      <c r="D3" s="371" t="s">
        <v>266</v>
      </c>
      <c r="E3" s="371" t="s">
        <v>314</v>
      </c>
      <c r="F3" s="371" t="s">
        <v>267</v>
      </c>
      <c r="G3" s="371" t="s">
        <v>315</v>
      </c>
      <c r="H3" s="371" t="s">
        <v>316</v>
      </c>
      <c r="I3" s="371" t="s">
        <v>317</v>
      </c>
      <c r="J3" s="371" t="s">
        <v>317</v>
      </c>
      <c r="K3" s="371" t="s">
        <v>317</v>
      </c>
      <c r="L3" s="372" t="s">
        <v>318</v>
      </c>
    </row>
    <row r="4" spans="1:14" s="1" customFormat="1" ht="20" customHeight="1" thickBot="1" x14ac:dyDescent="0.25">
      <c r="A4" s="373">
        <f>Month!I5</f>
        <v>46119</v>
      </c>
      <c r="B4" s="374" t="str">
        <f>TEXT(WEEKDAY(A4), "dddd")</f>
        <v>Tuesday</v>
      </c>
      <c r="C4" s="375" t="str">
        <f>IFERROR(INDEX(Month!$B$6:$B$55,MATCH(C$2,INDEX(Month!$I$6:$AR$55,0,MATCH($A4,Month!$I$5:$AR$5,0)),0)),"")</f>
        <v/>
      </c>
      <c r="D4" s="375" t="str">
        <f>IFERROR(INDEX(Month!$B$6:$B$55,MATCH(D$2,INDEX(Month!$I$6:$AR$55,0,MATCH($A4,Month!$I$5:$AR$5,0)),0)),"")</f>
        <v/>
      </c>
      <c r="E4" s="375" t="str">
        <f>IFERROR(INDEX(Month!$B$6:$B$55,MATCH(E$2,INDEX(Month!$I$6:$AR$55,0,MATCH($A4,Month!$I$5:$AR$5,0)),0)),"")</f>
        <v/>
      </c>
      <c r="F4" s="375" t="str">
        <f>IFERROR(INDEX(Month!$B$6:$B$55,MATCH(F$2,INDEX(Month!$I$6:$AR$55,0,MATCH($A4,Month!$I$5:$AR$5,0)),0)),"")</f>
        <v/>
      </c>
      <c r="G4" s="375" t="str">
        <f>IFERROR(INDEX(Month!$B$6:$B$55,MATCH(G$2,INDEX(Month!$I$6:$AR$55,0,MATCH($A4,Month!$I$5:$AR$5,0)),0)),"")</f>
        <v/>
      </c>
      <c r="H4" s="375" t="str">
        <f>IFERROR(INDEX(Month!$B$6:$B$55,MATCH(H$2,INDEX(Month!$I$6:$AR$55,0,MATCH($A4,Month!$I$5:$AR$5,0)),0)),"")</f>
        <v/>
      </c>
      <c r="I4" s="375" t="str">
        <f>IFERROR(INDEX(Month!$B$6:$B$55,MATCH(I$2,INDEX(Month!$I$6:$AR$55,0,MATCH($A4,Month!$I$5:$AR$5,0)),0)),"")</f>
        <v/>
      </c>
      <c r="J4" s="375" t="str">
        <f>IFERROR(INDEX(Month!$B$6:$B$55,MATCH(J$2,INDEX(Month!$I$6:$AR$55,0,MATCH($A4,Month!$I$5:$AR$5,0)),0)),"")</f>
        <v/>
      </c>
      <c r="K4" s="375" t="str">
        <f>IFERROR(INDEX(Month!$B$6:$B$55,MATCH(K$2,INDEX(Month!$I$6:$AR$55,0,MATCH($A4,Month!$I$5:$AR$5,0)),0)),"")</f>
        <v/>
      </c>
      <c r="L4" s="375" t="str">
        <f>IFERROR(INDEX(Month!$B$6:$B$55,MATCH(L$2,INDEX(Month!$I$6:$AR$55,0,MATCH($A4,Month!$I$5:$AR$5,0)),0)),"")</f>
        <v/>
      </c>
    </row>
    <row r="5" spans="1:14" ht="20" customHeight="1" thickBot="1" x14ac:dyDescent="0.25">
      <c r="A5" s="376">
        <f>A4+1</f>
        <v>46120</v>
      </c>
      <c r="B5" s="374" t="str">
        <f t="shared" ref="B5:B38" si="0">TEXT(WEEKDAY(A5), "dddd")</f>
        <v>Wednesday</v>
      </c>
      <c r="C5" s="375" t="str">
        <f>IFERROR(INDEX(Month!$B$6:$B$55,MATCH(C$2,INDEX(Month!$I$6:$AR$55,0,MATCH($A5,Month!$I$5:$AR$5,0)),0)),"")</f>
        <v/>
      </c>
      <c r="D5" s="375" t="str">
        <f>IFERROR(INDEX(Month!$B$6:$B$55,MATCH(D$2,INDEX(Month!$I$6:$AR$55,0,MATCH($A5,Month!$I$5:$AR$5,0)),0)),"")</f>
        <v/>
      </c>
      <c r="E5" s="375" t="str">
        <f>IFERROR(INDEX(Month!$B$6:$B$55,MATCH(E$2,INDEX(Month!$I$6:$AR$55,0,MATCH($A5,Month!$I$5:$AR$5,0)),0)),"")</f>
        <v/>
      </c>
      <c r="F5" s="375" t="str">
        <f>IFERROR(INDEX(Month!$B$6:$B$55,MATCH(F$2,INDEX(Month!$I$6:$AR$55,0,MATCH($A5,Month!$I$5:$AR$5,0)),0)),"")</f>
        <v/>
      </c>
      <c r="G5" s="375" t="str">
        <f>IFERROR(INDEX(Month!$B$6:$B$55,MATCH(G$2,INDEX(Month!$I$6:$AR$55,0,MATCH($A5,Month!$I$5:$AR$5,0)),0)),"")</f>
        <v/>
      </c>
      <c r="H5" s="375" t="str">
        <f>IFERROR(INDEX(Month!$B$6:$B$55,MATCH(H$2,INDEX(Month!$I$6:$AR$55,0,MATCH($A5,Month!$I$5:$AR$5,0)),0)),"")</f>
        <v/>
      </c>
      <c r="I5" s="375" t="str">
        <f>IFERROR(INDEX(Month!$B$6:$B$55,MATCH(I$2,INDEX(Month!$I$6:$AR$55,0,MATCH($A5,Month!$I$5:$AR$5,0)),0)),"")</f>
        <v/>
      </c>
      <c r="J5" s="375" t="str">
        <f>IFERROR(INDEX(Month!$B$6:$B$55,MATCH(J$2,INDEX(Month!$I$6:$AR$55,0,MATCH($A5,Month!$I$5:$AR$5,0)),0)),"")</f>
        <v/>
      </c>
      <c r="K5" s="375" t="str">
        <f>IFERROR(INDEX(Month!$B$6:$B$55,MATCH(K$2,INDEX(Month!$I$6:$AR$55,0,MATCH($A5,Month!$I$5:$AR$5,0)),0)),"")</f>
        <v/>
      </c>
      <c r="L5" s="375" t="str">
        <f>IFERROR(INDEX(Month!$B$6:$B$55,MATCH(L$2,INDEX(Month!$I$6:$AR$55,0,MATCH($A5,Month!$I$5:$AR$5,0)),0)),"")</f>
        <v/>
      </c>
    </row>
    <row r="6" spans="1:14" ht="20" customHeight="1" thickBot="1" x14ac:dyDescent="0.25">
      <c r="A6" s="376">
        <f t="shared" ref="A6:A43" si="1">A5+1</f>
        <v>46121</v>
      </c>
      <c r="B6" s="374" t="str">
        <f t="shared" si="0"/>
        <v>Thursday</v>
      </c>
      <c r="C6" s="375" t="str">
        <f>IFERROR(INDEX(Month!$B$6:$B$55,MATCH(C$2,INDEX(Month!$I$6:$AR$55,0,MATCH($A6,Month!$I$5:$AR$5,0)),0)),"")</f>
        <v/>
      </c>
      <c r="D6" s="375" t="str">
        <f>IFERROR(INDEX(Month!$B$6:$B$55,MATCH(D$2,INDEX(Month!$I$6:$AR$55,0,MATCH($A6,Month!$I$5:$AR$5,0)),0)),"")</f>
        <v/>
      </c>
      <c r="E6" s="375" t="str">
        <f>IFERROR(INDEX(Month!$B$6:$B$55,MATCH(E$2,INDEX(Month!$I$6:$AR$55,0,MATCH($A6,Month!$I$5:$AR$5,0)),0)),"")</f>
        <v/>
      </c>
      <c r="F6" s="375" t="str">
        <f>IFERROR(INDEX(Month!$B$6:$B$55,MATCH(F$2,INDEX(Month!$I$6:$AR$55,0,MATCH($A6,Month!$I$5:$AR$5,0)),0)),"")</f>
        <v/>
      </c>
      <c r="G6" s="375" t="str">
        <f>IFERROR(INDEX(Month!$B$6:$B$55,MATCH(G$2,INDEX(Month!$I$6:$AR$55,0,MATCH($A6,Month!$I$5:$AR$5,0)),0)),"")</f>
        <v/>
      </c>
      <c r="H6" s="375" t="str">
        <f>IFERROR(INDEX(Month!$B$6:$B$55,MATCH(H$2,INDEX(Month!$I$6:$AR$55,0,MATCH($A6,Month!$I$5:$AR$5,0)),0)),"")</f>
        <v/>
      </c>
      <c r="I6" s="375" t="str">
        <f>IFERROR(INDEX(Month!$B$6:$B$55,MATCH(I$2,INDEX(Month!$I$6:$AR$55,0,MATCH($A6,Month!$I$5:$AR$5,0)),0)),"")</f>
        <v/>
      </c>
      <c r="J6" s="375" t="str">
        <f>IFERROR(INDEX(Month!$B$6:$B$55,MATCH(J$2,INDEX(Month!$I$6:$AR$55,0,MATCH($A6,Month!$I$5:$AR$5,0)),0)),"")</f>
        <v/>
      </c>
      <c r="K6" s="375" t="str">
        <f>IFERROR(INDEX(Month!$B$6:$B$55,MATCH(K$2,INDEX(Month!$I$6:$AR$55,0,MATCH($A6,Month!$I$5:$AR$5,0)),0)),"")</f>
        <v/>
      </c>
      <c r="L6" s="375" t="str">
        <f>IFERROR(INDEX(Month!$B$6:$B$55,MATCH(L$2,INDEX(Month!$I$6:$AR$55,0,MATCH($A6,Month!$I$5:$AR$5,0)),0)),"")</f>
        <v/>
      </c>
    </row>
    <row r="7" spans="1:14" ht="20" customHeight="1" thickBot="1" x14ac:dyDescent="0.25">
      <c r="A7" s="376">
        <f t="shared" si="1"/>
        <v>46122</v>
      </c>
      <c r="B7" s="374" t="str">
        <f t="shared" si="0"/>
        <v>Friday</v>
      </c>
      <c r="C7" s="375" t="str">
        <f>IFERROR(INDEX(Month!$B$6:$B$55,MATCH(C$2,INDEX(Month!$I$6:$AR$55,0,MATCH($A7,Month!$I$5:$AR$5,0)),0)),"")</f>
        <v/>
      </c>
      <c r="D7" s="375" t="str">
        <f>IFERROR(INDEX(Month!$B$6:$B$55,MATCH(D$2,INDEX(Month!$I$6:$AR$55,0,MATCH($A7,Month!$I$5:$AR$5,0)),0)),"")</f>
        <v/>
      </c>
      <c r="E7" s="375" t="str">
        <f>IFERROR(INDEX(Month!$B$6:$B$55,MATCH(E$2,INDEX(Month!$I$6:$AR$55,0,MATCH($A7,Month!$I$5:$AR$5,0)),0)),"")</f>
        <v/>
      </c>
      <c r="F7" s="375" t="str">
        <f>IFERROR(INDEX(Month!$B$6:$B$55,MATCH(F$2,INDEX(Month!$I$6:$AR$55,0,MATCH($A7,Month!$I$5:$AR$5,0)),0)),"")</f>
        <v/>
      </c>
      <c r="G7" s="375" t="str">
        <f>IFERROR(INDEX(Month!$B$6:$B$55,MATCH(G$2,INDEX(Month!$I$6:$AR$55,0,MATCH($A7,Month!$I$5:$AR$5,0)),0)),"")</f>
        <v/>
      </c>
      <c r="H7" s="375" t="str">
        <f>IFERROR(INDEX(Month!$B$6:$B$55,MATCH(H$2,INDEX(Month!$I$6:$AR$55,0,MATCH($A7,Month!$I$5:$AR$5,0)),0)),"")</f>
        <v/>
      </c>
      <c r="I7" s="375" t="str">
        <f>IFERROR(INDEX(Month!$B$6:$B$55,MATCH(I$2,INDEX(Month!$I$6:$AR$55,0,MATCH($A7,Month!$I$5:$AR$5,0)),0)),"")</f>
        <v/>
      </c>
      <c r="J7" s="375" t="str">
        <f>IFERROR(INDEX(Month!$B$6:$B$55,MATCH(J$2,INDEX(Month!$I$6:$AR$55,0,MATCH($A7,Month!$I$5:$AR$5,0)),0)),"")</f>
        <v/>
      </c>
      <c r="K7" s="375" t="str">
        <f>IFERROR(INDEX(Month!$B$6:$B$55,MATCH(K$2,INDEX(Month!$I$6:$AR$55,0,MATCH($A7,Month!$I$5:$AR$5,0)),0)),"")</f>
        <v/>
      </c>
      <c r="L7" s="375" t="str">
        <f>IFERROR(INDEX(Month!$B$6:$B$55,MATCH(L$2,INDEX(Month!$I$6:$AR$55,0,MATCH($A7,Month!$I$5:$AR$5,0)),0)),"")</f>
        <v/>
      </c>
    </row>
    <row r="8" spans="1:14" ht="20" customHeight="1" thickBot="1" x14ac:dyDescent="0.25">
      <c r="A8" s="376">
        <f t="shared" si="1"/>
        <v>46123</v>
      </c>
      <c r="B8" s="374" t="str">
        <f t="shared" si="0"/>
        <v>Saturday</v>
      </c>
      <c r="C8" s="375" t="str">
        <f>IFERROR(INDEX(Month!$B$6:$B$55,MATCH(C$2,INDEX(Month!$I$6:$AR$55,0,MATCH($A8,Month!$I$5:$AR$5,0)),0)),"")</f>
        <v/>
      </c>
      <c r="D8" s="375" t="str">
        <f>IFERROR(INDEX(Month!$B$6:$B$55,MATCH(D$2,INDEX(Month!$I$6:$AR$55,0,MATCH($A8,Month!$I$5:$AR$5,0)),0)),"")</f>
        <v/>
      </c>
      <c r="E8" s="375" t="str">
        <f>IFERROR(INDEX(Month!$B$6:$B$55,MATCH(E$2,INDEX(Month!$I$6:$AR$55,0,MATCH($A8,Month!$I$5:$AR$5,0)),0)),"")</f>
        <v/>
      </c>
      <c r="F8" s="375" t="str">
        <f>IFERROR(INDEX(Month!$B$6:$B$55,MATCH(F$2,INDEX(Month!$I$6:$AR$55,0,MATCH($A8,Month!$I$5:$AR$5,0)),0)),"")</f>
        <v/>
      </c>
      <c r="G8" s="375" t="str">
        <f>IFERROR(INDEX(Month!$B$6:$B$55,MATCH(G$2,INDEX(Month!$I$6:$AR$55,0,MATCH($A8,Month!$I$5:$AR$5,0)),0)),"")</f>
        <v/>
      </c>
      <c r="H8" s="375" t="str">
        <f>IFERROR(INDEX(Month!$B$6:$B$55,MATCH(H$2,INDEX(Month!$I$6:$AR$55,0,MATCH($A8,Month!$I$5:$AR$5,0)),0)),"")</f>
        <v/>
      </c>
      <c r="I8" s="375" t="str">
        <f>IFERROR(INDEX(Month!$B$6:$B$55,MATCH(I$2,INDEX(Month!$I$6:$AR$55,0,MATCH($A8,Month!$I$5:$AR$5,0)),0)),"")</f>
        <v/>
      </c>
      <c r="J8" s="375" t="str">
        <f>IFERROR(INDEX(Month!$B$6:$B$55,MATCH(J$2,INDEX(Month!$I$6:$AR$55,0,MATCH($A8,Month!$I$5:$AR$5,0)),0)),"")</f>
        <v/>
      </c>
      <c r="K8" s="375" t="str">
        <f>IFERROR(INDEX(Month!$B$6:$B$55,MATCH(K$2,INDEX(Month!$I$6:$AR$55,0,MATCH($A8,Month!$I$5:$AR$5,0)),0)),"")</f>
        <v/>
      </c>
      <c r="L8" s="375" t="str">
        <f>IFERROR(INDEX(Month!$B$6:$B$55,MATCH(L$2,INDEX(Month!$I$6:$AR$55,0,MATCH($A8,Month!$I$5:$AR$5,0)),0)),"")</f>
        <v/>
      </c>
    </row>
    <row r="9" spans="1:14" ht="20" customHeight="1" thickBot="1" x14ac:dyDescent="0.25">
      <c r="A9" s="376">
        <f t="shared" si="1"/>
        <v>46124</v>
      </c>
      <c r="B9" s="374" t="str">
        <f t="shared" si="0"/>
        <v>Sunday</v>
      </c>
      <c r="C9" s="375" t="str">
        <f>IFERROR(INDEX(Month!$B$6:$B$55,MATCH(C$2,INDEX(Month!$I$6:$AR$55,0,MATCH($A9,Month!$I$5:$AR$5,0)),0)),"")</f>
        <v/>
      </c>
      <c r="D9" s="375" t="str">
        <f>IFERROR(INDEX(Month!$B$6:$B$55,MATCH(D$2,INDEX(Month!$I$6:$AR$55,0,MATCH($A9,Month!$I$5:$AR$5,0)),0)),"")</f>
        <v/>
      </c>
      <c r="E9" s="375" t="str">
        <f>IFERROR(INDEX(Month!$B$6:$B$55,MATCH(E$2,INDEX(Month!$I$6:$AR$55,0,MATCH($A9,Month!$I$5:$AR$5,0)),0)),"")</f>
        <v/>
      </c>
      <c r="F9" s="375" t="str">
        <f>IFERROR(INDEX(Month!$B$6:$B$55,MATCH(F$2,INDEX(Month!$I$6:$AR$55,0,MATCH($A9,Month!$I$5:$AR$5,0)),0)),"")</f>
        <v/>
      </c>
      <c r="G9" s="375" t="str">
        <f>IFERROR(INDEX(Month!$B$6:$B$55,MATCH(G$2,INDEX(Month!$I$6:$AR$55,0,MATCH($A9,Month!$I$5:$AR$5,0)),0)),"")</f>
        <v/>
      </c>
      <c r="H9" s="375" t="str">
        <f>IFERROR(INDEX(Month!$B$6:$B$55,MATCH(H$2,INDEX(Month!$I$6:$AR$55,0,MATCH($A9,Month!$I$5:$AR$5,0)),0)),"")</f>
        <v/>
      </c>
      <c r="I9" s="375" t="str">
        <f>IFERROR(INDEX(Month!$B$6:$B$55,MATCH(I$2,INDEX(Month!$I$6:$AR$55,0,MATCH($A9,Month!$I$5:$AR$5,0)),0)),"")</f>
        <v/>
      </c>
      <c r="J9" s="375" t="str">
        <f>IFERROR(INDEX(Month!$B$6:$B$55,MATCH(J$2,INDEX(Month!$I$6:$AR$55,0,MATCH($A9,Month!$I$5:$AR$5,0)),0)),"")</f>
        <v/>
      </c>
      <c r="K9" s="375" t="str">
        <f>IFERROR(INDEX(Month!$B$6:$B$55,MATCH(K$2,INDEX(Month!$I$6:$AR$55,0,MATCH($A9,Month!$I$5:$AR$5,0)),0)),"")</f>
        <v/>
      </c>
      <c r="L9" s="375" t="str">
        <f>IFERROR(INDEX(Month!$B$6:$B$55,MATCH(L$2,INDEX(Month!$I$6:$AR$55,0,MATCH($A9,Month!$I$5:$AR$5,0)),0)),"")</f>
        <v/>
      </c>
    </row>
    <row r="10" spans="1:14" ht="20" customHeight="1" thickBot="1" x14ac:dyDescent="0.25">
      <c r="A10" s="376">
        <f t="shared" si="1"/>
        <v>46125</v>
      </c>
      <c r="B10" s="374" t="str">
        <f t="shared" si="0"/>
        <v>Monday</v>
      </c>
      <c r="C10" s="375" t="str">
        <f>IFERROR(INDEX(Month!$B$6:$B$55,MATCH(C$2,INDEX(Month!$I$6:$AR$55,0,MATCH($A10,Month!$I$5:$AR$5,0)),0)),"")</f>
        <v/>
      </c>
      <c r="D10" s="375" t="str">
        <f>IFERROR(INDEX(Month!$B$6:$B$55,MATCH(D$2,INDEX(Month!$I$6:$AR$55,0,MATCH($A10,Month!$I$5:$AR$5,0)),0)),"")</f>
        <v/>
      </c>
      <c r="E10" s="375" t="str">
        <f>IFERROR(INDEX(Month!$B$6:$B$55,MATCH(E$2,INDEX(Month!$I$6:$AR$55,0,MATCH($A10,Month!$I$5:$AR$5,0)),0)),"")</f>
        <v/>
      </c>
      <c r="F10" s="375" t="str">
        <f>IFERROR(INDEX(Month!$B$6:$B$55,MATCH(F$2,INDEX(Month!$I$6:$AR$55,0,MATCH($A10,Month!$I$5:$AR$5,0)),0)),"")</f>
        <v/>
      </c>
      <c r="G10" s="375" t="str">
        <f>IFERROR(INDEX(Month!$B$6:$B$55,MATCH(G$2,INDEX(Month!$I$6:$AR$55,0,MATCH($A10,Month!$I$5:$AR$5,0)),0)),"")</f>
        <v/>
      </c>
      <c r="H10" s="375" t="str">
        <f>IFERROR(INDEX(Month!$B$6:$B$55,MATCH(H$2,INDEX(Month!$I$6:$AR$55,0,MATCH($A10,Month!$I$5:$AR$5,0)),0)),"")</f>
        <v/>
      </c>
      <c r="I10" s="375" t="str">
        <f>IFERROR(INDEX(Month!$B$6:$B$55,MATCH(I$2,INDEX(Month!$I$6:$AR$55,0,MATCH($A10,Month!$I$5:$AR$5,0)),0)),"")</f>
        <v/>
      </c>
      <c r="J10" s="375" t="str">
        <f>IFERROR(INDEX(Month!$B$6:$B$55,MATCH(J$2,INDEX(Month!$I$6:$AR$55,0,MATCH($A10,Month!$I$5:$AR$5,0)),0)),"")</f>
        <v/>
      </c>
      <c r="K10" s="375" t="str">
        <f>IFERROR(INDEX(Month!$B$6:$B$55,MATCH(K$2,INDEX(Month!$I$6:$AR$55,0,MATCH($A10,Month!$I$5:$AR$5,0)),0)),"")</f>
        <v/>
      </c>
      <c r="L10" s="375" t="str">
        <f>IFERROR(INDEX(Month!$B$6:$B$55,MATCH(L$2,INDEX(Month!$I$6:$AR$55,0,MATCH($A10,Month!$I$5:$AR$5,0)),0)),"")</f>
        <v/>
      </c>
    </row>
    <row r="11" spans="1:14" ht="20" customHeight="1" thickBot="1" x14ac:dyDescent="0.25">
      <c r="A11" s="376">
        <f t="shared" si="1"/>
        <v>46126</v>
      </c>
      <c r="B11" s="374" t="str">
        <f t="shared" si="0"/>
        <v>Tuesday</v>
      </c>
      <c r="C11" s="375" t="str">
        <f>IFERROR(INDEX(Month!$B$6:$B$55,MATCH(C$2,INDEX(Month!$I$6:$AR$55,0,MATCH($A11,Month!$I$5:$AR$5,0)),0)),"")</f>
        <v/>
      </c>
      <c r="D11" s="375" t="str">
        <f>IFERROR(INDEX(Month!$B$6:$B$55,MATCH(D$2,INDEX(Month!$I$6:$AR$55,0,MATCH($A11,Month!$I$5:$AR$5,0)),0)),"")</f>
        <v/>
      </c>
      <c r="E11" s="375" t="str">
        <f>IFERROR(INDEX(Month!$B$6:$B$55,MATCH(E$2,INDEX(Month!$I$6:$AR$55,0,MATCH($A11,Month!$I$5:$AR$5,0)),0)),"")</f>
        <v/>
      </c>
      <c r="F11" s="375" t="str">
        <f>IFERROR(INDEX(Month!$B$6:$B$55,MATCH(F$2,INDEX(Month!$I$6:$AR$55,0,MATCH($A11,Month!$I$5:$AR$5,0)),0)),"")</f>
        <v/>
      </c>
      <c r="G11" s="375" t="str">
        <f>IFERROR(INDEX(Month!$B$6:$B$55,MATCH(G$2,INDEX(Month!$I$6:$AR$55,0,MATCH($A11,Month!$I$5:$AR$5,0)),0)),"")</f>
        <v/>
      </c>
      <c r="H11" s="375" t="str">
        <f>IFERROR(INDEX(Month!$B$6:$B$55,MATCH(H$2,INDEX(Month!$I$6:$AR$55,0,MATCH($A11,Month!$I$5:$AR$5,0)),0)),"")</f>
        <v/>
      </c>
      <c r="I11" s="375" t="str">
        <f>IFERROR(INDEX(Month!$B$6:$B$55,MATCH(I$2,INDEX(Month!$I$6:$AR$55,0,MATCH($A11,Month!$I$5:$AR$5,0)),0)),"")</f>
        <v/>
      </c>
      <c r="J11" s="375" t="str">
        <f>IFERROR(INDEX(Month!$B$6:$B$55,MATCH(J$2,INDEX(Month!$I$6:$AR$55,0,MATCH($A11,Month!$I$5:$AR$5,0)),0)),"")</f>
        <v/>
      </c>
      <c r="K11" s="375" t="str">
        <f>IFERROR(INDEX(Month!$B$6:$B$55,MATCH(K$2,INDEX(Month!$I$6:$AR$55,0,MATCH($A11,Month!$I$5:$AR$5,0)),0)),"")</f>
        <v/>
      </c>
      <c r="L11" s="375" t="str">
        <f>IFERROR(INDEX(Month!$B$6:$B$55,MATCH(L$2,INDEX(Month!$I$6:$AR$55,0,MATCH($A11,Month!$I$5:$AR$5,0)),0)),"")</f>
        <v/>
      </c>
    </row>
    <row r="12" spans="1:14" ht="20" customHeight="1" thickBot="1" x14ac:dyDescent="0.25">
      <c r="A12" s="376">
        <f t="shared" si="1"/>
        <v>46127</v>
      </c>
      <c r="B12" s="374" t="str">
        <f t="shared" si="0"/>
        <v>Wednesday</v>
      </c>
      <c r="C12" s="375" t="str">
        <f>IFERROR(INDEX(Month!$B$6:$B$55,MATCH(C$2,INDEX(Month!$I$6:$AR$55,0,MATCH($A12,Month!$I$5:$AR$5,0)),0)),"")</f>
        <v/>
      </c>
      <c r="D12" s="375" t="str">
        <f>IFERROR(INDEX(Month!$B$6:$B$55,MATCH(D$2,INDEX(Month!$I$6:$AR$55,0,MATCH($A12,Month!$I$5:$AR$5,0)),0)),"")</f>
        <v/>
      </c>
      <c r="E12" s="375" t="str">
        <f>IFERROR(INDEX(Month!$B$6:$B$55,MATCH(E$2,INDEX(Month!$I$6:$AR$55,0,MATCH($A12,Month!$I$5:$AR$5,0)),0)),"")</f>
        <v/>
      </c>
      <c r="F12" s="375" t="str">
        <f>IFERROR(INDEX(Month!$B$6:$B$55,MATCH(F$2,INDEX(Month!$I$6:$AR$55,0,MATCH($A12,Month!$I$5:$AR$5,0)),0)),"")</f>
        <v/>
      </c>
      <c r="G12" s="375" t="str">
        <f>IFERROR(INDEX(Month!$B$6:$B$55,MATCH(G$2,INDEX(Month!$I$6:$AR$55,0,MATCH($A12,Month!$I$5:$AR$5,0)),0)),"")</f>
        <v/>
      </c>
      <c r="H12" s="375" t="str">
        <f>IFERROR(INDEX(Month!$B$6:$B$55,MATCH(H$2,INDEX(Month!$I$6:$AR$55,0,MATCH($A12,Month!$I$5:$AR$5,0)),0)),"")</f>
        <v/>
      </c>
      <c r="I12" s="375" t="str">
        <f>IFERROR(INDEX(Month!$B$6:$B$55,MATCH(I$2,INDEX(Month!$I$6:$AR$55,0,MATCH($A12,Month!$I$5:$AR$5,0)),0)),"")</f>
        <v/>
      </c>
      <c r="J12" s="375" t="str">
        <f>IFERROR(INDEX(Month!$B$6:$B$55,MATCH(J$2,INDEX(Month!$I$6:$AR$55,0,MATCH($A12,Month!$I$5:$AR$5,0)),0)),"")</f>
        <v/>
      </c>
      <c r="K12" s="375" t="str">
        <f>IFERROR(INDEX(Month!$B$6:$B$55,MATCH(K$2,INDEX(Month!$I$6:$AR$55,0,MATCH($A12,Month!$I$5:$AR$5,0)),0)),"")</f>
        <v/>
      </c>
      <c r="L12" s="375" t="str">
        <f>IFERROR(INDEX(Month!$B$6:$B$55,MATCH(L$2,INDEX(Month!$I$6:$AR$55,0,MATCH($A12,Month!$I$5:$AR$5,0)),0)),"")</f>
        <v/>
      </c>
    </row>
    <row r="13" spans="1:14" ht="20" customHeight="1" thickBot="1" x14ac:dyDescent="0.25">
      <c r="A13" s="376">
        <f t="shared" si="1"/>
        <v>46128</v>
      </c>
      <c r="B13" s="374" t="str">
        <f t="shared" si="0"/>
        <v>Thursday</v>
      </c>
      <c r="C13" s="375" t="str">
        <f>IFERROR(INDEX(Month!$B$6:$B$55,MATCH(C$2,INDEX(Month!$I$6:$AR$55,0,MATCH($A13,Month!$I$5:$AR$5,0)),0)),"")</f>
        <v/>
      </c>
      <c r="D13" s="375" t="str">
        <f>IFERROR(INDEX(Month!$B$6:$B$55,MATCH(D$2,INDEX(Month!$I$6:$AR$55,0,MATCH($A13,Month!$I$5:$AR$5,0)),0)),"")</f>
        <v/>
      </c>
      <c r="E13" s="375" t="str">
        <f>IFERROR(INDEX(Month!$B$6:$B$55,MATCH(E$2,INDEX(Month!$I$6:$AR$55,0,MATCH($A13,Month!$I$5:$AR$5,0)),0)),"")</f>
        <v/>
      </c>
      <c r="F13" s="375" t="str">
        <f>IFERROR(INDEX(Month!$B$6:$B$55,MATCH(F$2,INDEX(Month!$I$6:$AR$55,0,MATCH($A13,Month!$I$5:$AR$5,0)),0)),"")</f>
        <v/>
      </c>
      <c r="G13" s="375" t="str">
        <f>IFERROR(INDEX(Month!$B$6:$B$55,MATCH(G$2,INDEX(Month!$I$6:$AR$55,0,MATCH($A13,Month!$I$5:$AR$5,0)),0)),"")</f>
        <v/>
      </c>
      <c r="H13" s="375" t="str">
        <f>IFERROR(INDEX(Month!$B$6:$B$55,MATCH(H$2,INDEX(Month!$I$6:$AR$55,0,MATCH($A13,Month!$I$5:$AR$5,0)),0)),"")</f>
        <v/>
      </c>
      <c r="I13" s="375" t="str">
        <f>IFERROR(INDEX(Month!$B$6:$B$55,MATCH(I$2,INDEX(Month!$I$6:$AR$55,0,MATCH($A13,Month!$I$5:$AR$5,0)),0)),"")</f>
        <v/>
      </c>
      <c r="J13" s="375" t="str">
        <f>IFERROR(INDEX(Month!$B$6:$B$55,MATCH(J$2,INDEX(Month!$I$6:$AR$55,0,MATCH($A13,Month!$I$5:$AR$5,0)),0)),"")</f>
        <v/>
      </c>
      <c r="K13" s="375" t="str">
        <f>IFERROR(INDEX(Month!$B$6:$B$55,MATCH(K$2,INDEX(Month!$I$6:$AR$55,0,MATCH($A13,Month!$I$5:$AR$5,0)),0)),"")</f>
        <v/>
      </c>
      <c r="L13" s="375" t="str">
        <f>IFERROR(INDEX(Month!$B$6:$B$55,MATCH(L$2,INDEX(Month!$I$6:$AR$55,0,MATCH($A13,Month!$I$5:$AR$5,0)),0)),"")</f>
        <v/>
      </c>
    </row>
    <row r="14" spans="1:14" ht="20" customHeight="1" thickBot="1" x14ac:dyDescent="0.25">
      <c r="A14" s="376">
        <f t="shared" si="1"/>
        <v>46129</v>
      </c>
      <c r="B14" s="374" t="str">
        <f t="shared" si="0"/>
        <v>Friday</v>
      </c>
      <c r="C14" s="375" t="str">
        <f>IFERROR(INDEX(Month!$B$6:$B$55,MATCH(C$2,INDEX(Month!$I$6:$AR$55,0,MATCH($A14,Month!$I$5:$AR$5,0)),0)),"")</f>
        <v/>
      </c>
      <c r="D14" s="375" t="str">
        <f>IFERROR(INDEX(Month!$B$6:$B$55,MATCH(D$2,INDEX(Month!$I$6:$AR$55,0,MATCH($A14,Month!$I$5:$AR$5,0)),0)),"")</f>
        <v/>
      </c>
      <c r="E14" s="375" t="str">
        <f>IFERROR(INDEX(Month!$B$6:$B$55,MATCH(E$2,INDEX(Month!$I$6:$AR$55,0,MATCH($A14,Month!$I$5:$AR$5,0)),0)),"")</f>
        <v/>
      </c>
      <c r="F14" s="375" t="str">
        <f>IFERROR(INDEX(Month!$B$6:$B$55,MATCH(F$2,INDEX(Month!$I$6:$AR$55,0,MATCH($A14,Month!$I$5:$AR$5,0)),0)),"")</f>
        <v/>
      </c>
      <c r="G14" s="375" t="str">
        <f>IFERROR(INDEX(Month!$B$6:$B$55,MATCH(G$2,INDEX(Month!$I$6:$AR$55,0,MATCH($A14,Month!$I$5:$AR$5,0)),0)),"")</f>
        <v/>
      </c>
      <c r="H14" s="375" t="str">
        <f>IFERROR(INDEX(Month!$B$6:$B$55,MATCH(H$2,INDEX(Month!$I$6:$AR$55,0,MATCH($A14,Month!$I$5:$AR$5,0)),0)),"")</f>
        <v/>
      </c>
      <c r="I14" s="375" t="str">
        <f>IFERROR(INDEX(Month!$B$6:$B$55,MATCH(I$2,INDEX(Month!$I$6:$AR$55,0,MATCH($A14,Month!$I$5:$AR$5,0)),0)),"")</f>
        <v/>
      </c>
      <c r="J14" s="375" t="str">
        <f>IFERROR(INDEX(Month!$B$6:$B$55,MATCH(J$2,INDEX(Month!$I$6:$AR$55,0,MATCH($A14,Month!$I$5:$AR$5,0)),0)),"")</f>
        <v/>
      </c>
      <c r="K14" s="375" t="str">
        <f>IFERROR(INDEX(Month!$B$6:$B$55,MATCH(K$2,INDEX(Month!$I$6:$AR$55,0,MATCH($A14,Month!$I$5:$AR$5,0)),0)),"")</f>
        <v/>
      </c>
      <c r="L14" s="375" t="str">
        <f>IFERROR(INDEX(Month!$B$6:$B$55,MATCH(L$2,INDEX(Month!$I$6:$AR$55,0,MATCH($A14,Month!$I$5:$AR$5,0)),0)),"")</f>
        <v/>
      </c>
    </row>
    <row r="15" spans="1:14" ht="20" customHeight="1" thickBot="1" x14ac:dyDescent="0.25">
      <c r="A15" s="376">
        <f t="shared" si="1"/>
        <v>46130</v>
      </c>
      <c r="B15" s="374" t="str">
        <f t="shared" si="0"/>
        <v>Saturday</v>
      </c>
      <c r="C15" s="375" t="str">
        <f>IFERROR(INDEX(Month!$B$6:$B$55,MATCH(C$2,INDEX(Month!$I$6:$AR$55,0,MATCH($A15,Month!$I$5:$AR$5,0)),0)),"")</f>
        <v/>
      </c>
      <c r="D15" s="375" t="str">
        <f>IFERROR(INDEX(Month!$B$6:$B$55,MATCH(D$2,INDEX(Month!$I$6:$AR$55,0,MATCH($A15,Month!$I$5:$AR$5,0)),0)),"")</f>
        <v/>
      </c>
      <c r="E15" s="375" t="str">
        <f>IFERROR(INDEX(Month!$B$6:$B$55,MATCH(E$2,INDEX(Month!$I$6:$AR$55,0,MATCH($A15,Month!$I$5:$AR$5,0)),0)),"")</f>
        <v/>
      </c>
      <c r="F15" s="375" t="str">
        <f>IFERROR(INDEX(Month!$B$6:$B$55,MATCH(F$2,INDEX(Month!$I$6:$AR$55,0,MATCH($A15,Month!$I$5:$AR$5,0)),0)),"")</f>
        <v/>
      </c>
      <c r="G15" s="375" t="str">
        <f>IFERROR(INDEX(Month!$B$6:$B$55,MATCH(G$2,INDEX(Month!$I$6:$AR$55,0,MATCH($A15,Month!$I$5:$AR$5,0)),0)),"")</f>
        <v/>
      </c>
      <c r="H15" s="375" t="str">
        <f>IFERROR(INDEX(Month!$B$6:$B$55,MATCH(H$2,INDEX(Month!$I$6:$AR$55,0,MATCH($A15,Month!$I$5:$AR$5,0)),0)),"")</f>
        <v/>
      </c>
      <c r="I15" s="375" t="str">
        <f>IFERROR(INDEX(Month!$B$6:$B$55,MATCH(I$2,INDEX(Month!$I$6:$AR$55,0,MATCH($A15,Month!$I$5:$AR$5,0)),0)),"")</f>
        <v/>
      </c>
      <c r="J15" s="375" t="str">
        <f>IFERROR(INDEX(Month!$B$6:$B$55,MATCH(J$2,INDEX(Month!$I$6:$AR$55,0,MATCH($A15,Month!$I$5:$AR$5,0)),0)),"")</f>
        <v/>
      </c>
      <c r="K15" s="375" t="str">
        <f>IFERROR(INDEX(Month!$B$6:$B$55,MATCH(K$2,INDEX(Month!$I$6:$AR$55,0,MATCH($A15,Month!$I$5:$AR$5,0)),0)),"")</f>
        <v/>
      </c>
      <c r="L15" s="375" t="str">
        <f>IFERROR(INDEX(Month!$B$6:$B$55,MATCH(L$2,INDEX(Month!$I$6:$AR$55,0,MATCH($A15,Month!$I$5:$AR$5,0)),0)),"")</f>
        <v/>
      </c>
    </row>
    <row r="16" spans="1:14" ht="20" customHeight="1" thickBot="1" x14ac:dyDescent="0.25">
      <c r="A16" s="376">
        <f t="shared" si="1"/>
        <v>46131</v>
      </c>
      <c r="B16" s="374" t="str">
        <f t="shared" si="0"/>
        <v>Sunday</v>
      </c>
      <c r="C16" s="375" t="str">
        <f>IFERROR(INDEX(Month!$B$6:$B$55,MATCH(C$2,INDEX(Month!$I$6:$AR$55,0,MATCH($A16,Month!$I$5:$AR$5,0)),0)),"")</f>
        <v/>
      </c>
      <c r="D16" s="375" t="str">
        <f>IFERROR(INDEX(Month!$B$6:$B$55,MATCH(D$2,INDEX(Month!$I$6:$AR$55,0,MATCH($A16,Month!$I$5:$AR$5,0)),0)),"")</f>
        <v/>
      </c>
      <c r="E16" s="375" t="str">
        <f>IFERROR(INDEX(Month!$B$6:$B$55,MATCH(E$2,INDEX(Month!$I$6:$AR$55,0,MATCH($A16,Month!$I$5:$AR$5,0)),0)),"")</f>
        <v/>
      </c>
      <c r="F16" s="375" t="str">
        <f>IFERROR(INDEX(Month!$B$6:$B$55,MATCH(F$2,INDEX(Month!$I$6:$AR$55,0,MATCH($A16,Month!$I$5:$AR$5,0)),0)),"")</f>
        <v/>
      </c>
      <c r="G16" s="375" t="str">
        <f>IFERROR(INDEX(Month!$B$6:$B$55,MATCH(G$2,INDEX(Month!$I$6:$AR$55,0,MATCH($A16,Month!$I$5:$AR$5,0)),0)),"")</f>
        <v/>
      </c>
      <c r="H16" s="375" t="str">
        <f>IFERROR(INDEX(Month!$B$6:$B$55,MATCH(H$2,INDEX(Month!$I$6:$AR$55,0,MATCH($A16,Month!$I$5:$AR$5,0)),0)),"")</f>
        <v/>
      </c>
      <c r="I16" s="375" t="str">
        <f>IFERROR(INDEX(Month!$B$6:$B$55,MATCH(I$2,INDEX(Month!$I$6:$AR$55,0,MATCH($A16,Month!$I$5:$AR$5,0)),0)),"")</f>
        <v/>
      </c>
      <c r="J16" s="375" t="str">
        <f>IFERROR(INDEX(Month!$B$6:$B$55,MATCH(J$2,INDEX(Month!$I$6:$AR$55,0,MATCH($A16,Month!$I$5:$AR$5,0)),0)),"")</f>
        <v/>
      </c>
      <c r="K16" s="375" t="str">
        <f>IFERROR(INDEX(Month!$B$6:$B$55,MATCH(K$2,INDEX(Month!$I$6:$AR$55,0,MATCH($A16,Month!$I$5:$AR$5,0)),0)),"")</f>
        <v/>
      </c>
      <c r="L16" s="375" t="str">
        <f>IFERROR(INDEX(Month!$B$6:$B$55,MATCH(L$2,INDEX(Month!$I$6:$AR$55,0,MATCH($A16,Month!$I$5:$AR$5,0)),0)),"")</f>
        <v/>
      </c>
    </row>
    <row r="17" spans="1:12" ht="20" customHeight="1" thickBot="1" x14ac:dyDescent="0.25">
      <c r="A17" s="376">
        <f t="shared" si="1"/>
        <v>46132</v>
      </c>
      <c r="B17" s="374" t="str">
        <f t="shared" si="0"/>
        <v>Monday</v>
      </c>
      <c r="C17" s="375" t="str">
        <f>IFERROR(INDEX(Month!$B$6:$B$55,MATCH(C$2,INDEX(Month!$I$6:$AR$55,0,MATCH($A17,Month!$I$5:$AR$5,0)),0)),"")</f>
        <v/>
      </c>
      <c r="D17" s="375" t="str">
        <f>IFERROR(INDEX(Month!$B$6:$B$55,MATCH(D$2,INDEX(Month!$I$6:$AR$55,0,MATCH($A17,Month!$I$5:$AR$5,0)),0)),"")</f>
        <v/>
      </c>
      <c r="E17" s="375" t="str">
        <f>IFERROR(INDEX(Month!$B$6:$B$55,MATCH(E$2,INDEX(Month!$I$6:$AR$55,0,MATCH($A17,Month!$I$5:$AR$5,0)),0)),"")</f>
        <v/>
      </c>
      <c r="F17" s="375" t="str">
        <f>IFERROR(INDEX(Month!$B$6:$B$55,MATCH(F$2,INDEX(Month!$I$6:$AR$55,0,MATCH($A17,Month!$I$5:$AR$5,0)),0)),"")</f>
        <v/>
      </c>
      <c r="G17" s="375" t="str">
        <f>IFERROR(INDEX(Month!$B$6:$B$55,MATCH(G$2,INDEX(Month!$I$6:$AR$55,0,MATCH($A17,Month!$I$5:$AR$5,0)),0)),"")</f>
        <v/>
      </c>
      <c r="H17" s="375" t="str">
        <f>IFERROR(INDEX(Month!$B$6:$B$55,MATCH(H$2,INDEX(Month!$I$6:$AR$55,0,MATCH($A17,Month!$I$5:$AR$5,0)),0)),"")</f>
        <v/>
      </c>
      <c r="I17" s="375" t="str">
        <f>IFERROR(INDEX(Month!$B$6:$B$55,MATCH(I$2,INDEX(Month!$I$6:$AR$55,0,MATCH($A17,Month!$I$5:$AR$5,0)),0)),"")</f>
        <v/>
      </c>
      <c r="J17" s="375" t="str">
        <f>IFERROR(INDEX(Month!$B$6:$B$55,MATCH(J$2,INDEX(Month!$I$6:$AR$55,0,MATCH($A17,Month!$I$5:$AR$5,0)),0)),"")</f>
        <v/>
      </c>
      <c r="K17" s="375" t="str">
        <f>IFERROR(INDEX(Month!$B$6:$B$55,MATCH(K$2,INDEX(Month!$I$6:$AR$55,0,MATCH($A17,Month!$I$5:$AR$5,0)),0)),"")</f>
        <v/>
      </c>
      <c r="L17" s="375" t="str">
        <f>IFERROR(INDEX(Month!$B$6:$B$55,MATCH(L$2,INDEX(Month!$I$6:$AR$55,0,MATCH($A17,Month!$I$5:$AR$5,0)),0)),"")</f>
        <v/>
      </c>
    </row>
    <row r="18" spans="1:12" ht="20" customHeight="1" thickBot="1" x14ac:dyDescent="0.25">
      <c r="A18" s="376">
        <f t="shared" si="1"/>
        <v>46133</v>
      </c>
      <c r="B18" s="374" t="str">
        <f t="shared" si="0"/>
        <v>Tuesday</v>
      </c>
      <c r="C18" s="375" t="str">
        <f>IFERROR(INDEX(Month!$B$6:$B$55,MATCH(C$2,INDEX(Month!$I$6:$AR$55,0,MATCH($A18,Month!$I$5:$AR$5,0)),0)),"")</f>
        <v/>
      </c>
      <c r="D18" s="375" t="str">
        <f>IFERROR(INDEX(Month!$B$6:$B$55,MATCH(D$2,INDEX(Month!$I$6:$AR$55,0,MATCH($A18,Month!$I$5:$AR$5,0)),0)),"")</f>
        <v/>
      </c>
      <c r="E18" s="375" t="str">
        <f>IFERROR(INDEX(Month!$B$6:$B$55,MATCH(E$2,INDEX(Month!$I$6:$AR$55,0,MATCH($A18,Month!$I$5:$AR$5,0)),0)),"")</f>
        <v/>
      </c>
      <c r="F18" s="375" t="str">
        <f>IFERROR(INDEX(Month!$B$6:$B$55,MATCH(F$2,INDEX(Month!$I$6:$AR$55,0,MATCH($A18,Month!$I$5:$AR$5,0)),0)),"")</f>
        <v/>
      </c>
      <c r="G18" s="375" t="str">
        <f>IFERROR(INDEX(Month!$B$6:$B$55,MATCH(G$2,INDEX(Month!$I$6:$AR$55,0,MATCH($A18,Month!$I$5:$AR$5,0)),0)),"")</f>
        <v/>
      </c>
      <c r="H18" s="375" t="str">
        <f>IFERROR(INDEX(Month!$B$6:$B$55,MATCH(H$2,INDEX(Month!$I$6:$AR$55,0,MATCH($A18,Month!$I$5:$AR$5,0)),0)),"")</f>
        <v/>
      </c>
      <c r="I18" s="375" t="str">
        <f>IFERROR(INDEX(Month!$B$6:$B$55,MATCH(I$2,INDEX(Month!$I$6:$AR$55,0,MATCH($A18,Month!$I$5:$AR$5,0)),0)),"")</f>
        <v/>
      </c>
      <c r="J18" s="375" t="str">
        <f>IFERROR(INDEX(Month!$B$6:$B$55,MATCH(J$2,INDEX(Month!$I$6:$AR$55,0,MATCH($A18,Month!$I$5:$AR$5,0)),0)),"")</f>
        <v/>
      </c>
      <c r="K18" s="375" t="str">
        <f>IFERROR(INDEX(Month!$B$6:$B$55,MATCH(K$2,INDEX(Month!$I$6:$AR$55,0,MATCH($A18,Month!$I$5:$AR$5,0)),0)),"")</f>
        <v/>
      </c>
      <c r="L18" s="375" t="str">
        <f>IFERROR(INDEX(Month!$B$6:$B$55,MATCH(L$2,INDEX(Month!$I$6:$AR$55,0,MATCH($A18,Month!$I$5:$AR$5,0)),0)),"")</f>
        <v/>
      </c>
    </row>
    <row r="19" spans="1:12" ht="20" customHeight="1" thickBot="1" x14ac:dyDescent="0.25">
      <c r="A19" s="376">
        <f t="shared" si="1"/>
        <v>46134</v>
      </c>
      <c r="B19" s="374" t="str">
        <f t="shared" si="0"/>
        <v>Wednesday</v>
      </c>
      <c r="C19" s="375" t="str">
        <f>IFERROR(INDEX(Month!$B$6:$B$55,MATCH(C$2,INDEX(Month!$I$6:$AR$55,0,MATCH($A19,Month!$I$5:$AR$5,0)),0)),"")</f>
        <v/>
      </c>
      <c r="D19" s="375" t="str">
        <f>IFERROR(INDEX(Month!$B$6:$B$55,MATCH(D$2,INDEX(Month!$I$6:$AR$55,0,MATCH($A19,Month!$I$5:$AR$5,0)),0)),"")</f>
        <v/>
      </c>
      <c r="E19" s="375" t="str">
        <f>IFERROR(INDEX(Month!$B$6:$B$55,MATCH(E$2,INDEX(Month!$I$6:$AR$55,0,MATCH($A19,Month!$I$5:$AR$5,0)),0)),"")</f>
        <v/>
      </c>
      <c r="F19" s="375" t="str">
        <f>IFERROR(INDEX(Month!$B$6:$B$55,MATCH(F$2,INDEX(Month!$I$6:$AR$55,0,MATCH($A19,Month!$I$5:$AR$5,0)),0)),"")</f>
        <v/>
      </c>
      <c r="G19" s="375" t="str">
        <f>IFERROR(INDEX(Month!$B$6:$B$55,MATCH(G$2,INDEX(Month!$I$6:$AR$55,0,MATCH($A19,Month!$I$5:$AR$5,0)),0)),"")</f>
        <v/>
      </c>
      <c r="H19" s="375" t="str">
        <f>IFERROR(INDEX(Month!$B$6:$B$55,MATCH(H$2,INDEX(Month!$I$6:$AR$55,0,MATCH($A19,Month!$I$5:$AR$5,0)),0)),"")</f>
        <v/>
      </c>
      <c r="I19" s="375" t="str">
        <f>IFERROR(INDEX(Month!$B$6:$B$55,MATCH(I$2,INDEX(Month!$I$6:$AR$55,0,MATCH($A19,Month!$I$5:$AR$5,0)),0)),"")</f>
        <v/>
      </c>
      <c r="J19" s="375" t="str">
        <f>IFERROR(INDEX(Month!$B$6:$B$55,MATCH(J$2,INDEX(Month!$I$6:$AR$55,0,MATCH($A19,Month!$I$5:$AR$5,0)),0)),"")</f>
        <v/>
      </c>
      <c r="K19" s="375" t="str">
        <f>IFERROR(INDEX(Month!$B$6:$B$55,MATCH(K$2,INDEX(Month!$I$6:$AR$55,0,MATCH($A19,Month!$I$5:$AR$5,0)),0)),"")</f>
        <v/>
      </c>
      <c r="L19" s="375" t="str">
        <f>IFERROR(INDEX(Month!$B$6:$B$55,MATCH(L$2,INDEX(Month!$I$6:$AR$55,0,MATCH($A19,Month!$I$5:$AR$5,0)),0)),"")</f>
        <v/>
      </c>
    </row>
    <row r="20" spans="1:12" ht="20" customHeight="1" thickBot="1" x14ac:dyDescent="0.25">
      <c r="A20" s="376">
        <f t="shared" si="1"/>
        <v>46135</v>
      </c>
      <c r="B20" s="374" t="str">
        <f t="shared" si="0"/>
        <v>Thursday</v>
      </c>
      <c r="C20" s="375" t="str">
        <f>IFERROR(INDEX(Month!$B$6:$B$55,MATCH(C$2,INDEX(Month!$I$6:$AR$55,0,MATCH($A20,Month!$I$5:$AR$5,0)),0)),"")</f>
        <v/>
      </c>
      <c r="D20" s="375" t="str">
        <f>IFERROR(INDEX(Month!$B$6:$B$55,MATCH(D$2,INDEX(Month!$I$6:$AR$55,0,MATCH($A20,Month!$I$5:$AR$5,0)),0)),"")</f>
        <v/>
      </c>
      <c r="E20" s="375" t="str">
        <f>IFERROR(INDEX(Month!$B$6:$B$55,MATCH(E$2,INDEX(Month!$I$6:$AR$55,0,MATCH($A20,Month!$I$5:$AR$5,0)),0)),"")</f>
        <v/>
      </c>
      <c r="F20" s="375" t="str">
        <f>IFERROR(INDEX(Month!$B$6:$B$55,MATCH(F$2,INDEX(Month!$I$6:$AR$55,0,MATCH($A20,Month!$I$5:$AR$5,0)),0)),"")</f>
        <v/>
      </c>
      <c r="G20" s="375" t="str">
        <f>IFERROR(INDEX(Month!$B$6:$B$55,MATCH(G$2,INDEX(Month!$I$6:$AR$55,0,MATCH($A20,Month!$I$5:$AR$5,0)),0)),"")</f>
        <v/>
      </c>
      <c r="H20" s="375" t="str">
        <f>IFERROR(INDEX(Month!$B$6:$B$55,MATCH(H$2,INDEX(Month!$I$6:$AR$55,0,MATCH($A20,Month!$I$5:$AR$5,0)),0)),"")</f>
        <v/>
      </c>
      <c r="I20" s="375" t="str">
        <f>IFERROR(INDEX(Month!$B$6:$B$55,MATCH(I$2,INDEX(Month!$I$6:$AR$55,0,MATCH($A20,Month!$I$5:$AR$5,0)),0)),"")</f>
        <v/>
      </c>
      <c r="J20" s="375" t="str">
        <f>IFERROR(INDEX(Month!$B$6:$B$55,MATCH(J$2,INDEX(Month!$I$6:$AR$55,0,MATCH($A20,Month!$I$5:$AR$5,0)),0)),"")</f>
        <v/>
      </c>
      <c r="K20" s="375" t="str">
        <f>IFERROR(INDEX(Month!$B$6:$B$55,MATCH(K$2,INDEX(Month!$I$6:$AR$55,0,MATCH($A20,Month!$I$5:$AR$5,0)),0)),"")</f>
        <v/>
      </c>
      <c r="L20" s="375" t="str">
        <f>IFERROR(INDEX(Month!$B$6:$B$55,MATCH(L$2,INDEX(Month!$I$6:$AR$55,0,MATCH($A20,Month!$I$5:$AR$5,0)),0)),"")</f>
        <v/>
      </c>
    </row>
    <row r="21" spans="1:12" ht="20" customHeight="1" thickBot="1" x14ac:dyDescent="0.25">
      <c r="A21" s="376">
        <f t="shared" si="1"/>
        <v>46136</v>
      </c>
      <c r="B21" s="374" t="str">
        <f t="shared" si="0"/>
        <v>Friday</v>
      </c>
      <c r="C21" s="375" t="str">
        <f>IFERROR(INDEX(Month!$B$6:$B$55,MATCH(C$2,INDEX(Month!$I$6:$AR$55,0,MATCH($A21,Month!$I$5:$AR$5,0)),0)),"")</f>
        <v/>
      </c>
      <c r="D21" s="375" t="str">
        <f>IFERROR(INDEX(Month!$B$6:$B$55,MATCH(D$2,INDEX(Month!$I$6:$AR$55,0,MATCH($A21,Month!$I$5:$AR$5,0)),0)),"")</f>
        <v/>
      </c>
      <c r="E21" s="375" t="str">
        <f>IFERROR(INDEX(Month!$B$6:$B$55,MATCH(E$2,INDEX(Month!$I$6:$AR$55,0,MATCH($A21,Month!$I$5:$AR$5,0)),0)),"")</f>
        <v/>
      </c>
      <c r="F21" s="375" t="str">
        <f>IFERROR(INDEX(Month!$B$6:$B$55,MATCH(F$2,INDEX(Month!$I$6:$AR$55,0,MATCH($A21,Month!$I$5:$AR$5,0)),0)),"")</f>
        <v/>
      </c>
      <c r="G21" s="375" t="str">
        <f>IFERROR(INDEX(Month!$B$6:$B$55,MATCH(G$2,INDEX(Month!$I$6:$AR$55,0,MATCH($A21,Month!$I$5:$AR$5,0)),0)),"")</f>
        <v/>
      </c>
      <c r="H21" s="375" t="str">
        <f>IFERROR(INDEX(Month!$B$6:$B$55,MATCH(H$2,INDEX(Month!$I$6:$AR$55,0,MATCH($A21,Month!$I$5:$AR$5,0)),0)),"")</f>
        <v/>
      </c>
      <c r="I21" s="375" t="str">
        <f>IFERROR(INDEX(Month!$B$6:$B$55,MATCH(I$2,INDEX(Month!$I$6:$AR$55,0,MATCH($A21,Month!$I$5:$AR$5,0)),0)),"")</f>
        <v/>
      </c>
      <c r="J21" s="375" t="str">
        <f>IFERROR(INDEX(Month!$B$6:$B$55,MATCH(J$2,INDEX(Month!$I$6:$AR$55,0,MATCH($A21,Month!$I$5:$AR$5,0)),0)),"")</f>
        <v/>
      </c>
      <c r="K21" s="375" t="str">
        <f>IFERROR(INDEX(Month!$B$6:$B$55,MATCH(K$2,INDEX(Month!$I$6:$AR$55,0,MATCH($A21,Month!$I$5:$AR$5,0)),0)),"")</f>
        <v/>
      </c>
      <c r="L21" s="375" t="str">
        <f>IFERROR(INDEX(Month!$B$6:$B$55,MATCH(L$2,INDEX(Month!$I$6:$AR$55,0,MATCH($A21,Month!$I$5:$AR$5,0)),0)),"")</f>
        <v/>
      </c>
    </row>
    <row r="22" spans="1:12" ht="20" customHeight="1" thickBot="1" x14ac:dyDescent="0.25">
      <c r="A22" s="376">
        <f t="shared" si="1"/>
        <v>46137</v>
      </c>
      <c r="B22" s="374" t="str">
        <f t="shared" si="0"/>
        <v>Saturday</v>
      </c>
      <c r="C22" s="375" t="str">
        <f>IFERROR(INDEX(Month!$B$6:$B$55,MATCH(C$2,INDEX(Month!$I$6:$AR$55,0,MATCH($A22,Month!$I$5:$AR$5,0)),0)),"")</f>
        <v/>
      </c>
      <c r="D22" s="375" t="str">
        <f>IFERROR(INDEX(Month!$B$6:$B$55,MATCH(D$2,INDEX(Month!$I$6:$AR$55,0,MATCH($A22,Month!$I$5:$AR$5,0)),0)),"")</f>
        <v/>
      </c>
      <c r="E22" s="375" t="str">
        <f>IFERROR(INDEX(Month!$B$6:$B$55,MATCH(E$2,INDEX(Month!$I$6:$AR$55,0,MATCH($A22,Month!$I$5:$AR$5,0)),0)),"")</f>
        <v/>
      </c>
      <c r="F22" s="375" t="str">
        <f>IFERROR(INDEX(Month!$B$6:$B$55,MATCH(F$2,INDEX(Month!$I$6:$AR$55,0,MATCH($A22,Month!$I$5:$AR$5,0)),0)),"")</f>
        <v/>
      </c>
      <c r="G22" s="375" t="str">
        <f>IFERROR(INDEX(Month!$B$6:$B$55,MATCH(G$2,INDEX(Month!$I$6:$AR$55,0,MATCH($A22,Month!$I$5:$AR$5,0)),0)),"")</f>
        <v/>
      </c>
      <c r="H22" s="375" t="str">
        <f>IFERROR(INDEX(Month!$B$6:$B$55,MATCH(H$2,INDEX(Month!$I$6:$AR$55,0,MATCH($A22,Month!$I$5:$AR$5,0)),0)),"")</f>
        <v/>
      </c>
      <c r="I22" s="375" t="str">
        <f>IFERROR(INDEX(Month!$B$6:$B$55,MATCH(I$2,INDEX(Month!$I$6:$AR$55,0,MATCH($A22,Month!$I$5:$AR$5,0)),0)),"")</f>
        <v/>
      </c>
      <c r="J22" s="375" t="str">
        <f>IFERROR(INDEX(Month!$B$6:$B$55,MATCH(J$2,INDEX(Month!$I$6:$AR$55,0,MATCH($A22,Month!$I$5:$AR$5,0)),0)),"")</f>
        <v/>
      </c>
      <c r="K22" s="375" t="str">
        <f>IFERROR(INDEX(Month!$B$6:$B$55,MATCH(K$2,INDEX(Month!$I$6:$AR$55,0,MATCH($A22,Month!$I$5:$AR$5,0)),0)),"")</f>
        <v/>
      </c>
      <c r="L22" s="375" t="str">
        <f>IFERROR(INDEX(Month!$B$6:$B$55,MATCH(L$2,INDEX(Month!$I$6:$AR$55,0,MATCH($A22,Month!$I$5:$AR$5,0)),0)),"")</f>
        <v/>
      </c>
    </row>
    <row r="23" spans="1:12" ht="20" customHeight="1" thickBot="1" x14ac:dyDescent="0.25">
      <c r="A23" s="376">
        <f t="shared" si="1"/>
        <v>46138</v>
      </c>
      <c r="B23" s="374" t="str">
        <f t="shared" si="0"/>
        <v>Sunday</v>
      </c>
      <c r="C23" s="375" t="str">
        <f>IFERROR(INDEX(Month!$B$6:$B$55,MATCH(C$2,INDEX(Month!$I$6:$AR$55,0,MATCH($A23,Month!$I$5:$AR$5,0)),0)),"")</f>
        <v/>
      </c>
      <c r="D23" s="375" t="str">
        <f>IFERROR(INDEX(Month!$B$6:$B$55,MATCH(D$2,INDEX(Month!$I$6:$AR$55,0,MATCH($A23,Month!$I$5:$AR$5,0)),0)),"")</f>
        <v/>
      </c>
      <c r="E23" s="375" t="str">
        <f>IFERROR(INDEX(Month!$B$6:$B$55,MATCH(E$2,INDEX(Month!$I$6:$AR$55,0,MATCH($A23,Month!$I$5:$AR$5,0)),0)),"")</f>
        <v/>
      </c>
      <c r="F23" s="375" t="str">
        <f>IFERROR(INDEX(Month!$B$6:$B$55,MATCH(F$2,INDEX(Month!$I$6:$AR$55,0,MATCH($A23,Month!$I$5:$AR$5,0)),0)),"")</f>
        <v/>
      </c>
      <c r="G23" s="375" t="str">
        <f>IFERROR(INDEX(Month!$B$6:$B$55,MATCH(G$2,INDEX(Month!$I$6:$AR$55,0,MATCH($A23,Month!$I$5:$AR$5,0)),0)),"")</f>
        <v/>
      </c>
      <c r="H23" s="375" t="str">
        <f>IFERROR(INDEX(Month!$B$6:$B$55,MATCH(H$2,INDEX(Month!$I$6:$AR$55,0,MATCH($A23,Month!$I$5:$AR$5,0)),0)),"")</f>
        <v/>
      </c>
      <c r="I23" s="375" t="str">
        <f>IFERROR(INDEX(Month!$B$6:$B$55,MATCH(I$2,INDEX(Month!$I$6:$AR$55,0,MATCH($A23,Month!$I$5:$AR$5,0)),0)),"")</f>
        <v/>
      </c>
      <c r="J23" s="375" t="str">
        <f>IFERROR(INDEX(Month!$B$6:$B$55,MATCH(J$2,INDEX(Month!$I$6:$AR$55,0,MATCH($A23,Month!$I$5:$AR$5,0)),0)),"")</f>
        <v/>
      </c>
      <c r="K23" s="375" t="str">
        <f>IFERROR(INDEX(Month!$B$6:$B$55,MATCH(K$2,INDEX(Month!$I$6:$AR$55,0,MATCH($A23,Month!$I$5:$AR$5,0)),0)),"")</f>
        <v/>
      </c>
      <c r="L23" s="375" t="str">
        <f>IFERROR(INDEX(Month!$B$6:$B$55,MATCH(L$2,INDEX(Month!$I$6:$AR$55,0,MATCH($A23,Month!$I$5:$AR$5,0)),0)),"")</f>
        <v/>
      </c>
    </row>
    <row r="24" spans="1:12" ht="20" customHeight="1" thickBot="1" x14ac:dyDescent="0.25">
      <c r="A24" s="376">
        <f t="shared" si="1"/>
        <v>46139</v>
      </c>
      <c r="B24" s="374" t="str">
        <f t="shared" si="0"/>
        <v>Monday</v>
      </c>
      <c r="C24" s="375" t="str">
        <f>IFERROR(INDEX(Month!$B$6:$B$55,MATCH(C$2,INDEX(Month!$I$6:$AR$55,0,MATCH($A24,Month!$I$5:$AR$5,0)),0)),"")</f>
        <v/>
      </c>
      <c r="D24" s="375" t="str">
        <f>IFERROR(INDEX(Month!$B$6:$B$55,MATCH(D$2,INDEX(Month!$I$6:$AR$55,0,MATCH($A24,Month!$I$5:$AR$5,0)),0)),"")</f>
        <v/>
      </c>
      <c r="E24" s="375" t="str">
        <f>IFERROR(INDEX(Month!$B$6:$B$55,MATCH(E$2,INDEX(Month!$I$6:$AR$55,0,MATCH($A24,Month!$I$5:$AR$5,0)),0)),"")</f>
        <v/>
      </c>
      <c r="F24" s="375" t="str">
        <f>IFERROR(INDEX(Month!$B$6:$B$55,MATCH(F$2,INDEX(Month!$I$6:$AR$55,0,MATCH($A24,Month!$I$5:$AR$5,0)),0)),"")</f>
        <v/>
      </c>
      <c r="G24" s="375" t="str">
        <f>IFERROR(INDEX(Month!$B$6:$B$55,MATCH(G$2,INDEX(Month!$I$6:$AR$55,0,MATCH($A24,Month!$I$5:$AR$5,0)),0)),"")</f>
        <v/>
      </c>
      <c r="H24" s="375" t="str">
        <f>IFERROR(INDEX(Month!$B$6:$B$55,MATCH(H$2,INDEX(Month!$I$6:$AR$55,0,MATCH($A24,Month!$I$5:$AR$5,0)),0)),"")</f>
        <v/>
      </c>
      <c r="I24" s="375" t="str">
        <f>IFERROR(INDEX(Month!$B$6:$B$55,MATCH(I$2,INDEX(Month!$I$6:$AR$55,0,MATCH($A24,Month!$I$5:$AR$5,0)),0)),"")</f>
        <v/>
      </c>
      <c r="J24" s="375" t="str">
        <f>IFERROR(INDEX(Month!$B$6:$B$55,MATCH(J$2,INDEX(Month!$I$6:$AR$55,0,MATCH($A24,Month!$I$5:$AR$5,0)),0)),"")</f>
        <v/>
      </c>
      <c r="K24" s="375" t="str">
        <f>IFERROR(INDEX(Month!$B$6:$B$55,MATCH(K$2,INDEX(Month!$I$6:$AR$55,0,MATCH($A24,Month!$I$5:$AR$5,0)),0)),"")</f>
        <v/>
      </c>
      <c r="L24" s="375" t="str">
        <f>IFERROR(INDEX(Month!$B$6:$B$55,MATCH(L$2,INDEX(Month!$I$6:$AR$55,0,MATCH($A24,Month!$I$5:$AR$5,0)),0)),"")</f>
        <v/>
      </c>
    </row>
    <row r="25" spans="1:12" ht="20" customHeight="1" thickBot="1" x14ac:dyDescent="0.25">
      <c r="A25" s="376">
        <f t="shared" si="1"/>
        <v>46140</v>
      </c>
      <c r="B25" s="374" t="str">
        <f t="shared" si="0"/>
        <v>Tuesday</v>
      </c>
      <c r="C25" s="375" t="str">
        <f>IFERROR(INDEX(Month!$B$6:$B$55,MATCH(C$2,INDEX(Month!$I$6:$AR$55,0,MATCH($A25,Month!$I$5:$AR$5,0)),0)),"")</f>
        <v/>
      </c>
      <c r="D25" s="375" t="str">
        <f>IFERROR(INDEX(Month!$B$6:$B$55,MATCH(D$2,INDEX(Month!$I$6:$AR$55,0,MATCH($A25,Month!$I$5:$AR$5,0)),0)),"")</f>
        <v/>
      </c>
      <c r="E25" s="375" t="str">
        <f>IFERROR(INDEX(Month!$B$6:$B$55,MATCH(E$2,INDEX(Month!$I$6:$AR$55,0,MATCH($A25,Month!$I$5:$AR$5,0)),0)),"")</f>
        <v/>
      </c>
      <c r="F25" s="375" t="str">
        <f>IFERROR(INDEX(Month!$B$6:$B$55,MATCH(F$2,INDEX(Month!$I$6:$AR$55,0,MATCH($A25,Month!$I$5:$AR$5,0)),0)),"")</f>
        <v/>
      </c>
      <c r="G25" s="375" t="str">
        <f>IFERROR(INDEX(Month!$B$6:$B$55,MATCH(G$2,INDEX(Month!$I$6:$AR$55,0,MATCH($A25,Month!$I$5:$AR$5,0)),0)),"")</f>
        <v/>
      </c>
      <c r="H25" s="375" t="str">
        <f>IFERROR(INDEX(Month!$B$6:$B$55,MATCH(H$2,INDEX(Month!$I$6:$AR$55,0,MATCH($A25,Month!$I$5:$AR$5,0)),0)),"")</f>
        <v/>
      </c>
      <c r="I25" s="375" t="str">
        <f>IFERROR(INDEX(Month!$B$6:$B$55,MATCH(I$2,INDEX(Month!$I$6:$AR$55,0,MATCH($A25,Month!$I$5:$AR$5,0)),0)),"")</f>
        <v/>
      </c>
      <c r="J25" s="375" t="str">
        <f>IFERROR(INDEX(Month!$B$6:$B$55,MATCH(J$2,INDEX(Month!$I$6:$AR$55,0,MATCH($A25,Month!$I$5:$AR$5,0)),0)),"")</f>
        <v/>
      </c>
      <c r="K25" s="375" t="str">
        <f>IFERROR(INDEX(Month!$B$6:$B$55,MATCH(K$2,INDEX(Month!$I$6:$AR$55,0,MATCH($A25,Month!$I$5:$AR$5,0)),0)),"")</f>
        <v/>
      </c>
      <c r="L25" s="375" t="str">
        <f>IFERROR(INDEX(Month!$B$6:$B$55,MATCH(L$2,INDEX(Month!$I$6:$AR$55,0,MATCH($A25,Month!$I$5:$AR$5,0)),0)),"")</f>
        <v/>
      </c>
    </row>
    <row r="26" spans="1:12" ht="20" customHeight="1" thickBot="1" x14ac:dyDescent="0.25">
      <c r="A26" s="376">
        <f t="shared" si="1"/>
        <v>46141</v>
      </c>
      <c r="B26" s="374" t="str">
        <f t="shared" si="0"/>
        <v>Wednesday</v>
      </c>
      <c r="C26" s="375" t="str">
        <f>IFERROR(INDEX(Month!$B$6:$B$55,MATCH(C$2,INDEX(Month!$I$6:$AR$55,0,MATCH($A26,Month!$I$5:$AR$5,0)),0)),"")</f>
        <v/>
      </c>
      <c r="D26" s="375" t="str">
        <f>IFERROR(INDEX(Month!$B$6:$B$55,MATCH(D$2,INDEX(Month!$I$6:$AR$55,0,MATCH($A26,Month!$I$5:$AR$5,0)),0)),"")</f>
        <v/>
      </c>
      <c r="E26" s="375" t="str">
        <f>IFERROR(INDEX(Month!$B$6:$B$55,MATCH(E$2,INDEX(Month!$I$6:$AR$55,0,MATCH($A26,Month!$I$5:$AR$5,0)),0)),"")</f>
        <v/>
      </c>
      <c r="F26" s="375" t="str">
        <f>IFERROR(INDEX(Month!$B$6:$B$55,MATCH(F$2,INDEX(Month!$I$6:$AR$55,0,MATCH($A26,Month!$I$5:$AR$5,0)),0)),"")</f>
        <v/>
      </c>
      <c r="G26" s="375" t="str">
        <f>IFERROR(INDEX(Month!$B$6:$B$55,MATCH(G$2,INDEX(Month!$I$6:$AR$55,0,MATCH($A26,Month!$I$5:$AR$5,0)),0)),"")</f>
        <v/>
      </c>
      <c r="H26" s="375" t="str">
        <f>IFERROR(INDEX(Month!$B$6:$B$55,MATCH(H$2,INDEX(Month!$I$6:$AR$55,0,MATCH($A26,Month!$I$5:$AR$5,0)),0)),"")</f>
        <v/>
      </c>
      <c r="I26" s="375" t="str">
        <f>IFERROR(INDEX(Month!$B$6:$B$55,MATCH(I$2,INDEX(Month!$I$6:$AR$55,0,MATCH($A26,Month!$I$5:$AR$5,0)),0)),"")</f>
        <v/>
      </c>
      <c r="J26" s="375" t="str">
        <f>IFERROR(INDEX(Month!$B$6:$B$55,MATCH(J$2,INDEX(Month!$I$6:$AR$55,0,MATCH($A26,Month!$I$5:$AR$5,0)),0)),"")</f>
        <v/>
      </c>
      <c r="K26" s="375" t="str">
        <f>IFERROR(INDEX(Month!$B$6:$B$55,MATCH(K$2,INDEX(Month!$I$6:$AR$55,0,MATCH($A26,Month!$I$5:$AR$5,0)),0)),"")</f>
        <v/>
      </c>
      <c r="L26" s="375" t="str">
        <f>IFERROR(INDEX(Month!$B$6:$B$55,MATCH(L$2,INDEX(Month!$I$6:$AR$55,0,MATCH($A26,Month!$I$5:$AR$5,0)),0)),"")</f>
        <v/>
      </c>
    </row>
    <row r="27" spans="1:12" ht="20" customHeight="1" thickBot="1" x14ac:dyDescent="0.25">
      <c r="A27" s="376">
        <f t="shared" si="1"/>
        <v>46142</v>
      </c>
      <c r="B27" s="374" t="str">
        <f t="shared" si="0"/>
        <v>Thursday</v>
      </c>
      <c r="C27" s="375" t="str">
        <f>IFERROR(INDEX(Month!$B$6:$B$55,MATCH(C$2,INDEX(Month!$I$6:$AR$55,0,MATCH($A27,Month!$I$5:$AR$5,0)),0)),"")</f>
        <v/>
      </c>
      <c r="D27" s="375" t="str">
        <f>IFERROR(INDEX(Month!$B$6:$B$55,MATCH(D$2,INDEX(Month!$I$6:$AR$55,0,MATCH($A27,Month!$I$5:$AR$5,0)),0)),"")</f>
        <v/>
      </c>
      <c r="E27" s="375" t="str">
        <f>IFERROR(INDEX(Month!$B$6:$B$55,MATCH(E$2,INDEX(Month!$I$6:$AR$55,0,MATCH($A27,Month!$I$5:$AR$5,0)),0)),"")</f>
        <v/>
      </c>
      <c r="F27" s="375" t="str">
        <f>IFERROR(INDEX(Month!$B$6:$B$55,MATCH(F$2,INDEX(Month!$I$6:$AR$55,0,MATCH($A27,Month!$I$5:$AR$5,0)),0)),"")</f>
        <v/>
      </c>
      <c r="G27" s="375" t="str">
        <f>IFERROR(INDEX(Month!$B$6:$B$55,MATCH(G$2,INDEX(Month!$I$6:$AR$55,0,MATCH($A27,Month!$I$5:$AR$5,0)),0)),"")</f>
        <v/>
      </c>
      <c r="H27" s="375" t="str">
        <f>IFERROR(INDEX(Month!$B$6:$B$55,MATCH(H$2,INDEX(Month!$I$6:$AR$55,0,MATCH($A27,Month!$I$5:$AR$5,0)),0)),"")</f>
        <v/>
      </c>
      <c r="I27" s="375" t="str">
        <f>IFERROR(INDEX(Month!$B$6:$B$55,MATCH(I$2,INDEX(Month!$I$6:$AR$55,0,MATCH($A27,Month!$I$5:$AR$5,0)),0)),"")</f>
        <v/>
      </c>
      <c r="J27" s="375" t="str">
        <f>IFERROR(INDEX(Month!$B$6:$B$55,MATCH(J$2,INDEX(Month!$I$6:$AR$55,0,MATCH($A27,Month!$I$5:$AR$5,0)),0)),"")</f>
        <v/>
      </c>
      <c r="K27" s="375" t="str">
        <f>IFERROR(INDEX(Month!$B$6:$B$55,MATCH(K$2,INDEX(Month!$I$6:$AR$55,0,MATCH($A27,Month!$I$5:$AR$5,0)),0)),"")</f>
        <v/>
      </c>
      <c r="L27" s="375" t="str">
        <f>IFERROR(INDEX(Month!$B$6:$B$55,MATCH(L$2,INDEX(Month!$I$6:$AR$55,0,MATCH($A27,Month!$I$5:$AR$5,0)),0)),"")</f>
        <v/>
      </c>
    </row>
    <row r="28" spans="1:12" ht="20" customHeight="1" thickBot="1" x14ac:dyDescent="0.25">
      <c r="A28" s="376">
        <f t="shared" si="1"/>
        <v>46143</v>
      </c>
      <c r="B28" s="374" t="str">
        <f t="shared" si="0"/>
        <v>Friday</v>
      </c>
      <c r="C28" s="375" t="str">
        <f>IFERROR(INDEX(Month!$B$6:$B$55,MATCH(C$2,INDEX(Month!$I$6:$AR$55,0,MATCH($A28,Month!$I$5:$AR$5,0)),0)),"")</f>
        <v/>
      </c>
      <c r="D28" s="375" t="str">
        <f>IFERROR(INDEX(Month!$B$6:$B$55,MATCH(D$2,INDEX(Month!$I$6:$AR$55,0,MATCH($A28,Month!$I$5:$AR$5,0)),0)),"")</f>
        <v/>
      </c>
      <c r="E28" s="375" t="str">
        <f>IFERROR(INDEX(Month!$B$6:$B$55,MATCH(E$2,INDEX(Month!$I$6:$AR$55,0,MATCH($A28,Month!$I$5:$AR$5,0)),0)),"")</f>
        <v/>
      </c>
      <c r="F28" s="375" t="str">
        <f>IFERROR(INDEX(Month!$B$6:$B$55,MATCH(F$2,INDEX(Month!$I$6:$AR$55,0,MATCH($A28,Month!$I$5:$AR$5,0)),0)),"")</f>
        <v/>
      </c>
      <c r="G28" s="375" t="str">
        <f>IFERROR(INDEX(Month!$B$6:$B$55,MATCH(G$2,INDEX(Month!$I$6:$AR$55,0,MATCH($A28,Month!$I$5:$AR$5,0)),0)),"")</f>
        <v/>
      </c>
      <c r="H28" s="375" t="str">
        <f>IFERROR(INDEX(Month!$B$6:$B$55,MATCH(H$2,INDEX(Month!$I$6:$AR$55,0,MATCH($A28,Month!$I$5:$AR$5,0)),0)),"")</f>
        <v/>
      </c>
      <c r="I28" s="375" t="str">
        <f>IFERROR(INDEX(Month!$B$6:$B$55,MATCH(I$2,INDEX(Month!$I$6:$AR$55,0,MATCH($A28,Month!$I$5:$AR$5,0)),0)),"")</f>
        <v/>
      </c>
      <c r="J28" s="375" t="str">
        <f>IFERROR(INDEX(Month!$B$6:$B$55,MATCH(J$2,INDEX(Month!$I$6:$AR$55,0,MATCH($A28,Month!$I$5:$AR$5,0)),0)),"")</f>
        <v/>
      </c>
      <c r="K28" s="375" t="str">
        <f>IFERROR(INDEX(Month!$B$6:$B$55,MATCH(K$2,INDEX(Month!$I$6:$AR$55,0,MATCH($A28,Month!$I$5:$AR$5,0)),0)),"")</f>
        <v/>
      </c>
      <c r="L28" s="375" t="str">
        <f>IFERROR(INDEX(Month!$B$6:$B$55,MATCH(L$2,INDEX(Month!$I$6:$AR$55,0,MATCH($A28,Month!$I$5:$AR$5,0)),0)),"")</f>
        <v/>
      </c>
    </row>
    <row r="29" spans="1:12" ht="20" customHeight="1" thickBot="1" x14ac:dyDescent="0.25">
      <c r="A29" s="376">
        <f t="shared" si="1"/>
        <v>46144</v>
      </c>
      <c r="B29" s="374" t="str">
        <f t="shared" si="0"/>
        <v>Saturday</v>
      </c>
      <c r="C29" s="375" t="str">
        <f>IFERROR(INDEX(Month!$B$6:$B$55,MATCH(C$2,INDEX(Month!$I$6:$AR$55,0,MATCH($A29,Month!$I$5:$AR$5,0)),0)),"")</f>
        <v/>
      </c>
      <c r="D29" s="375" t="str">
        <f>IFERROR(INDEX(Month!$B$6:$B$55,MATCH(D$2,INDEX(Month!$I$6:$AR$55,0,MATCH($A29,Month!$I$5:$AR$5,0)),0)),"")</f>
        <v/>
      </c>
      <c r="E29" s="375" t="str">
        <f>IFERROR(INDEX(Month!$B$6:$B$55,MATCH(E$2,INDEX(Month!$I$6:$AR$55,0,MATCH($A29,Month!$I$5:$AR$5,0)),0)),"")</f>
        <v/>
      </c>
      <c r="F29" s="375" t="str">
        <f>IFERROR(INDEX(Month!$B$6:$B$55,MATCH(F$2,INDEX(Month!$I$6:$AR$55,0,MATCH($A29,Month!$I$5:$AR$5,0)),0)),"")</f>
        <v/>
      </c>
      <c r="G29" s="375" t="str">
        <f>IFERROR(INDEX(Month!$B$6:$B$55,MATCH(G$2,INDEX(Month!$I$6:$AR$55,0,MATCH($A29,Month!$I$5:$AR$5,0)),0)),"")</f>
        <v/>
      </c>
      <c r="H29" s="375" t="str">
        <f>IFERROR(INDEX(Month!$B$6:$B$55,MATCH(H$2,INDEX(Month!$I$6:$AR$55,0,MATCH($A29,Month!$I$5:$AR$5,0)),0)),"")</f>
        <v/>
      </c>
      <c r="I29" s="375" t="str">
        <f>IFERROR(INDEX(Month!$B$6:$B$55,MATCH(I$2,INDEX(Month!$I$6:$AR$55,0,MATCH($A29,Month!$I$5:$AR$5,0)),0)),"")</f>
        <v/>
      </c>
      <c r="J29" s="375" t="str">
        <f>IFERROR(INDEX(Month!$B$6:$B$55,MATCH(J$2,INDEX(Month!$I$6:$AR$55,0,MATCH($A29,Month!$I$5:$AR$5,0)),0)),"")</f>
        <v/>
      </c>
      <c r="K29" s="375" t="str">
        <f>IFERROR(INDEX(Month!$B$6:$B$55,MATCH(K$2,INDEX(Month!$I$6:$AR$55,0,MATCH($A29,Month!$I$5:$AR$5,0)),0)),"")</f>
        <v/>
      </c>
      <c r="L29" s="375" t="str">
        <f>IFERROR(INDEX(Month!$B$6:$B$55,MATCH(L$2,INDEX(Month!$I$6:$AR$55,0,MATCH($A29,Month!$I$5:$AR$5,0)),0)),"")</f>
        <v/>
      </c>
    </row>
    <row r="30" spans="1:12" ht="20" customHeight="1" thickBot="1" x14ac:dyDescent="0.25">
      <c r="A30" s="376">
        <f t="shared" si="1"/>
        <v>46145</v>
      </c>
      <c r="B30" s="374" t="str">
        <f t="shared" si="0"/>
        <v>Sunday</v>
      </c>
      <c r="C30" s="375" t="str">
        <f>IFERROR(INDEX(Month!$B$6:$B$55,MATCH(C$2,INDEX(Month!$I$6:$AR$55,0,MATCH($A30,Month!$I$5:$AR$5,0)),0)),"")</f>
        <v/>
      </c>
      <c r="D30" s="375" t="str">
        <f>IFERROR(INDEX(Month!$B$6:$B$55,MATCH(D$2,INDEX(Month!$I$6:$AR$55,0,MATCH($A30,Month!$I$5:$AR$5,0)),0)),"")</f>
        <v/>
      </c>
      <c r="E30" s="375" t="str">
        <f>IFERROR(INDEX(Month!$B$6:$B$55,MATCH(E$2,INDEX(Month!$I$6:$AR$55,0,MATCH($A30,Month!$I$5:$AR$5,0)),0)),"")</f>
        <v/>
      </c>
      <c r="F30" s="375" t="str">
        <f>IFERROR(INDEX(Month!$B$6:$B$55,MATCH(F$2,INDEX(Month!$I$6:$AR$55,0,MATCH($A30,Month!$I$5:$AR$5,0)),0)),"")</f>
        <v/>
      </c>
      <c r="G30" s="375" t="str">
        <f>IFERROR(INDEX(Month!$B$6:$B$55,MATCH(G$2,INDEX(Month!$I$6:$AR$55,0,MATCH($A30,Month!$I$5:$AR$5,0)),0)),"")</f>
        <v/>
      </c>
      <c r="H30" s="375" t="str">
        <f>IFERROR(INDEX(Month!$B$6:$B$55,MATCH(H$2,INDEX(Month!$I$6:$AR$55,0,MATCH($A30,Month!$I$5:$AR$5,0)),0)),"")</f>
        <v/>
      </c>
      <c r="I30" s="375" t="str">
        <f>IFERROR(INDEX(Month!$B$6:$B$55,MATCH(I$2,INDEX(Month!$I$6:$AR$55,0,MATCH($A30,Month!$I$5:$AR$5,0)),0)),"")</f>
        <v/>
      </c>
      <c r="J30" s="375" t="str">
        <f>IFERROR(INDEX(Month!$B$6:$B$55,MATCH(J$2,INDEX(Month!$I$6:$AR$55,0,MATCH($A30,Month!$I$5:$AR$5,0)),0)),"")</f>
        <v/>
      </c>
      <c r="K30" s="375" t="str">
        <f>IFERROR(INDEX(Month!$B$6:$B$55,MATCH(K$2,INDEX(Month!$I$6:$AR$55,0,MATCH($A30,Month!$I$5:$AR$5,0)),0)),"")</f>
        <v/>
      </c>
      <c r="L30" s="375" t="str">
        <f>IFERROR(INDEX(Month!$B$6:$B$55,MATCH(L$2,INDEX(Month!$I$6:$AR$55,0,MATCH($A30,Month!$I$5:$AR$5,0)),0)),"")</f>
        <v/>
      </c>
    </row>
    <row r="31" spans="1:12" ht="20" customHeight="1" thickBot="1" x14ac:dyDescent="0.25">
      <c r="A31" s="376">
        <f t="shared" si="1"/>
        <v>46146</v>
      </c>
      <c r="B31" s="374" t="str">
        <f t="shared" si="0"/>
        <v>Monday</v>
      </c>
      <c r="C31" s="375" t="str">
        <f>IFERROR(INDEX(Month!$B$6:$B$55,MATCH(C$2,INDEX(Month!$I$6:$AR$55,0,MATCH($A31,Month!$I$5:$AR$5,0)),0)),"")</f>
        <v/>
      </c>
      <c r="D31" s="375" t="str">
        <f>IFERROR(INDEX(Month!$B$6:$B$55,MATCH(D$2,INDEX(Month!$I$6:$AR$55,0,MATCH($A31,Month!$I$5:$AR$5,0)),0)),"")</f>
        <v/>
      </c>
      <c r="E31" s="375" t="str">
        <f>IFERROR(INDEX(Month!$B$6:$B$55,MATCH(E$2,INDEX(Month!$I$6:$AR$55,0,MATCH($A31,Month!$I$5:$AR$5,0)),0)),"")</f>
        <v/>
      </c>
      <c r="F31" s="375" t="str">
        <f>IFERROR(INDEX(Month!$B$6:$B$55,MATCH(F$2,INDEX(Month!$I$6:$AR$55,0,MATCH($A31,Month!$I$5:$AR$5,0)),0)),"")</f>
        <v/>
      </c>
      <c r="G31" s="375" t="str">
        <f>IFERROR(INDEX(Month!$B$6:$B$55,MATCH(G$2,INDEX(Month!$I$6:$AR$55,0,MATCH($A31,Month!$I$5:$AR$5,0)),0)),"")</f>
        <v/>
      </c>
      <c r="H31" s="375" t="str">
        <f>IFERROR(INDEX(Month!$B$6:$B$55,MATCH(H$2,INDEX(Month!$I$6:$AR$55,0,MATCH($A31,Month!$I$5:$AR$5,0)),0)),"")</f>
        <v/>
      </c>
      <c r="I31" s="375" t="str">
        <f>IFERROR(INDEX(Month!$B$6:$B$55,MATCH(I$2,INDEX(Month!$I$6:$AR$55,0,MATCH($A31,Month!$I$5:$AR$5,0)),0)),"")</f>
        <v/>
      </c>
      <c r="J31" s="375" t="str">
        <f>IFERROR(INDEX(Month!$B$6:$B$55,MATCH(J$2,INDEX(Month!$I$6:$AR$55,0,MATCH($A31,Month!$I$5:$AR$5,0)),0)),"")</f>
        <v/>
      </c>
      <c r="K31" s="375" t="str">
        <f>IFERROR(INDEX(Month!$B$6:$B$55,MATCH(K$2,INDEX(Month!$I$6:$AR$55,0,MATCH($A31,Month!$I$5:$AR$5,0)),0)),"")</f>
        <v/>
      </c>
      <c r="L31" s="375" t="str">
        <f>IFERROR(INDEX(Month!$B$6:$B$55,MATCH(L$2,INDEX(Month!$I$6:$AR$55,0,MATCH($A31,Month!$I$5:$AR$5,0)),0)),"")</f>
        <v/>
      </c>
    </row>
    <row r="32" spans="1:12" ht="20" customHeight="1" thickBot="1" x14ac:dyDescent="0.25">
      <c r="A32" s="376">
        <f t="shared" si="1"/>
        <v>46147</v>
      </c>
      <c r="B32" s="374" t="str">
        <f t="shared" si="0"/>
        <v>Tuesday</v>
      </c>
      <c r="C32" s="375" t="str">
        <f>IFERROR(INDEX(Month!$B$6:$B$55,MATCH(C$2,INDEX(Month!$I$6:$AR$55,0,MATCH($A32,Month!$I$5:$AR$5,0)),0)),"")</f>
        <v/>
      </c>
      <c r="D32" s="375" t="str">
        <f>IFERROR(INDEX(Month!$B$6:$B$55,MATCH(D$2,INDEX(Month!$I$6:$AR$55,0,MATCH($A32,Month!$I$5:$AR$5,0)),0)),"")</f>
        <v/>
      </c>
      <c r="E32" s="375" t="str">
        <f>IFERROR(INDEX(Month!$B$6:$B$55,MATCH(E$2,INDEX(Month!$I$6:$AR$55,0,MATCH($A32,Month!$I$5:$AR$5,0)),0)),"")</f>
        <v/>
      </c>
      <c r="F32" s="375" t="str">
        <f>IFERROR(INDEX(Month!$B$6:$B$55,MATCH(F$2,INDEX(Month!$I$6:$AR$55,0,MATCH($A32,Month!$I$5:$AR$5,0)),0)),"")</f>
        <v/>
      </c>
      <c r="G32" s="375" t="str">
        <f>IFERROR(INDEX(Month!$B$6:$B$55,MATCH(G$2,INDEX(Month!$I$6:$AR$55,0,MATCH($A32,Month!$I$5:$AR$5,0)),0)),"")</f>
        <v/>
      </c>
      <c r="H32" s="375" t="str">
        <f>IFERROR(INDEX(Month!$B$6:$B$55,MATCH(H$2,INDEX(Month!$I$6:$AR$55,0,MATCH($A32,Month!$I$5:$AR$5,0)),0)),"")</f>
        <v/>
      </c>
      <c r="I32" s="375" t="str">
        <f>IFERROR(INDEX(Month!$B$6:$B$55,MATCH(I$2,INDEX(Month!$I$6:$AR$55,0,MATCH($A32,Month!$I$5:$AR$5,0)),0)),"")</f>
        <v/>
      </c>
      <c r="J32" s="375" t="str">
        <f>IFERROR(INDEX(Month!$B$6:$B$55,MATCH(J$2,INDEX(Month!$I$6:$AR$55,0,MATCH($A32,Month!$I$5:$AR$5,0)),0)),"")</f>
        <v/>
      </c>
      <c r="K32" s="375" t="str">
        <f>IFERROR(INDEX(Month!$B$6:$B$55,MATCH(K$2,INDEX(Month!$I$6:$AR$55,0,MATCH($A32,Month!$I$5:$AR$5,0)),0)),"")</f>
        <v/>
      </c>
      <c r="L32" s="375" t="str">
        <f>IFERROR(INDEX(Month!$B$6:$B$55,MATCH(L$2,INDEX(Month!$I$6:$AR$55,0,MATCH($A32,Month!$I$5:$AR$5,0)),0)),"")</f>
        <v/>
      </c>
    </row>
    <row r="33" spans="1:12" ht="20" customHeight="1" thickBot="1" x14ac:dyDescent="0.25">
      <c r="A33" s="376">
        <f t="shared" si="1"/>
        <v>46148</v>
      </c>
      <c r="B33" s="374" t="str">
        <f t="shared" si="0"/>
        <v>Wednesday</v>
      </c>
      <c r="C33" s="375" t="str">
        <f>IFERROR(INDEX(Month!$B$6:$B$55,MATCH(C$2,INDEX(Month!$I$6:$AR$55,0,MATCH($A33,Month!$I$5:$AR$5,0)),0)),"")</f>
        <v/>
      </c>
      <c r="D33" s="375" t="str">
        <f>IFERROR(INDEX(Month!$B$6:$B$55,MATCH(D$2,INDEX(Month!$I$6:$AR$55,0,MATCH($A33,Month!$I$5:$AR$5,0)),0)),"")</f>
        <v/>
      </c>
      <c r="E33" s="375" t="str">
        <f>IFERROR(INDEX(Month!$B$6:$B$55,MATCH(E$2,INDEX(Month!$I$6:$AR$55,0,MATCH($A33,Month!$I$5:$AR$5,0)),0)),"")</f>
        <v/>
      </c>
      <c r="F33" s="375" t="str">
        <f>IFERROR(INDEX(Month!$B$6:$B$55,MATCH(F$2,INDEX(Month!$I$6:$AR$55,0,MATCH($A33,Month!$I$5:$AR$5,0)),0)),"")</f>
        <v/>
      </c>
      <c r="G33" s="375" t="str">
        <f>IFERROR(INDEX(Month!$B$6:$B$55,MATCH(G$2,INDEX(Month!$I$6:$AR$55,0,MATCH($A33,Month!$I$5:$AR$5,0)),0)),"")</f>
        <v/>
      </c>
      <c r="H33" s="375" t="str">
        <f>IFERROR(INDEX(Month!$B$6:$B$55,MATCH(H$2,INDEX(Month!$I$6:$AR$55,0,MATCH($A33,Month!$I$5:$AR$5,0)),0)),"")</f>
        <v/>
      </c>
      <c r="I33" s="375" t="str">
        <f>IFERROR(INDEX(Month!$B$6:$B$55,MATCH(I$2,INDEX(Month!$I$6:$AR$55,0,MATCH($A33,Month!$I$5:$AR$5,0)),0)),"")</f>
        <v/>
      </c>
      <c r="J33" s="375" t="str">
        <f>IFERROR(INDEX(Month!$B$6:$B$55,MATCH(J$2,INDEX(Month!$I$6:$AR$55,0,MATCH($A33,Month!$I$5:$AR$5,0)),0)),"")</f>
        <v/>
      </c>
      <c r="K33" s="375" t="str">
        <f>IFERROR(INDEX(Month!$B$6:$B$55,MATCH(K$2,INDEX(Month!$I$6:$AR$55,0,MATCH($A33,Month!$I$5:$AR$5,0)),0)),"")</f>
        <v/>
      </c>
      <c r="L33" s="375" t="str">
        <f>IFERROR(INDEX(Month!$B$6:$B$55,MATCH(L$2,INDEX(Month!$I$6:$AR$55,0,MATCH($A33,Month!$I$5:$AR$5,0)),0)),"")</f>
        <v/>
      </c>
    </row>
    <row r="34" spans="1:12" ht="20" customHeight="1" thickBot="1" x14ac:dyDescent="0.25">
      <c r="A34" s="376">
        <f t="shared" si="1"/>
        <v>46149</v>
      </c>
      <c r="B34" s="374" t="str">
        <f t="shared" si="0"/>
        <v>Thursday</v>
      </c>
      <c r="C34" s="375" t="str">
        <f>IFERROR(INDEX(Month!$B$6:$B$55,MATCH(C$2,INDEX(Month!$I$6:$AR$55,0,MATCH($A34,Month!$I$5:$AR$5,0)),0)),"")</f>
        <v/>
      </c>
      <c r="D34" s="375" t="str">
        <f>IFERROR(INDEX(Month!$B$6:$B$55,MATCH(D$2,INDEX(Month!$I$6:$AR$55,0,MATCH($A34,Month!$I$5:$AR$5,0)),0)),"")</f>
        <v/>
      </c>
      <c r="E34" s="375" t="str">
        <f>IFERROR(INDEX(Month!$B$6:$B$55,MATCH(E$2,INDEX(Month!$I$6:$AR$55,0,MATCH($A34,Month!$I$5:$AR$5,0)),0)),"")</f>
        <v/>
      </c>
      <c r="F34" s="375" t="str">
        <f>IFERROR(INDEX(Month!$B$6:$B$55,MATCH(F$2,INDEX(Month!$I$6:$AR$55,0,MATCH($A34,Month!$I$5:$AR$5,0)),0)),"")</f>
        <v/>
      </c>
      <c r="G34" s="375" t="str">
        <f>IFERROR(INDEX(Month!$B$6:$B$55,MATCH(G$2,INDEX(Month!$I$6:$AR$55,0,MATCH($A34,Month!$I$5:$AR$5,0)),0)),"")</f>
        <v/>
      </c>
      <c r="H34" s="375" t="str">
        <f>IFERROR(INDEX(Month!$B$6:$B$55,MATCH(H$2,INDEX(Month!$I$6:$AR$55,0,MATCH($A34,Month!$I$5:$AR$5,0)),0)),"")</f>
        <v/>
      </c>
      <c r="I34" s="375" t="str">
        <f>IFERROR(INDEX(Month!$B$6:$B$55,MATCH(I$2,INDEX(Month!$I$6:$AR$55,0,MATCH($A34,Month!$I$5:$AR$5,0)),0)),"")</f>
        <v/>
      </c>
      <c r="J34" s="375" t="str">
        <f>IFERROR(INDEX(Month!$B$6:$B$55,MATCH(J$2,INDEX(Month!$I$6:$AR$55,0,MATCH($A34,Month!$I$5:$AR$5,0)),0)),"")</f>
        <v/>
      </c>
      <c r="K34" s="375" t="str">
        <f>IFERROR(INDEX(Month!$B$6:$B$55,MATCH(K$2,INDEX(Month!$I$6:$AR$55,0,MATCH($A34,Month!$I$5:$AR$5,0)),0)),"")</f>
        <v/>
      </c>
      <c r="L34" s="375" t="str">
        <f>IFERROR(INDEX(Month!$B$6:$B$55,MATCH(L$2,INDEX(Month!$I$6:$AR$55,0,MATCH($A34,Month!$I$5:$AR$5,0)),0)),"")</f>
        <v/>
      </c>
    </row>
    <row r="35" spans="1:12" ht="20" customHeight="1" thickBot="1" x14ac:dyDescent="0.25">
      <c r="A35" s="376">
        <f t="shared" si="1"/>
        <v>46150</v>
      </c>
      <c r="B35" s="374" t="str">
        <f t="shared" si="0"/>
        <v>Friday</v>
      </c>
      <c r="C35" s="375" t="str">
        <f>IFERROR(INDEX(Month!$B$6:$B$55,MATCH(C$2,INDEX(Month!$I$6:$AR$55,0,MATCH($A35,Month!$I$5:$AR$5,0)),0)),"")</f>
        <v/>
      </c>
      <c r="D35" s="375" t="str">
        <f>IFERROR(INDEX(Month!$B$6:$B$55,MATCH(D$2,INDEX(Month!$I$6:$AR$55,0,MATCH($A35,Month!$I$5:$AR$5,0)),0)),"")</f>
        <v/>
      </c>
      <c r="E35" s="375" t="str">
        <f>IFERROR(INDEX(Month!$B$6:$B$55,MATCH(E$2,INDEX(Month!$I$6:$AR$55,0,MATCH($A35,Month!$I$5:$AR$5,0)),0)),"")</f>
        <v/>
      </c>
      <c r="F35" s="375" t="str">
        <f>IFERROR(INDEX(Month!$B$6:$B$55,MATCH(F$2,INDEX(Month!$I$6:$AR$55,0,MATCH($A35,Month!$I$5:$AR$5,0)),0)),"")</f>
        <v/>
      </c>
      <c r="G35" s="375" t="str">
        <f>IFERROR(INDEX(Month!$B$6:$B$55,MATCH(G$2,INDEX(Month!$I$6:$AR$55,0,MATCH($A35,Month!$I$5:$AR$5,0)),0)),"")</f>
        <v/>
      </c>
      <c r="H35" s="375" t="str">
        <f>IFERROR(INDEX(Month!$B$6:$B$55,MATCH(H$2,INDEX(Month!$I$6:$AR$55,0,MATCH($A35,Month!$I$5:$AR$5,0)),0)),"")</f>
        <v/>
      </c>
      <c r="I35" s="375" t="str">
        <f>IFERROR(INDEX(Month!$B$6:$B$55,MATCH(I$2,INDEX(Month!$I$6:$AR$55,0,MATCH($A35,Month!$I$5:$AR$5,0)),0)),"")</f>
        <v/>
      </c>
      <c r="J35" s="375" t="str">
        <f>IFERROR(INDEX(Month!$B$6:$B$55,MATCH(J$2,INDEX(Month!$I$6:$AR$55,0,MATCH($A35,Month!$I$5:$AR$5,0)),0)),"")</f>
        <v/>
      </c>
      <c r="K35" s="375" t="str">
        <f>IFERROR(INDEX(Month!$B$6:$B$55,MATCH(K$2,INDEX(Month!$I$6:$AR$55,0,MATCH($A35,Month!$I$5:$AR$5,0)),0)),"")</f>
        <v/>
      </c>
      <c r="L35" s="375" t="str">
        <f>IFERROR(INDEX(Month!$B$6:$B$55,MATCH(L$2,INDEX(Month!$I$6:$AR$55,0,MATCH($A35,Month!$I$5:$AR$5,0)),0)),"")</f>
        <v/>
      </c>
    </row>
    <row r="36" spans="1:12" ht="20" customHeight="1" thickBot="1" x14ac:dyDescent="0.25">
      <c r="A36" s="376">
        <f t="shared" si="1"/>
        <v>46151</v>
      </c>
      <c r="B36" s="374" t="str">
        <f t="shared" si="0"/>
        <v>Saturday</v>
      </c>
      <c r="C36" s="375" t="str">
        <f>IFERROR(INDEX(Month!$B$6:$B$55,MATCH(C$2,INDEX(Month!$I$6:$AR$55,0,MATCH($A36,Month!$I$5:$AR$5,0)),0)),"")</f>
        <v/>
      </c>
      <c r="D36" s="375" t="str">
        <f>IFERROR(INDEX(Month!$B$6:$B$55,MATCH(D$2,INDEX(Month!$I$6:$AR$55,0,MATCH($A36,Month!$I$5:$AR$5,0)),0)),"")</f>
        <v/>
      </c>
      <c r="E36" s="375" t="str">
        <f>IFERROR(INDEX(Month!$B$6:$B$55,MATCH(E$2,INDEX(Month!$I$6:$AR$55,0,MATCH($A36,Month!$I$5:$AR$5,0)),0)),"")</f>
        <v/>
      </c>
      <c r="F36" s="375" t="str">
        <f>IFERROR(INDEX(Month!$B$6:$B$55,MATCH(F$2,INDEX(Month!$I$6:$AR$55,0,MATCH($A36,Month!$I$5:$AR$5,0)),0)),"")</f>
        <v/>
      </c>
      <c r="G36" s="375" t="str">
        <f>IFERROR(INDEX(Month!$B$6:$B$55,MATCH(G$2,INDEX(Month!$I$6:$AR$55,0,MATCH($A36,Month!$I$5:$AR$5,0)),0)),"")</f>
        <v/>
      </c>
      <c r="H36" s="375" t="str">
        <f>IFERROR(INDEX(Month!$B$6:$B$55,MATCH(H$2,INDEX(Month!$I$6:$AR$55,0,MATCH($A36,Month!$I$5:$AR$5,0)),0)),"")</f>
        <v/>
      </c>
      <c r="I36" s="375" t="str">
        <f>IFERROR(INDEX(Month!$B$6:$B$55,MATCH(I$2,INDEX(Month!$I$6:$AR$55,0,MATCH($A36,Month!$I$5:$AR$5,0)),0)),"")</f>
        <v/>
      </c>
      <c r="J36" s="375" t="str">
        <f>IFERROR(INDEX(Month!$B$6:$B$55,MATCH(J$2,INDEX(Month!$I$6:$AR$55,0,MATCH($A36,Month!$I$5:$AR$5,0)),0)),"")</f>
        <v/>
      </c>
      <c r="K36" s="375" t="str">
        <f>IFERROR(INDEX(Month!$B$6:$B$55,MATCH(K$2,INDEX(Month!$I$6:$AR$55,0,MATCH($A36,Month!$I$5:$AR$5,0)),0)),"")</f>
        <v/>
      </c>
      <c r="L36" s="375" t="str">
        <f>IFERROR(INDEX(Month!$B$6:$B$55,MATCH(L$2,INDEX(Month!$I$6:$AR$55,0,MATCH($A36,Month!$I$5:$AR$5,0)),0)),"")</f>
        <v/>
      </c>
    </row>
    <row r="37" spans="1:12" ht="20" customHeight="1" thickBot="1" x14ac:dyDescent="0.25">
      <c r="A37" s="376">
        <f t="shared" si="1"/>
        <v>46152</v>
      </c>
      <c r="B37" s="374" t="str">
        <f t="shared" si="0"/>
        <v>Sunday</v>
      </c>
      <c r="C37" s="375" t="str">
        <f>IFERROR(INDEX(Month!$B$6:$B$55,MATCH(C$2,INDEX(Month!$I$6:$AR$55,0,MATCH($A37,Month!$I$5:$AR$5,0)),0)),"")</f>
        <v/>
      </c>
      <c r="D37" s="375" t="str">
        <f>IFERROR(INDEX(Month!$B$6:$B$55,MATCH(D$2,INDEX(Month!$I$6:$AR$55,0,MATCH($A37,Month!$I$5:$AR$5,0)),0)),"")</f>
        <v/>
      </c>
      <c r="E37" s="375" t="str">
        <f>IFERROR(INDEX(Month!$B$6:$B$55,MATCH(E$2,INDEX(Month!$I$6:$AR$55,0,MATCH($A37,Month!$I$5:$AR$5,0)),0)),"")</f>
        <v/>
      </c>
      <c r="F37" s="375" t="str">
        <f>IFERROR(INDEX(Month!$B$6:$B$55,MATCH(F$2,INDEX(Month!$I$6:$AR$55,0,MATCH($A37,Month!$I$5:$AR$5,0)),0)),"")</f>
        <v/>
      </c>
      <c r="G37" s="375" t="str">
        <f>IFERROR(INDEX(Month!$B$6:$B$55,MATCH(G$2,INDEX(Month!$I$6:$AR$55,0,MATCH($A37,Month!$I$5:$AR$5,0)),0)),"")</f>
        <v/>
      </c>
      <c r="H37" s="375" t="str">
        <f>IFERROR(INDEX(Month!$B$6:$B$55,MATCH(H$2,INDEX(Month!$I$6:$AR$55,0,MATCH($A37,Month!$I$5:$AR$5,0)),0)),"")</f>
        <v/>
      </c>
      <c r="I37" s="375" t="str">
        <f>IFERROR(INDEX(Month!$B$6:$B$55,MATCH(I$2,INDEX(Month!$I$6:$AR$55,0,MATCH($A37,Month!$I$5:$AR$5,0)),0)),"")</f>
        <v/>
      </c>
      <c r="J37" s="375" t="str">
        <f>IFERROR(INDEX(Month!$B$6:$B$55,MATCH(J$2,INDEX(Month!$I$6:$AR$55,0,MATCH($A37,Month!$I$5:$AR$5,0)),0)),"")</f>
        <v/>
      </c>
      <c r="K37" s="375" t="str">
        <f>IFERROR(INDEX(Month!$B$6:$B$55,MATCH(K$2,INDEX(Month!$I$6:$AR$55,0,MATCH($A37,Month!$I$5:$AR$5,0)),0)),"")</f>
        <v/>
      </c>
      <c r="L37" s="375" t="str">
        <f>IFERROR(INDEX(Month!$B$6:$B$55,MATCH(L$2,INDEX(Month!$I$6:$AR$55,0,MATCH($A37,Month!$I$5:$AR$5,0)),0)),"")</f>
        <v/>
      </c>
    </row>
    <row r="38" spans="1:12" ht="20" customHeight="1" thickBot="1" x14ac:dyDescent="0.25">
      <c r="A38" s="376">
        <f t="shared" si="1"/>
        <v>46153</v>
      </c>
      <c r="B38" s="374" t="str">
        <f t="shared" si="0"/>
        <v>Monday</v>
      </c>
      <c r="C38" s="375" t="str">
        <f>IFERROR(INDEX(Month!$B$6:$B$55,MATCH(C$2,INDEX(Month!$I$6:$AR$55,0,MATCH($A38,Month!$I$5:$AR$5,0)),0)),"")</f>
        <v/>
      </c>
      <c r="D38" s="375" t="str">
        <f>IFERROR(INDEX(Month!$B$6:$B$55,MATCH(D$2,INDEX(Month!$I$6:$AR$55,0,MATCH($A38,Month!$I$5:$AR$5,0)),0)),"")</f>
        <v/>
      </c>
      <c r="E38" s="375" t="str">
        <f>IFERROR(INDEX(Month!$B$6:$B$55,MATCH(E$2,INDEX(Month!$I$6:$AR$55,0,MATCH($A38,Month!$I$5:$AR$5,0)),0)),"")</f>
        <v/>
      </c>
      <c r="F38" s="375" t="str">
        <f>IFERROR(INDEX(Month!$B$6:$B$55,MATCH(F$2,INDEX(Month!$I$6:$AR$55,0,MATCH($A38,Month!$I$5:$AR$5,0)),0)),"")</f>
        <v/>
      </c>
      <c r="G38" s="375" t="str">
        <f>IFERROR(INDEX(Month!$B$6:$B$55,MATCH(G$2,INDEX(Month!$I$6:$AR$55,0,MATCH($A38,Month!$I$5:$AR$5,0)),0)),"")</f>
        <v/>
      </c>
      <c r="H38" s="375" t="str">
        <f>IFERROR(INDEX(Month!$B$6:$B$55,MATCH(H$2,INDEX(Month!$I$6:$AR$55,0,MATCH($A38,Month!$I$5:$AR$5,0)),0)),"")</f>
        <v/>
      </c>
      <c r="I38" s="375" t="str">
        <f>IFERROR(INDEX(Month!$B$6:$B$55,MATCH(I$2,INDEX(Month!$I$6:$AR$55,0,MATCH($A38,Month!$I$5:$AR$5,0)),0)),"")</f>
        <v/>
      </c>
      <c r="J38" s="375" t="str">
        <f>IFERROR(INDEX(Month!$B$6:$B$55,MATCH(J$2,INDEX(Month!$I$6:$AR$55,0,MATCH($A38,Month!$I$5:$AR$5,0)),0)),"")</f>
        <v/>
      </c>
      <c r="K38" s="375" t="str">
        <f>IFERROR(INDEX(Month!$B$6:$B$55,MATCH(K$2,INDEX(Month!$I$6:$AR$55,0,MATCH($A38,Month!$I$5:$AR$5,0)),0)),"")</f>
        <v/>
      </c>
      <c r="L38" s="375" t="str">
        <f>IFERROR(INDEX(Month!$B$6:$B$55,MATCH(L$2,INDEX(Month!$I$6:$AR$55,0,MATCH($A38,Month!$I$5:$AR$5,0)),0)),"")</f>
        <v/>
      </c>
    </row>
    <row r="39" spans="1:12" ht="16" thickBot="1" x14ac:dyDescent="0.25">
      <c r="A39" s="376">
        <f t="shared" si="1"/>
        <v>46154</v>
      </c>
      <c r="B39" s="374" t="str">
        <f t="shared" ref="B39:B43" si="2">TEXT(WEEKDAY(A39), "dddd")</f>
        <v>Tuesday</v>
      </c>
      <c r="C39" s="375" t="str">
        <f>IFERROR(INDEX(Month!$B$6:$B$55,MATCH(C$2,INDEX(Month!$I$6:$AR$55,0,MATCH($A39,Month!$I$5:$AR$5,0)),0)),"")</f>
        <v/>
      </c>
      <c r="D39" s="375" t="str">
        <f>IFERROR(INDEX(Month!$B$6:$B$55,MATCH(D$2,INDEX(Month!$I$6:$AR$55,0,MATCH($A39,Month!$I$5:$AR$5,0)),0)),"")</f>
        <v/>
      </c>
      <c r="E39" s="375" t="str">
        <f>IFERROR(INDEX(Month!$B$6:$B$55,MATCH(E$2,INDEX(Month!$I$6:$AR$55,0,MATCH($A39,Month!$I$5:$AR$5,0)),0)),"")</f>
        <v/>
      </c>
      <c r="F39" s="375" t="str">
        <f>IFERROR(INDEX(Month!$B$6:$B$55,MATCH(F$2,INDEX(Month!$I$6:$AR$55,0,MATCH($A39,Month!$I$5:$AR$5,0)),0)),"")</f>
        <v/>
      </c>
      <c r="G39" s="375" t="str">
        <f>IFERROR(INDEX(Month!$B$6:$B$55,MATCH(G$2,INDEX(Month!$I$6:$AR$55,0,MATCH($A39,Month!$I$5:$AR$5,0)),0)),"")</f>
        <v/>
      </c>
      <c r="H39" s="375" t="str">
        <f>IFERROR(INDEX(Month!$B$6:$B$55,MATCH(H$2,INDEX(Month!$I$6:$AR$55,0,MATCH($A39,Month!$I$5:$AR$5,0)),0)),"")</f>
        <v/>
      </c>
      <c r="I39" s="375" t="str">
        <f>IFERROR(INDEX(Month!$B$6:$B$55,MATCH(I$2,INDEX(Month!$I$6:$AR$55,0,MATCH($A39,Month!$I$5:$AR$5,0)),0)),"")</f>
        <v/>
      </c>
      <c r="J39" s="375" t="str">
        <f>IFERROR(INDEX(Month!$B$6:$B$55,MATCH(J$2,INDEX(Month!$I$6:$AR$55,0,MATCH($A39,Month!$I$5:$AR$5,0)),0)),"")</f>
        <v/>
      </c>
      <c r="K39" s="375" t="str">
        <f>IFERROR(INDEX(Month!$B$6:$B$55,MATCH(K$2,INDEX(Month!$I$6:$AR$55,0,MATCH($A39,Month!$I$5:$AR$5,0)),0)),"")</f>
        <v/>
      </c>
      <c r="L39" s="375" t="str">
        <f>IFERROR(INDEX(Month!$B$6:$B$55,MATCH(L$2,INDEX(Month!$I$6:$AR$55,0,MATCH($A39,Month!$I$5:$AR$5,0)),0)),"")</f>
        <v/>
      </c>
    </row>
    <row r="40" spans="1:12" ht="16" thickBot="1" x14ac:dyDescent="0.25">
      <c r="A40" s="376">
        <f t="shared" si="1"/>
        <v>46155</v>
      </c>
      <c r="B40" s="374" t="str">
        <f t="shared" si="2"/>
        <v>Wednesday</v>
      </c>
      <c r="C40" s="375" t="str">
        <f>IFERROR(INDEX(Month!$B$6:$B$55,MATCH(C$2,INDEX(Month!$I$6:$AR$55,0,MATCH($A40,Month!$I$5:$AR$5,0)),0)),"")</f>
        <v/>
      </c>
      <c r="D40" s="375" t="str">
        <f>IFERROR(INDEX(Month!$B$6:$B$55,MATCH(D$2,INDEX(Month!$I$6:$AR$55,0,MATCH($A40,Month!$I$5:$AR$5,0)),0)),"")</f>
        <v/>
      </c>
      <c r="E40" s="375" t="str">
        <f>IFERROR(INDEX(Month!$B$6:$B$55,MATCH(E$2,INDEX(Month!$I$6:$AR$55,0,MATCH($A40,Month!$I$5:$AR$5,0)),0)),"")</f>
        <v/>
      </c>
      <c r="F40" s="375" t="str">
        <f>IFERROR(INDEX(Month!$B$6:$B$55,MATCH(F$2,INDEX(Month!$I$6:$AR$55,0,MATCH($A40,Month!$I$5:$AR$5,0)),0)),"")</f>
        <v/>
      </c>
      <c r="G40" s="375" t="str">
        <f>IFERROR(INDEX(Month!$B$6:$B$55,MATCH(G$2,INDEX(Month!$I$6:$AR$55,0,MATCH($A40,Month!$I$5:$AR$5,0)),0)),"")</f>
        <v/>
      </c>
      <c r="H40" s="375" t="str">
        <f>IFERROR(INDEX(Month!$B$6:$B$55,MATCH(H$2,INDEX(Month!$I$6:$AR$55,0,MATCH($A40,Month!$I$5:$AR$5,0)),0)),"")</f>
        <v/>
      </c>
      <c r="I40" s="375" t="str">
        <f>IFERROR(INDEX(Month!$B$6:$B$55,MATCH(I$2,INDEX(Month!$I$6:$AR$55,0,MATCH($A40,Month!$I$5:$AR$5,0)),0)),"")</f>
        <v/>
      </c>
      <c r="J40" s="375" t="str">
        <f>IFERROR(INDEX(Month!$B$6:$B$55,MATCH(J$2,INDEX(Month!$I$6:$AR$55,0,MATCH($A40,Month!$I$5:$AR$5,0)),0)),"")</f>
        <v/>
      </c>
      <c r="K40" s="375" t="str">
        <f>IFERROR(INDEX(Month!$B$6:$B$55,MATCH(K$2,INDEX(Month!$I$6:$AR$55,0,MATCH($A40,Month!$I$5:$AR$5,0)),0)),"")</f>
        <v/>
      </c>
      <c r="L40" s="375" t="str">
        <f>IFERROR(INDEX(Month!$B$6:$B$55,MATCH(L$2,INDEX(Month!$I$6:$AR$55,0,MATCH($A40,Month!$I$5:$AR$5,0)),0)),"")</f>
        <v/>
      </c>
    </row>
    <row r="41" spans="1:12" ht="16" thickBot="1" x14ac:dyDescent="0.25">
      <c r="A41" s="376">
        <f t="shared" si="1"/>
        <v>46156</v>
      </c>
      <c r="B41" s="374" t="str">
        <f t="shared" si="2"/>
        <v>Thursday</v>
      </c>
      <c r="C41" s="375" t="str">
        <f>IFERROR(INDEX(Month!$B$6:$B$55,MATCH(C$2,INDEX(Month!$I$6:$AR$55,0,MATCH($A41,Month!$I$5:$AR$5,0)),0)),"")</f>
        <v/>
      </c>
      <c r="D41" s="375" t="str">
        <f>IFERROR(INDEX(Month!$B$6:$B$55,MATCH(D$2,INDEX(Month!$I$6:$AR$55,0,MATCH($A41,Month!$I$5:$AR$5,0)),0)),"")</f>
        <v/>
      </c>
      <c r="E41" s="375" t="str">
        <f>IFERROR(INDEX(Month!$B$6:$B$55,MATCH(E$2,INDEX(Month!$I$6:$AR$55,0,MATCH($A41,Month!$I$5:$AR$5,0)),0)),"")</f>
        <v/>
      </c>
      <c r="F41" s="375" t="str">
        <f>IFERROR(INDEX(Month!$B$6:$B$55,MATCH(F$2,INDEX(Month!$I$6:$AR$55,0,MATCH($A41,Month!$I$5:$AR$5,0)),0)),"")</f>
        <v/>
      </c>
      <c r="G41" s="375" t="str">
        <f>IFERROR(INDEX(Month!$B$6:$B$55,MATCH(G$2,INDEX(Month!$I$6:$AR$55,0,MATCH($A41,Month!$I$5:$AR$5,0)),0)),"")</f>
        <v/>
      </c>
      <c r="H41" s="375" t="str">
        <f>IFERROR(INDEX(Month!$B$6:$B$55,MATCH(H$2,INDEX(Month!$I$6:$AR$55,0,MATCH($A41,Month!$I$5:$AR$5,0)),0)),"")</f>
        <v/>
      </c>
      <c r="I41" s="375" t="str">
        <f>IFERROR(INDEX(Month!$B$6:$B$55,MATCH(I$2,INDEX(Month!$I$6:$AR$55,0,MATCH($A41,Month!$I$5:$AR$5,0)),0)),"")</f>
        <v/>
      </c>
      <c r="J41" s="375" t="str">
        <f>IFERROR(INDEX(Month!$B$6:$B$55,MATCH(J$2,INDEX(Month!$I$6:$AR$55,0,MATCH($A41,Month!$I$5:$AR$5,0)),0)),"")</f>
        <v/>
      </c>
      <c r="K41" s="375" t="str">
        <f>IFERROR(INDEX(Month!$B$6:$B$55,MATCH(K$2,INDEX(Month!$I$6:$AR$55,0,MATCH($A41,Month!$I$5:$AR$5,0)),0)),"")</f>
        <v/>
      </c>
      <c r="L41" s="375" t="str">
        <f>IFERROR(INDEX(Month!$B$6:$B$55,MATCH(L$2,INDEX(Month!$I$6:$AR$55,0,MATCH($A41,Month!$I$5:$AR$5,0)),0)),"")</f>
        <v/>
      </c>
    </row>
    <row r="42" spans="1:12" ht="16" thickBot="1" x14ac:dyDescent="0.25">
      <c r="A42" s="376">
        <f t="shared" si="1"/>
        <v>46157</v>
      </c>
      <c r="B42" s="374" t="str">
        <f t="shared" si="2"/>
        <v>Friday</v>
      </c>
      <c r="C42" s="375" t="str">
        <f>IFERROR(INDEX(Month!$B$6:$B$55,MATCH(C$2,INDEX(Month!$I$6:$AR$55,0,MATCH($A42,Month!$I$5:$AR$5,0)),0)),"")</f>
        <v/>
      </c>
      <c r="D42" s="375" t="str">
        <f>IFERROR(INDEX(Month!$B$6:$B$55,MATCH(D$2,INDEX(Month!$I$6:$AR$55,0,MATCH($A42,Month!$I$5:$AR$5,0)),0)),"")</f>
        <v/>
      </c>
      <c r="E42" s="375" t="str">
        <f>IFERROR(INDEX(Month!$B$6:$B$55,MATCH(E$2,INDEX(Month!$I$6:$AR$55,0,MATCH($A42,Month!$I$5:$AR$5,0)),0)),"")</f>
        <v/>
      </c>
      <c r="F42" s="375" t="str">
        <f>IFERROR(INDEX(Month!$B$6:$B$55,MATCH(F$2,INDEX(Month!$I$6:$AR$55,0,MATCH($A42,Month!$I$5:$AR$5,0)),0)),"")</f>
        <v/>
      </c>
      <c r="G42" s="375" t="str">
        <f>IFERROR(INDEX(Month!$B$6:$B$55,MATCH(G$2,INDEX(Month!$I$6:$AR$55,0,MATCH($A42,Month!$I$5:$AR$5,0)),0)),"")</f>
        <v/>
      </c>
      <c r="H42" s="375" t="str">
        <f>IFERROR(INDEX(Month!$B$6:$B$55,MATCH(H$2,INDEX(Month!$I$6:$AR$55,0,MATCH($A42,Month!$I$5:$AR$5,0)),0)),"")</f>
        <v/>
      </c>
      <c r="I42" s="375" t="str">
        <f>IFERROR(INDEX(Month!$B$6:$B$55,MATCH(I$2,INDEX(Month!$I$6:$AR$55,0,MATCH($A42,Month!$I$5:$AR$5,0)),0)),"")</f>
        <v/>
      </c>
      <c r="J42" s="375" t="str">
        <f>IFERROR(INDEX(Month!$B$6:$B$55,MATCH(J$2,INDEX(Month!$I$6:$AR$55,0,MATCH($A42,Month!$I$5:$AR$5,0)),0)),"")</f>
        <v/>
      </c>
      <c r="K42" s="375" t="str">
        <f>IFERROR(INDEX(Month!$B$6:$B$55,MATCH(K$2,INDEX(Month!$I$6:$AR$55,0,MATCH($A42,Month!$I$5:$AR$5,0)),0)),"")</f>
        <v/>
      </c>
      <c r="L42" s="375" t="str">
        <f>IFERROR(INDEX(Month!$B$6:$B$55,MATCH(L$2,INDEX(Month!$I$6:$AR$55,0,MATCH($A42,Month!$I$5:$AR$5,0)),0)),"")</f>
        <v/>
      </c>
    </row>
    <row r="43" spans="1:12" x14ac:dyDescent="0.2">
      <c r="A43" s="376">
        <f t="shared" si="1"/>
        <v>46158</v>
      </c>
      <c r="B43" s="374" t="str">
        <f t="shared" si="2"/>
        <v>Saturday</v>
      </c>
      <c r="C43" s="375" t="str">
        <f>IFERROR(INDEX(Month!$B$6:$B$55,MATCH(C$2,INDEX(Month!$I$6:$AR$55,0,MATCH($A43,Month!$I$5:$AR$5,0)),0)),"")</f>
        <v/>
      </c>
      <c r="D43" s="375" t="str">
        <f>IFERROR(INDEX(Month!$B$6:$B$55,MATCH(D$2,INDEX(Month!$I$6:$AR$55,0,MATCH($A43,Month!$I$5:$AR$5,0)),0)),"")</f>
        <v/>
      </c>
      <c r="E43" s="375" t="str">
        <f>IFERROR(INDEX(Month!$B$6:$B$55,MATCH(E$2,INDEX(Month!$I$6:$AR$55,0,MATCH($A43,Month!$I$5:$AR$5,0)),0)),"")</f>
        <v/>
      </c>
      <c r="F43" s="375" t="str">
        <f>IFERROR(INDEX(Month!$B$6:$B$55,MATCH(F$2,INDEX(Month!$I$6:$AR$55,0,MATCH($A43,Month!$I$5:$AR$5,0)),0)),"")</f>
        <v/>
      </c>
      <c r="G43" s="375" t="str">
        <f>IFERROR(INDEX(Month!$B$6:$B$55,MATCH(G$2,INDEX(Month!$I$6:$AR$55,0,MATCH($A43,Month!$I$5:$AR$5,0)),0)),"")</f>
        <v/>
      </c>
      <c r="H43" s="375" t="str">
        <f>IFERROR(INDEX(Month!$B$6:$B$55,MATCH(H$2,INDEX(Month!$I$6:$AR$55,0,MATCH($A43,Month!$I$5:$AR$5,0)),0)),"")</f>
        <v/>
      </c>
      <c r="I43" s="375" t="str">
        <f>IFERROR(INDEX(Month!$B$6:$B$55,MATCH(I$2,INDEX(Month!$I$6:$AR$55,0,MATCH($A43,Month!$I$5:$AR$5,0)),0)),"")</f>
        <v/>
      </c>
      <c r="J43" s="375" t="str">
        <f>IFERROR(INDEX(Month!$B$6:$B$55,MATCH(J$2,INDEX(Month!$I$6:$AR$55,0,MATCH($A43,Month!$I$5:$AR$5,0)),0)),"")</f>
        <v/>
      </c>
      <c r="K43" s="375" t="str">
        <f>IFERROR(INDEX(Month!$B$6:$B$55,MATCH(K$2,INDEX(Month!$I$6:$AR$55,0,MATCH($A43,Month!$I$5:$AR$5,0)),0)),"")</f>
        <v/>
      </c>
      <c r="L43" s="375" t="str">
        <f>IFERROR(INDEX(Month!$B$6:$B$55,MATCH(L$2,INDEX(Month!$I$6:$AR$55,0,MATCH($A43,Month!$I$5:$AR$5,0)),0)),"")</f>
        <v/>
      </c>
    </row>
  </sheetData>
  <mergeCells count="2">
    <mergeCell ref="A1:B3"/>
    <mergeCell ref="C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FBF8-0520-4707-962A-BFE25BB91F34}">
  <dimension ref="B2:BO78"/>
  <sheetViews>
    <sheetView showGridLines="0" zoomScale="59" zoomScaleNormal="69" workbookViewId="0">
      <pane xSplit="5" ySplit="7" topLeftCell="W9" activePane="bottomRight" state="frozen"/>
      <selection sqref="A1:B3"/>
      <selection pane="topRight" sqref="A1:B3"/>
      <selection pane="bottomLeft" sqref="A1:B3"/>
      <selection pane="bottomRight" activeCell="AF30" sqref="AF30"/>
    </sheetView>
  </sheetViews>
  <sheetFormatPr baseColWidth="10" defaultColWidth="10.83203125" defaultRowHeight="15" x14ac:dyDescent="0.2"/>
  <cols>
    <col min="1" max="1" width="1.83203125" style="1" customWidth="1"/>
    <col min="2" max="2" width="5.1640625" style="1" customWidth="1"/>
    <col min="3" max="3" width="3.83203125" style="3" bestFit="1" customWidth="1"/>
    <col min="4" max="4" width="23.83203125" style="3" bestFit="1" customWidth="1"/>
    <col min="5" max="5" width="16.1640625" style="3" customWidth="1"/>
    <col min="6" max="34" width="10.83203125" style="1"/>
    <col min="35" max="35" width="3.1640625" style="1" customWidth="1"/>
    <col min="36" max="37" width="10.83203125" style="1"/>
    <col min="38" max="38" width="14.1640625" style="1" bestFit="1" customWidth="1"/>
    <col min="39" max="39" width="17" style="1" bestFit="1" customWidth="1"/>
    <col min="40" max="40" width="10.83203125" style="1"/>
    <col min="41" max="41" width="13.5" style="1" bestFit="1" customWidth="1"/>
    <col min="42" max="42" width="11.5" style="1" bestFit="1" customWidth="1"/>
    <col min="43" max="47" width="10.83203125" style="1"/>
    <col min="48" max="48" width="14.1640625" style="1" bestFit="1" customWidth="1"/>
    <col min="49" max="49" width="17" style="1" bestFit="1" customWidth="1"/>
    <col min="50" max="50" width="22.83203125" style="1" bestFit="1" customWidth="1"/>
    <col min="51" max="52" width="10.83203125" style="1"/>
    <col min="53" max="53" width="14.1640625" style="1" bestFit="1" customWidth="1"/>
    <col min="54" max="54" width="17" style="1" bestFit="1" customWidth="1"/>
    <col min="55" max="55" width="22.83203125" style="1" bestFit="1" customWidth="1"/>
    <col min="56" max="16384" width="10.83203125" style="1"/>
  </cols>
  <sheetData>
    <row r="2" spans="2:67" x14ac:dyDescent="0.2">
      <c r="C2" s="1"/>
      <c r="D2" s="1">
        <v>1</v>
      </c>
      <c r="E2" s="1">
        <f>D2+1</f>
        <v>2</v>
      </c>
      <c r="F2" s="1">
        <f t="shared" ref="F2:BC2" si="0">E2+1</f>
        <v>3</v>
      </c>
      <c r="G2" s="1">
        <f t="shared" si="0"/>
        <v>4</v>
      </c>
      <c r="H2" s="1">
        <f t="shared" si="0"/>
        <v>5</v>
      </c>
      <c r="I2" s="1">
        <f t="shared" si="0"/>
        <v>6</v>
      </c>
      <c r="J2" s="1">
        <f t="shared" si="0"/>
        <v>7</v>
      </c>
      <c r="K2" s="1">
        <f t="shared" si="0"/>
        <v>8</v>
      </c>
      <c r="L2" s="1">
        <f t="shared" si="0"/>
        <v>9</v>
      </c>
      <c r="M2" s="1">
        <f t="shared" si="0"/>
        <v>10</v>
      </c>
      <c r="N2" s="1">
        <f t="shared" si="0"/>
        <v>11</v>
      </c>
      <c r="O2" s="1">
        <f t="shared" si="0"/>
        <v>12</v>
      </c>
      <c r="P2" s="1">
        <f t="shared" si="0"/>
        <v>13</v>
      </c>
      <c r="Q2" s="1">
        <f t="shared" si="0"/>
        <v>14</v>
      </c>
      <c r="R2" s="1">
        <f t="shared" si="0"/>
        <v>15</v>
      </c>
      <c r="S2" s="1">
        <f t="shared" si="0"/>
        <v>16</v>
      </c>
      <c r="T2" s="1">
        <f t="shared" si="0"/>
        <v>17</v>
      </c>
      <c r="U2" s="1">
        <f t="shared" si="0"/>
        <v>18</v>
      </c>
      <c r="V2" s="1">
        <f t="shared" si="0"/>
        <v>19</v>
      </c>
      <c r="W2" s="1">
        <f t="shared" si="0"/>
        <v>20</v>
      </c>
      <c r="X2" s="1">
        <f t="shared" si="0"/>
        <v>21</v>
      </c>
      <c r="Y2" s="1">
        <f t="shared" si="0"/>
        <v>22</v>
      </c>
      <c r="Z2" s="1">
        <f t="shared" si="0"/>
        <v>23</v>
      </c>
      <c r="AA2" s="1">
        <f t="shared" si="0"/>
        <v>24</v>
      </c>
      <c r="AB2" s="1">
        <f t="shared" si="0"/>
        <v>25</v>
      </c>
      <c r="AC2" s="1">
        <f t="shared" si="0"/>
        <v>26</v>
      </c>
      <c r="AD2" s="1">
        <f t="shared" si="0"/>
        <v>27</v>
      </c>
      <c r="AE2" s="1">
        <f t="shared" si="0"/>
        <v>28</v>
      </c>
      <c r="AF2" s="1">
        <f t="shared" si="0"/>
        <v>29</v>
      </c>
      <c r="AG2" s="1">
        <f t="shared" si="0"/>
        <v>30</v>
      </c>
      <c r="AH2" s="1">
        <f>AG2+1</f>
        <v>31</v>
      </c>
      <c r="AI2" s="1">
        <f>AH2+1</f>
        <v>32</v>
      </c>
      <c r="AJ2" s="1">
        <f t="shared" si="0"/>
        <v>33</v>
      </c>
      <c r="AK2" s="1">
        <f t="shared" si="0"/>
        <v>34</v>
      </c>
      <c r="AL2" s="1">
        <f t="shared" si="0"/>
        <v>35</v>
      </c>
      <c r="AM2" s="1">
        <f t="shared" si="0"/>
        <v>36</v>
      </c>
      <c r="AN2" s="1">
        <f t="shared" si="0"/>
        <v>37</v>
      </c>
      <c r="AO2" s="1">
        <f t="shared" si="0"/>
        <v>38</v>
      </c>
      <c r="AP2" s="1">
        <f t="shared" si="0"/>
        <v>39</v>
      </c>
      <c r="AQ2" s="1">
        <f t="shared" si="0"/>
        <v>40</v>
      </c>
      <c r="AR2" s="1">
        <f t="shared" si="0"/>
        <v>41</v>
      </c>
      <c r="AS2" s="1">
        <f t="shared" si="0"/>
        <v>42</v>
      </c>
      <c r="AT2" s="1">
        <f t="shared" si="0"/>
        <v>43</v>
      </c>
      <c r="AU2" s="1">
        <f t="shared" si="0"/>
        <v>44</v>
      </c>
      <c r="AV2" s="1">
        <f t="shared" si="0"/>
        <v>45</v>
      </c>
      <c r="AW2" s="1">
        <f t="shared" si="0"/>
        <v>46</v>
      </c>
      <c r="AX2" s="1">
        <f t="shared" si="0"/>
        <v>47</v>
      </c>
      <c r="AY2" s="1">
        <f t="shared" si="0"/>
        <v>48</v>
      </c>
      <c r="AZ2" s="1">
        <f t="shared" si="0"/>
        <v>49</v>
      </c>
      <c r="BA2" s="1">
        <f t="shared" si="0"/>
        <v>50</v>
      </c>
      <c r="BB2" s="1">
        <f t="shared" si="0"/>
        <v>51</v>
      </c>
      <c r="BC2" s="1">
        <f t="shared" si="0"/>
        <v>52</v>
      </c>
    </row>
    <row r="3" spans="2:67" ht="27" thickBot="1" x14ac:dyDescent="0.25">
      <c r="D3" s="332">
        <v>46023</v>
      </c>
      <c r="E3" s="3" t="s">
        <v>159</v>
      </c>
      <c r="F3" s="319" t="s">
        <v>160</v>
      </c>
      <c r="G3" s="319" t="s">
        <v>160</v>
      </c>
      <c r="H3" s="319" t="s">
        <v>160</v>
      </c>
      <c r="I3" s="319" t="s">
        <v>160</v>
      </c>
      <c r="J3" s="319" t="s">
        <v>160</v>
      </c>
      <c r="K3" s="319" t="s">
        <v>160</v>
      </c>
      <c r="L3" s="319" t="s">
        <v>160</v>
      </c>
      <c r="M3" s="319" t="s">
        <v>160</v>
      </c>
      <c r="N3" s="319" t="s">
        <v>160</v>
      </c>
      <c r="O3" s="319" t="s">
        <v>160</v>
      </c>
      <c r="P3" s="319" t="s">
        <v>160</v>
      </c>
      <c r="Q3" s="319" t="s">
        <v>160</v>
      </c>
      <c r="R3" s="319" t="s">
        <v>160</v>
      </c>
      <c r="S3" s="319" t="s">
        <v>160</v>
      </c>
      <c r="T3" s="319" t="s">
        <v>160</v>
      </c>
      <c r="U3" s="319" t="s">
        <v>160</v>
      </c>
      <c r="V3" s="319" t="s">
        <v>160</v>
      </c>
      <c r="W3" s="319" t="s">
        <v>160</v>
      </c>
      <c r="X3" s="319" t="s">
        <v>160</v>
      </c>
      <c r="Y3" s="319" t="s">
        <v>160</v>
      </c>
      <c r="Z3" s="319" t="s">
        <v>160</v>
      </c>
      <c r="AA3" s="319" t="s">
        <v>160</v>
      </c>
      <c r="AB3" s="319" t="s">
        <v>160</v>
      </c>
      <c r="AC3" s="319" t="s">
        <v>160</v>
      </c>
      <c r="AD3" s="319" t="s">
        <v>160</v>
      </c>
      <c r="AE3" s="319" t="s">
        <v>160</v>
      </c>
      <c r="AF3" s="319" t="s">
        <v>160</v>
      </c>
      <c r="AG3" s="319" t="s">
        <v>160</v>
      </c>
      <c r="AH3" s="319" t="s">
        <v>160</v>
      </c>
      <c r="AJ3" s="404" t="s">
        <v>120</v>
      </c>
      <c r="AK3" s="404"/>
      <c r="AL3" s="404"/>
      <c r="AM3" s="404"/>
    </row>
    <row r="4" spans="2:67" ht="16" thickBot="1" x14ac:dyDescent="0.25">
      <c r="F4" s="1" t="s">
        <v>133</v>
      </c>
      <c r="H4" s="1" t="s">
        <v>1</v>
      </c>
      <c r="AJ4" s="405" t="s">
        <v>133</v>
      </c>
      <c r="AK4" s="406"/>
      <c r="AL4" s="406"/>
      <c r="AM4" s="407"/>
      <c r="AN4" s="408" t="s">
        <v>175</v>
      </c>
      <c r="AO4" s="409"/>
      <c r="AP4" s="409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10"/>
    </row>
    <row r="5" spans="2:67" x14ac:dyDescent="0.2">
      <c r="B5" s="1">
        <v>1</v>
      </c>
      <c r="F5" s="320">
        <v>46027</v>
      </c>
      <c r="G5" s="321">
        <f>F5+1</f>
        <v>46028</v>
      </c>
      <c r="H5" s="57">
        <f>G5+1</f>
        <v>46029</v>
      </c>
      <c r="I5" s="58">
        <f>H5+1</f>
        <v>46030</v>
      </c>
      <c r="J5" s="58">
        <f>I5+1</f>
        <v>46031</v>
      </c>
      <c r="K5" s="58">
        <f>J5+1</f>
        <v>46032</v>
      </c>
      <c r="L5" s="58">
        <f t="shared" ref="L5:AG5" si="1">K5+1</f>
        <v>46033</v>
      </c>
      <c r="M5" s="58">
        <f t="shared" si="1"/>
        <v>46034</v>
      </c>
      <c r="N5" s="58">
        <f t="shared" si="1"/>
        <v>46035</v>
      </c>
      <c r="O5" s="58">
        <f t="shared" si="1"/>
        <v>46036</v>
      </c>
      <c r="P5" s="58">
        <f t="shared" si="1"/>
        <v>46037</v>
      </c>
      <c r="Q5" s="58">
        <f t="shared" si="1"/>
        <v>46038</v>
      </c>
      <c r="R5" s="58">
        <f t="shared" si="1"/>
        <v>46039</v>
      </c>
      <c r="S5" s="58">
        <f t="shared" si="1"/>
        <v>46040</v>
      </c>
      <c r="T5" s="58">
        <f t="shared" si="1"/>
        <v>46041</v>
      </c>
      <c r="U5" s="58">
        <f t="shared" si="1"/>
        <v>46042</v>
      </c>
      <c r="V5" s="58">
        <f t="shared" si="1"/>
        <v>46043</v>
      </c>
      <c r="W5" s="58">
        <f t="shared" si="1"/>
        <v>46044</v>
      </c>
      <c r="X5" s="58">
        <f t="shared" si="1"/>
        <v>46045</v>
      </c>
      <c r="Y5" s="58">
        <f t="shared" si="1"/>
        <v>46046</v>
      </c>
      <c r="Z5" s="58">
        <f t="shared" si="1"/>
        <v>46047</v>
      </c>
      <c r="AA5" s="58">
        <f t="shared" si="1"/>
        <v>46048</v>
      </c>
      <c r="AB5" s="58">
        <f t="shared" si="1"/>
        <v>46049</v>
      </c>
      <c r="AC5" s="58">
        <f t="shared" si="1"/>
        <v>46050</v>
      </c>
      <c r="AD5" s="58">
        <f t="shared" si="1"/>
        <v>46051</v>
      </c>
      <c r="AE5" s="58">
        <f t="shared" si="1"/>
        <v>46052</v>
      </c>
      <c r="AF5" s="58">
        <f t="shared" si="1"/>
        <v>46053</v>
      </c>
      <c r="AG5" s="58">
        <f t="shared" si="1"/>
        <v>46054</v>
      </c>
      <c r="AH5" s="58">
        <f>AG5+1</f>
        <v>46055</v>
      </c>
      <c r="AI5" s="5"/>
      <c r="AJ5" s="411" t="s">
        <v>170</v>
      </c>
      <c r="AK5" s="412"/>
      <c r="AL5" s="412"/>
      <c r="AM5" s="413"/>
      <c r="AN5" s="417" t="s">
        <v>176</v>
      </c>
      <c r="AO5" s="418"/>
      <c r="AP5" s="418"/>
      <c r="AQ5" s="418"/>
      <c r="AR5" s="418"/>
      <c r="AS5" s="419"/>
      <c r="AT5" s="417" t="s">
        <v>188</v>
      </c>
      <c r="AU5" s="418"/>
      <c r="AV5" s="418"/>
      <c r="AW5" s="418"/>
      <c r="AX5" s="419"/>
      <c r="AY5" s="417" t="s">
        <v>170</v>
      </c>
      <c r="AZ5" s="418"/>
      <c r="BA5" s="418"/>
      <c r="BB5" s="418"/>
      <c r="BC5" s="419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</row>
    <row r="6" spans="2:67" ht="16" thickBot="1" x14ac:dyDescent="0.25">
      <c r="B6" s="1">
        <f>B5+1</f>
        <v>2</v>
      </c>
      <c r="F6" s="60">
        <f>WEEKDAY(F5,2)</f>
        <v>1</v>
      </c>
      <c r="G6" s="252">
        <f>WEEKDAY(G5,2)</f>
        <v>2</v>
      </c>
      <c r="H6" s="60">
        <f t="shared" ref="H6:AH6" si="2">WEEKDAY(H5,2)</f>
        <v>3</v>
      </c>
      <c r="I6" s="51">
        <f t="shared" si="2"/>
        <v>4</v>
      </c>
      <c r="J6" s="51">
        <f t="shared" si="2"/>
        <v>5</v>
      </c>
      <c r="K6" s="51">
        <f t="shared" si="2"/>
        <v>6</v>
      </c>
      <c r="L6" s="51">
        <f t="shared" si="2"/>
        <v>7</v>
      </c>
      <c r="M6" s="51">
        <f t="shared" si="2"/>
        <v>1</v>
      </c>
      <c r="N6" s="51">
        <f t="shared" si="2"/>
        <v>2</v>
      </c>
      <c r="O6" s="51">
        <f t="shared" si="2"/>
        <v>3</v>
      </c>
      <c r="P6" s="51">
        <f t="shared" si="2"/>
        <v>4</v>
      </c>
      <c r="Q6" s="51">
        <f t="shared" si="2"/>
        <v>5</v>
      </c>
      <c r="R6" s="51">
        <f t="shared" si="2"/>
        <v>6</v>
      </c>
      <c r="S6" s="51">
        <f t="shared" si="2"/>
        <v>7</v>
      </c>
      <c r="T6" s="282">
        <f t="shared" si="2"/>
        <v>1</v>
      </c>
      <c r="U6" s="282">
        <f t="shared" si="2"/>
        <v>2</v>
      </c>
      <c r="V6" s="51">
        <f t="shared" si="2"/>
        <v>3</v>
      </c>
      <c r="W6" s="51">
        <f t="shared" si="2"/>
        <v>4</v>
      </c>
      <c r="X6" s="51">
        <f t="shared" si="2"/>
        <v>5</v>
      </c>
      <c r="Y6" s="51">
        <f t="shared" si="2"/>
        <v>6</v>
      </c>
      <c r="Z6" s="51">
        <f t="shared" si="2"/>
        <v>7</v>
      </c>
      <c r="AA6" s="51">
        <f t="shared" si="2"/>
        <v>1</v>
      </c>
      <c r="AB6" s="51">
        <f t="shared" si="2"/>
        <v>2</v>
      </c>
      <c r="AC6" s="282">
        <f t="shared" si="2"/>
        <v>3</v>
      </c>
      <c r="AD6" s="282">
        <v>4</v>
      </c>
      <c r="AE6" s="282">
        <v>5</v>
      </c>
      <c r="AF6" s="51">
        <f t="shared" si="2"/>
        <v>6</v>
      </c>
      <c r="AG6" s="51">
        <f t="shared" si="2"/>
        <v>7</v>
      </c>
      <c r="AH6" s="51">
        <f t="shared" si="2"/>
        <v>1</v>
      </c>
      <c r="AI6" s="5"/>
      <c r="AJ6" s="414"/>
      <c r="AK6" s="415"/>
      <c r="AL6" s="415"/>
      <c r="AM6" s="416"/>
      <c r="AN6" s="420"/>
      <c r="AO6" s="421"/>
      <c r="AP6" s="421"/>
      <c r="AQ6" s="421"/>
      <c r="AR6" s="421"/>
      <c r="AS6" s="422"/>
      <c r="AT6" s="420"/>
      <c r="AU6" s="421"/>
      <c r="AV6" s="421"/>
      <c r="AW6" s="421"/>
      <c r="AX6" s="422"/>
      <c r="AY6" s="420"/>
      <c r="AZ6" s="421"/>
      <c r="BA6" s="421"/>
      <c r="BB6" s="421"/>
      <c r="BC6" s="422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</row>
    <row r="7" spans="2:67" ht="16" thickBot="1" x14ac:dyDescent="0.25">
      <c r="B7" s="1">
        <f>B6+1</f>
        <v>3</v>
      </c>
      <c r="C7" s="52" t="s">
        <v>158</v>
      </c>
      <c r="D7" s="338" t="s">
        <v>250</v>
      </c>
      <c r="E7" s="83" t="s">
        <v>251</v>
      </c>
      <c r="F7" s="234" t="str">
        <f>VLOOKUP(WEEKDAY(F5,2),Index!$B$2:$C$8,2,0)</f>
        <v>Monday</v>
      </c>
      <c r="G7" s="264" t="str">
        <f>VLOOKUP(WEEKDAY(G5,2),Index!$B$2:$C$8,2,0)</f>
        <v>Tuesday</v>
      </c>
      <c r="H7" s="84" t="str">
        <f>VLOOKUP(WEEKDAY(H5,2),Index!$B$2:$C$8,2,0)</f>
        <v>Wednesday</v>
      </c>
      <c r="I7" s="82" t="str">
        <f>VLOOKUP(WEEKDAY(I5,2),Index!$B$2:$C$8,2,0)</f>
        <v>Thursday</v>
      </c>
      <c r="J7" s="82" t="str">
        <f>VLOOKUP(WEEKDAY(J5,2),Index!$B$2:$C$8,2,0)</f>
        <v>Friday</v>
      </c>
      <c r="K7" s="328" t="str">
        <f>VLOOKUP(WEEKDAY(K5,2),Index!$B$2:$C$8,2,0)</f>
        <v>Saturday</v>
      </c>
      <c r="L7" s="328" t="str">
        <f>VLOOKUP(WEEKDAY(L5,2),Index!$B$2:$C$8,2,0)</f>
        <v>Sunday</v>
      </c>
      <c r="M7" s="326" t="str">
        <f>VLOOKUP(WEEKDAY(M5,2),Index!$B$2:$C$8,2,0)</f>
        <v>Monday</v>
      </c>
      <c r="N7" s="82" t="str">
        <f>VLOOKUP(WEEKDAY(N5,2),Index!$B$2:$C$8,2,0)</f>
        <v>Tuesday</v>
      </c>
      <c r="O7" s="82" t="str">
        <f>VLOOKUP(WEEKDAY(O5,2),Index!$B$2:$C$8,2,0)</f>
        <v>Wednesday</v>
      </c>
      <c r="P7" s="82" t="str">
        <f>VLOOKUP(WEEKDAY(P5,2),Index!$B$2:$C$8,2,0)</f>
        <v>Thursday</v>
      </c>
      <c r="Q7" s="82" t="str">
        <f>VLOOKUP(WEEKDAY(Q5,2),Index!$B$2:$C$8,2,0)</f>
        <v>Friday</v>
      </c>
      <c r="R7" s="328" t="str">
        <f>VLOOKUP(WEEKDAY(R5,2),Index!$B$2:$C$8,2,0)</f>
        <v>Saturday</v>
      </c>
      <c r="S7" s="328" t="str">
        <f>VLOOKUP(WEEKDAY(S5,2),Index!$B$2:$C$8,2,0)</f>
        <v>Sunday</v>
      </c>
      <c r="T7" s="326" t="str">
        <f>VLOOKUP(WEEKDAY(T5,2),Index!$B$2:$C$8,2,0)</f>
        <v>Monday</v>
      </c>
      <c r="U7" s="82" t="str">
        <f>VLOOKUP(WEEKDAY(U5,2),Index!$B$2:$C$8,2,0)</f>
        <v>Tuesday</v>
      </c>
      <c r="V7" s="82" t="str">
        <f>VLOOKUP(WEEKDAY(V5,2),Index!$B$2:$C$8,2,0)</f>
        <v>Wednesday</v>
      </c>
      <c r="W7" s="82" t="str">
        <f>VLOOKUP(WEEKDAY(W5,2),Index!$B$2:$C$8,2,0)</f>
        <v>Thursday</v>
      </c>
      <c r="X7" s="82" t="str">
        <f>VLOOKUP(WEEKDAY(X5,2),Index!$B$2:$C$8,2,0)</f>
        <v>Friday</v>
      </c>
      <c r="Y7" s="328" t="str">
        <f>VLOOKUP(WEEKDAY(Y5,2),Index!$B$2:$C$8,2,0)</f>
        <v>Saturday</v>
      </c>
      <c r="Z7" s="328" t="str">
        <f>VLOOKUP(WEEKDAY(Z5,2),Index!$B$2:$C$8,2,0)</f>
        <v>Sunday</v>
      </c>
      <c r="AA7" s="326" t="str">
        <f>VLOOKUP(WEEKDAY(AA5,2),Index!$B$2:$C$8,2,0)</f>
        <v>Monday</v>
      </c>
      <c r="AB7" s="326" t="str">
        <f>VLOOKUP(WEEKDAY(AB5,2),Index!$B$2:$C$8,2,0)</f>
        <v>Tuesday</v>
      </c>
      <c r="AC7" s="331" t="str">
        <f>VLOOKUP(WEEKDAY(AC5,2),Index!$B$2:$C$8,2,0)</f>
        <v>Wednesday</v>
      </c>
      <c r="AD7" s="331" t="str">
        <f>VLOOKUP(WEEKDAY(AD5,2),Index!$B$2:$C$8,2,0)</f>
        <v>Thursday</v>
      </c>
      <c r="AE7" s="331" t="str">
        <f>VLOOKUP(WEEKDAY(AE5,2),Index!$B$2:$C$8,2,0)</f>
        <v>Friday</v>
      </c>
      <c r="AF7" s="328" t="str">
        <f>VLOOKUP(WEEKDAY(AF5,2),Index!$B$2:$C$8,2,0)</f>
        <v>Saturday</v>
      </c>
      <c r="AG7" s="328" t="str">
        <f>VLOOKUP(WEEKDAY(AG5,2),Index!$B$2:$C$8,2,0)</f>
        <v>Sunday</v>
      </c>
      <c r="AH7" s="326" t="str">
        <f>VLOOKUP(WEEKDAY(AH5,2),Index!$B$2:$C$8,2,0)</f>
        <v>Monday</v>
      </c>
      <c r="AJ7" s="272" t="s">
        <v>171</v>
      </c>
      <c r="AK7" s="273" t="s">
        <v>172</v>
      </c>
      <c r="AL7" s="273" t="s">
        <v>173</v>
      </c>
      <c r="AM7" s="274" t="s">
        <v>174</v>
      </c>
      <c r="AN7" s="80" t="s">
        <v>169</v>
      </c>
      <c r="AO7" s="81" t="s">
        <v>177</v>
      </c>
      <c r="AP7" s="81" t="s">
        <v>178</v>
      </c>
      <c r="AQ7" s="81" t="s">
        <v>168</v>
      </c>
      <c r="AR7" s="82" t="s">
        <v>19</v>
      </c>
      <c r="AS7" s="83" t="s">
        <v>216</v>
      </c>
      <c r="AT7" s="234" t="s">
        <v>171</v>
      </c>
      <c r="AU7" s="235" t="s">
        <v>172</v>
      </c>
      <c r="AV7" s="235" t="s">
        <v>173</v>
      </c>
      <c r="AW7" s="235" t="s">
        <v>174</v>
      </c>
      <c r="AX7" s="236" t="s">
        <v>180</v>
      </c>
      <c r="AY7" s="84" t="s">
        <v>171</v>
      </c>
      <c r="AZ7" s="82" t="s">
        <v>172</v>
      </c>
      <c r="BA7" s="82" t="s">
        <v>173</v>
      </c>
      <c r="BB7" s="82" t="s">
        <v>174</v>
      </c>
      <c r="BC7" s="83" t="s">
        <v>180</v>
      </c>
    </row>
    <row r="8" spans="2:67" ht="16" thickBot="1" x14ac:dyDescent="0.25">
      <c r="B8" s="1">
        <f t="shared" ref="B8" si="3">B7+1</f>
        <v>4</v>
      </c>
      <c r="C8" s="71">
        <v>1</v>
      </c>
      <c r="D8" s="313" t="s">
        <v>222</v>
      </c>
      <c r="E8" s="339">
        <v>31</v>
      </c>
      <c r="F8" s="230" t="str">
        <f>IFERROR(IF(VLOOKUP($D8,'Dec 25'!$D$8:$AQ$43,39,0)=0,"",VLOOKUP($D8,'Dec 25'!$D$8:$AQ$43,39,0)),"")</f>
        <v/>
      </c>
      <c r="G8" s="70" t="str">
        <f>IFERROR(IF(VLOOKUP($D8,'Dec 25'!$D$8:$AQ$43,40,0)=0,"",VLOOKUP($D8,'Dec 25'!$D$8:$AQ$43,40,0)),"")</f>
        <v/>
      </c>
      <c r="H8" s="322"/>
      <c r="I8" s="323"/>
      <c r="J8" s="323"/>
      <c r="K8" s="329"/>
      <c r="L8" s="329"/>
      <c r="M8" s="323"/>
      <c r="N8" s="323" t="s">
        <v>216</v>
      </c>
      <c r="O8" s="323"/>
      <c r="P8" s="323"/>
      <c r="Q8" s="323"/>
      <c r="R8" s="329" t="s">
        <v>30</v>
      </c>
      <c r="S8" s="329"/>
      <c r="T8" s="323"/>
      <c r="U8" s="323"/>
      <c r="V8" s="323"/>
      <c r="W8" s="323"/>
      <c r="X8" s="323"/>
      <c r="Y8" s="329" t="s">
        <v>20</v>
      </c>
      <c r="Z8" s="329"/>
      <c r="AA8" s="323" t="s">
        <v>30</v>
      </c>
      <c r="AB8" s="323"/>
      <c r="AC8" s="323"/>
      <c r="AD8" s="323"/>
      <c r="AE8" s="323" t="s">
        <v>30</v>
      </c>
      <c r="AF8" s="329"/>
      <c r="AG8" s="329"/>
      <c r="AH8" s="344"/>
      <c r="AJ8" s="345">
        <f>IFERROR(VLOOKUP($D8,'Dec 25'!$D$8:$BL$43,57,0),0)</f>
        <v>0</v>
      </c>
      <c r="AK8" s="22">
        <f>IFERROR(VLOOKUP($D8,'Dec 25'!$D$8:$BL$43,58,0),0)</f>
        <v>0</v>
      </c>
      <c r="AL8" s="22">
        <f>IFERROR(VLOOKUP($D8,'Dec 25'!$D$8:$BL$43,59,0),0)</f>
        <v>0</v>
      </c>
      <c r="AM8" s="346">
        <f>IFERROR(VLOOKUP($D8,'Dec 25'!$D$8:$BL$43,60,0),0)</f>
        <v>0</v>
      </c>
      <c r="AN8" s="37">
        <f t="shared" ref="AN8:AN34" si="4">COUNTIFS(H8:AH8,"HO*",$H$6:$AH$6,"&lt;5")</f>
        <v>1</v>
      </c>
      <c r="AO8" s="23">
        <f t="shared" ref="AO8:AO34" si="5">COUNTIFS(H8:AH8,"HO*",$H$6:$AH$6,"5")</f>
        <v>1</v>
      </c>
      <c r="AP8" s="23">
        <f t="shared" ref="AP8:AP34" si="6">COUNTIFS(H8:AH8,"HO*",$H$6:$AH$6,"6")-COUNTIFS(H8:AH8,"HO6",$H$6:$AH$6,"6")</f>
        <v>1</v>
      </c>
      <c r="AQ8" s="23">
        <f t="shared" ref="AQ8:AQ34" si="7">COUNTIFS(H8:AH8,"HO*",$H$6:$AH$6,"7")-COUNTIFS(H8:AH8,"HO6",$H$6:$AH$6,"7")</f>
        <v>0</v>
      </c>
      <c r="AR8" s="23">
        <f t="shared" ref="AR8:AR34" si="8">COUNTIF(H8:AH8,"HO6")</f>
        <v>0</v>
      </c>
      <c r="AS8" s="278">
        <f>COUNTIF(H8:AH8,"SB")</f>
        <v>1</v>
      </c>
      <c r="AT8" s="25">
        <f t="shared" ref="AT8:AT44" si="9">SUM(AN8:AQ8)+AR8*0.5</f>
        <v>3</v>
      </c>
      <c r="AU8" s="18">
        <f t="shared" ref="AU8:AU44" si="10">AN8*1+AO8*1.5+AP8*2.5+AQ8*2+AR8*0.5</f>
        <v>5</v>
      </c>
      <c r="AV8" s="22">
        <f t="shared" ref="AV8:AV34" si="11">COUNTIFS(H8:AH8,"",$H$6:$AH$6,"&gt;5")+COUNTIFS(H8:AH8,"X",$H$6:$AH$6,"&gt;5")</f>
        <v>6</v>
      </c>
      <c r="AW8" s="18">
        <f t="shared" ref="AW8:AW34" si="12">COUNTIF(H8:AH8,"WR*")</f>
        <v>1</v>
      </c>
      <c r="AX8" s="32">
        <f t="shared" ref="AX8:AX44" si="13">AU8/AT8</f>
        <v>1.6666666666666667</v>
      </c>
      <c r="AY8" s="24">
        <f t="shared" ref="AY8:BB44" si="14">AT8+AJ8</f>
        <v>3</v>
      </c>
      <c r="AZ8" s="18">
        <f t="shared" si="14"/>
        <v>5</v>
      </c>
      <c r="BA8" s="18">
        <f t="shared" si="14"/>
        <v>6</v>
      </c>
      <c r="BB8" s="18">
        <f t="shared" si="14"/>
        <v>1</v>
      </c>
      <c r="BC8" s="32">
        <f t="shared" ref="BC8:BC44" si="15">AZ8/AY8</f>
        <v>1.6666666666666667</v>
      </c>
    </row>
    <row r="9" spans="2:67" ht="16" thickBot="1" x14ac:dyDescent="0.25">
      <c r="B9" s="1">
        <f t="shared" ref="B9" si="16">B8+1</f>
        <v>5</v>
      </c>
      <c r="C9" s="71">
        <f t="shared" ref="C9:C21" si="17">C8+1</f>
        <v>2</v>
      </c>
      <c r="D9" s="313" t="s">
        <v>218</v>
      </c>
      <c r="E9" s="339">
        <v>31</v>
      </c>
      <c r="F9" s="230" t="str">
        <f>IFERROR(IF(VLOOKUP($D9,'Dec 25'!$D$8:$AQ$43,39,0)=0,"",VLOOKUP($D9,'Dec 25'!$D$8:$AQ$43,39,0)),"")</f>
        <v/>
      </c>
      <c r="G9" s="70" t="str">
        <f>IFERROR(IF(VLOOKUP($D9,'Dec 25'!$D$8:$AQ$43,40,0)=0,"",VLOOKUP($D9,'Dec 25'!$D$8:$AQ$43,40,0)),"")</f>
        <v/>
      </c>
      <c r="H9" s="322"/>
      <c r="I9" s="323"/>
      <c r="J9" s="323"/>
      <c r="K9" s="329"/>
      <c r="L9" s="329" t="s">
        <v>20</v>
      </c>
      <c r="M9" s="323"/>
      <c r="N9" s="323"/>
      <c r="O9" s="323"/>
      <c r="P9" s="323"/>
      <c r="Q9" s="323"/>
      <c r="R9" s="329"/>
      <c r="S9" s="329" t="s">
        <v>30</v>
      </c>
      <c r="T9" s="323"/>
      <c r="U9" s="323"/>
      <c r="V9" s="323"/>
      <c r="W9" s="323"/>
      <c r="X9" s="323"/>
      <c r="Y9" s="329" t="s">
        <v>216</v>
      </c>
      <c r="Z9" s="329"/>
      <c r="AA9" s="323"/>
      <c r="AB9" s="323"/>
      <c r="AC9" s="323" t="s">
        <v>30</v>
      </c>
      <c r="AD9" s="323"/>
      <c r="AE9" s="324"/>
      <c r="AF9" s="329"/>
      <c r="AG9" s="329" t="s">
        <v>30</v>
      </c>
      <c r="AH9" s="323"/>
      <c r="AJ9" s="345">
        <f>IFERROR(VLOOKUP($D9,'Dec 25'!$D$8:$BL$43,57,0),0)</f>
        <v>0</v>
      </c>
      <c r="AK9" s="22">
        <f>IFERROR(VLOOKUP($D9,'Dec 25'!$D$8:$BL$43,58,0),0)</f>
        <v>0</v>
      </c>
      <c r="AL9" s="22">
        <f>IFERROR(VLOOKUP($D9,'Dec 25'!$D$8:$BL$43,59,0),0)</f>
        <v>0</v>
      </c>
      <c r="AM9" s="346">
        <f>IFERROR(VLOOKUP($D9,'Dec 25'!$D$8:$BL$43,60,0),0)</f>
        <v>0</v>
      </c>
      <c r="AN9" s="37">
        <f t="shared" si="4"/>
        <v>1</v>
      </c>
      <c r="AO9" s="23">
        <f t="shared" si="5"/>
        <v>0</v>
      </c>
      <c r="AP9" s="23">
        <f t="shared" si="6"/>
        <v>0</v>
      </c>
      <c r="AQ9" s="23">
        <f t="shared" si="7"/>
        <v>2</v>
      </c>
      <c r="AR9" s="23">
        <f t="shared" si="8"/>
        <v>0</v>
      </c>
      <c r="AS9" s="278">
        <f t="shared" ref="AS9:AS44" si="18">COUNTIF(H9:AH9,"SB")</f>
        <v>1</v>
      </c>
      <c r="AT9" s="25">
        <f t="shared" si="9"/>
        <v>3</v>
      </c>
      <c r="AU9" s="18">
        <f t="shared" si="10"/>
        <v>5</v>
      </c>
      <c r="AV9" s="22">
        <f t="shared" si="11"/>
        <v>4</v>
      </c>
      <c r="AW9" s="18">
        <f t="shared" si="12"/>
        <v>1</v>
      </c>
      <c r="AX9" s="32">
        <f t="shared" si="13"/>
        <v>1.6666666666666667</v>
      </c>
      <c r="AY9" s="24">
        <f t="shared" si="14"/>
        <v>3</v>
      </c>
      <c r="AZ9" s="18">
        <f t="shared" si="14"/>
        <v>5</v>
      </c>
      <c r="BA9" s="18">
        <f t="shared" si="14"/>
        <v>4</v>
      </c>
      <c r="BB9" s="18">
        <f t="shared" si="14"/>
        <v>1</v>
      </c>
      <c r="BC9" s="32">
        <f t="shared" si="15"/>
        <v>1.6666666666666667</v>
      </c>
    </row>
    <row r="10" spans="2:67" ht="16" thickBot="1" x14ac:dyDescent="0.25">
      <c r="B10" s="1">
        <f t="shared" ref="B10" si="19">B9+1</f>
        <v>6</v>
      </c>
      <c r="C10" s="71">
        <f t="shared" si="17"/>
        <v>3</v>
      </c>
      <c r="D10" s="313" t="s">
        <v>219</v>
      </c>
      <c r="E10" s="339">
        <v>31</v>
      </c>
      <c r="F10" s="230" t="str">
        <f>IFERROR(IF(VLOOKUP($D10,'Dec 25'!$D$8:$AQ$43,39,0)=0,"",VLOOKUP($D10,'Dec 25'!$D$8:$AQ$43,39,0)),"")</f>
        <v/>
      </c>
      <c r="G10" s="70" t="str">
        <f>IFERROR(IF(VLOOKUP($D10,'Dec 25'!$D$8:$AQ$43,40,0)=0,"",VLOOKUP($D10,'Dec 25'!$D$8:$AQ$43,40,0)),"")</f>
        <v/>
      </c>
      <c r="H10" s="322"/>
      <c r="I10" s="323"/>
      <c r="J10" s="323"/>
      <c r="K10" s="329" t="s">
        <v>30</v>
      </c>
      <c r="L10" s="329"/>
      <c r="M10" s="323"/>
      <c r="N10" s="323"/>
      <c r="O10" s="323"/>
      <c r="P10" s="323"/>
      <c r="Q10" s="323"/>
      <c r="R10" s="329"/>
      <c r="S10" s="329"/>
      <c r="T10" s="323"/>
      <c r="U10" s="323"/>
      <c r="V10" s="323"/>
      <c r="W10" s="323" t="s">
        <v>216</v>
      </c>
      <c r="X10" s="323"/>
      <c r="Y10" s="329"/>
      <c r="Z10" s="329" t="s">
        <v>20</v>
      </c>
      <c r="AA10" s="323"/>
      <c r="AB10" s="323" t="s">
        <v>30</v>
      </c>
      <c r="AC10" s="323"/>
      <c r="AD10" s="323"/>
      <c r="AE10" s="323" t="s">
        <v>34</v>
      </c>
      <c r="AF10" s="329"/>
      <c r="AG10" s="337" t="s">
        <v>249</v>
      </c>
      <c r="AH10" s="335" t="s">
        <v>243</v>
      </c>
      <c r="AJ10" s="345">
        <f>IFERROR(VLOOKUP($D10,'Dec 25'!$D$8:$BL$43,57,0),0)</f>
        <v>0</v>
      </c>
      <c r="AK10" s="22">
        <f>IFERROR(VLOOKUP($D10,'Dec 25'!$D$8:$BL$43,58,0),0)</f>
        <v>0</v>
      </c>
      <c r="AL10" s="22">
        <f>IFERROR(VLOOKUP($D10,'Dec 25'!$D$8:$BL$43,59,0),0)</f>
        <v>0</v>
      </c>
      <c r="AM10" s="346">
        <f>IFERROR(VLOOKUP($D10,'Dec 25'!$D$8:$BL$43,60,0),0)</f>
        <v>0</v>
      </c>
      <c r="AN10" s="37">
        <f t="shared" si="4"/>
        <v>1</v>
      </c>
      <c r="AO10" s="23">
        <f t="shared" si="5"/>
        <v>1</v>
      </c>
      <c r="AP10" s="23">
        <f t="shared" si="6"/>
        <v>1</v>
      </c>
      <c r="AQ10" s="23">
        <f t="shared" si="7"/>
        <v>0</v>
      </c>
      <c r="AR10" s="23">
        <f t="shared" si="8"/>
        <v>0</v>
      </c>
      <c r="AS10" s="278">
        <f t="shared" si="18"/>
        <v>1</v>
      </c>
      <c r="AT10" s="25">
        <f t="shared" si="9"/>
        <v>3</v>
      </c>
      <c r="AU10" s="18">
        <f t="shared" si="10"/>
        <v>5</v>
      </c>
      <c r="AV10" s="22">
        <f t="shared" si="11"/>
        <v>5</v>
      </c>
      <c r="AW10" s="18">
        <f t="shared" si="12"/>
        <v>1</v>
      </c>
      <c r="AX10" s="32">
        <f t="shared" si="13"/>
        <v>1.6666666666666667</v>
      </c>
      <c r="AY10" s="24">
        <f t="shared" si="14"/>
        <v>3</v>
      </c>
      <c r="AZ10" s="18">
        <f t="shared" si="14"/>
        <v>5</v>
      </c>
      <c r="BA10" s="18">
        <f t="shared" si="14"/>
        <v>5</v>
      </c>
      <c r="BB10" s="18">
        <f t="shared" si="14"/>
        <v>1</v>
      </c>
      <c r="BC10" s="32">
        <f t="shared" si="15"/>
        <v>1.6666666666666667</v>
      </c>
    </row>
    <row r="11" spans="2:67" ht="16" thickBot="1" x14ac:dyDescent="0.25">
      <c r="B11" s="1">
        <f t="shared" ref="B11" si="20">B10+1</f>
        <v>7</v>
      </c>
      <c r="C11" s="71">
        <f t="shared" si="17"/>
        <v>4</v>
      </c>
      <c r="D11" s="313" t="s">
        <v>202</v>
      </c>
      <c r="E11" s="339">
        <v>55</v>
      </c>
      <c r="F11" s="230" t="str">
        <f>IFERROR(IF(VLOOKUP($D11,'Dec 25'!$D$8:$AQ$43,39,0)=0,"",VLOOKUP($D11,'Dec 25'!$D$8:$AQ$43,39,0)),"")</f>
        <v/>
      </c>
      <c r="G11" s="70" t="str">
        <f>IFERROR(IF(VLOOKUP($D11,'Dec 25'!$D$8:$AQ$43,40,0)=0,"",VLOOKUP($D11,'Dec 25'!$D$8:$AQ$43,40,0)),"")</f>
        <v>HO4</v>
      </c>
      <c r="H11" s="337" t="s">
        <v>249</v>
      </c>
      <c r="I11" s="335" t="s">
        <v>243</v>
      </c>
      <c r="J11" s="333" t="s">
        <v>31</v>
      </c>
      <c r="K11" s="329"/>
      <c r="L11" s="329"/>
      <c r="M11" s="323"/>
      <c r="N11" s="323"/>
      <c r="O11" s="323"/>
      <c r="P11" s="323"/>
      <c r="Q11" s="333" t="s">
        <v>216</v>
      </c>
      <c r="R11" s="329"/>
      <c r="S11" s="329"/>
      <c r="T11" s="323" t="s">
        <v>31</v>
      </c>
      <c r="U11" s="337" t="s">
        <v>249</v>
      </c>
      <c r="V11" s="335" t="s">
        <v>243</v>
      </c>
      <c r="W11" s="323"/>
      <c r="X11" s="323"/>
      <c r="Y11" s="334"/>
      <c r="Z11" s="329" t="s">
        <v>31</v>
      </c>
      <c r="AA11" s="323"/>
      <c r="AB11" s="323"/>
      <c r="AC11" s="323"/>
      <c r="AD11" s="323"/>
      <c r="AE11" s="323"/>
      <c r="AF11" s="334"/>
      <c r="AG11" s="329"/>
      <c r="AH11" s="323" t="s">
        <v>32</v>
      </c>
      <c r="AJ11" s="345">
        <f>IFERROR(VLOOKUP($D11,'Dec 25'!$D$8:$BL$43,57,0),0)</f>
        <v>9.5</v>
      </c>
      <c r="AK11" s="22">
        <f>IFERROR(VLOOKUP($D11,'Dec 25'!$D$8:$BL$43,58,0),0)</f>
        <v>14</v>
      </c>
      <c r="AL11" s="22">
        <f>IFERROR(VLOOKUP($D11,'Dec 25'!$D$8:$BL$43,59,0),0)</f>
        <v>19</v>
      </c>
      <c r="AM11" s="346">
        <f>IFERROR(VLOOKUP($D11,'Dec 25'!$D$8:$BL$43,60,0),0)</f>
        <v>3</v>
      </c>
      <c r="AN11" s="37">
        <f t="shared" si="4"/>
        <v>2</v>
      </c>
      <c r="AO11" s="23">
        <f t="shared" si="5"/>
        <v>1</v>
      </c>
      <c r="AP11" s="23">
        <f t="shared" si="6"/>
        <v>0</v>
      </c>
      <c r="AQ11" s="23">
        <f t="shared" si="7"/>
        <v>1</v>
      </c>
      <c r="AR11" s="23">
        <f t="shared" si="8"/>
        <v>0</v>
      </c>
      <c r="AS11" s="278">
        <f t="shared" si="18"/>
        <v>1</v>
      </c>
      <c r="AT11" s="25">
        <f t="shared" si="9"/>
        <v>4</v>
      </c>
      <c r="AU11" s="18">
        <f t="shared" si="10"/>
        <v>5.5</v>
      </c>
      <c r="AV11" s="22">
        <f t="shared" si="11"/>
        <v>7</v>
      </c>
      <c r="AW11" s="18">
        <f t="shared" si="12"/>
        <v>0</v>
      </c>
      <c r="AX11" s="32">
        <f t="shared" si="13"/>
        <v>1.375</v>
      </c>
      <c r="AY11" s="24">
        <f t="shared" si="14"/>
        <v>13.5</v>
      </c>
      <c r="AZ11" s="18">
        <f t="shared" si="14"/>
        <v>19.5</v>
      </c>
      <c r="BA11" s="18">
        <f t="shared" si="14"/>
        <v>26</v>
      </c>
      <c r="BB11" s="18">
        <f t="shared" si="14"/>
        <v>3</v>
      </c>
      <c r="BC11" s="32">
        <f t="shared" si="15"/>
        <v>1.4444444444444444</v>
      </c>
    </row>
    <row r="12" spans="2:67" ht="16" thickBot="1" x14ac:dyDescent="0.25">
      <c r="B12" s="1">
        <f t="shared" ref="B12" si="21">B11+1</f>
        <v>8</v>
      </c>
      <c r="C12" s="71">
        <f t="shared" si="17"/>
        <v>5</v>
      </c>
      <c r="D12" s="313" t="s">
        <v>220</v>
      </c>
      <c r="E12" s="339">
        <v>55</v>
      </c>
      <c r="F12" s="230" t="str">
        <f>IFERROR(IF(VLOOKUP($D12,'Dec 25'!$D$8:$AQ$43,39,0)=0,"",VLOOKUP($D12,'Dec 25'!$D$8:$AQ$43,39,0)),"")</f>
        <v/>
      </c>
      <c r="G12" s="70" t="str">
        <f>IFERROR(IF(VLOOKUP($D12,'Dec 25'!$D$8:$AQ$43,40,0)=0,"",VLOOKUP($D12,'Dec 25'!$D$8:$AQ$43,40,0)),"")</f>
        <v/>
      </c>
      <c r="H12" s="322"/>
      <c r="I12" s="323"/>
      <c r="J12" s="323"/>
      <c r="K12" s="329"/>
      <c r="L12" s="329" t="s">
        <v>21</v>
      </c>
      <c r="M12" s="323" t="s">
        <v>31</v>
      </c>
      <c r="N12" s="323"/>
      <c r="O12" s="323"/>
      <c r="P12" s="323"/>
      <c r="Q12" s="323"/>
      <c r="R12" s="329"/>
      <c r="S12" s="329" t="s">
        <v>19</v>
      </c>
      <c r="T12" s="323"/>
      <c r="U12" s="323"/>
      <c r="V12" s="323"/>
      <c r="W12" s="323"/>
      <c r="X12" s="323"/>
      <c r="Y12" s="329" t="s">
        <v>31</v>
      </c>
      <c r="Z12" s="329"/>
      <c r="AA12" s="323"/>
      <c r="AB12" s="323"/>
      <c r="AC12" s="323"/>
      <c r="AD12" s="323"/>
      <c r="AE12" s="323" t="s">
        <v>216</v>
      </c>
      <c r="AF12" s="329"/>
      <c r="AG12" s="329"/>
      <c r="AH12" s="323" t="s">
        <v>30</v>
      </c>
      <c r="AJ12" s="345">
        <f>IFERROR(VLOOKUP($D12,'Dec 25'!$D$8:$BL$43,57,0),0)</f>
        <v>0</v>
      </c>
      <c r="AK12" s="22">
        <f>IFERROR(VLOOKUP($D12,'Dec 25'!$D$8:$BL$43,58,0),0)</f>
        <v>0</v>
      </c>
      <c r="AL12" s="22">
        <f>IFERROR(VLOOKUP($D12,'Dec 25'!$D$8:$BL$43,59,0),0)</f>
        <v>0</v>
      </c>
      <c r="AM12" s="346">
        <f>IFERROR(VLOOKUP($D12,'Dec 25'!$D$8:$BL$43,60,0),0)</f>
        <v>0</v>
      </c>
      <c r="AN12" s="37">
        <f t="shared" si="4"/>
        <v>2</v>
      </c>
      <c r="AO12" s="23">
        <f t="shared" si="5"/>
        <v>0</v>
      </c>
      <c r="AP12" s="23">
        <f t="shared" si="6"/>
        <v>1</v>
      </c>
      <c r="AQ12" s="23">
        <f t="shared" si="7"/>
        <v>0</v>
      </c>
      <c r="AR12" s="23">
        <f t="shared" si="8"/>
        <v>1</v>
      </c>
      <c r="AS12" s="278">
        <f t="shared" si="18"/>
        <v>1</v>
      </c>
      <c r="AT12" s="25">
        <f t="shared" si="9"/>
        <v>3.5</v>
      </c>
      <c r="AU12" s="18">
        <f t="shared" si="10"/>
        <v>5</v>
      </c>
      <c r="AV12" s="22">
        <f t="shared" si="11"/>
        <v>5</v>
      </c>
      <c r="AW12" s="18">
        <f t="shared" si="12"/>
        <v>1</v>
      </c>
      <c r="AX12" s="32">
        <f t="shared" si="13"/>
        <v>1.4285714285714286</v>
      </c>
      <c r="AY12" s="24">
        <f t="shared" si="14"/>
        <v>3.5</v>
      </c>
      <c r="AZ12" s="18">
        <f t="shared" si="14"/>
        <v>5</v>
      </c>
      <c r="BA12" s="18">
        <f t="shared" si="14"/>
        <v>5</v>
      </c>
      <c r="BB12" s="18">
        <f t="shared" si="14"/>
        <v>1</v>
      </c>
      <c r="BC12" s="32">
        <f t="shared" si="15"/>
        <v>1.4285714285714286</v>
      </c>
    </row>
    <row r="13" spans="2:67" ht="16" thickBot="1" x14ac:dyDescent="0.25">
      <c r="B13" s="1">
        <f t="shared" ref="B13" si="22">B12+1</f>
        <v>9</v>
      </c>
      <c r="C13" s="71">
        <f t="shared" si="17"/>
        <v>6</v>
      </c>
      <c r="D13" s="313" t="s">
        <v>221</v>
      </c>
      <c r="E13" s="339">
        <v>51</v>
      </c>
      <c r="F13" s="230" t="str">
        <f>IFERROR(IF(VLOOKUP($D13,'Dec 25'!$D$8:$AQ$43,39,0)=0,"",VLOOKUP($D13,'Dec 25'!$D$8:$AQ$43,39,0)),"")</f>
        <v/>
      </c>
      <c r="G13" s="70" t="str">
        <f>IFERROR(IF(VLOOKUP($D13,'Dec 25'!$D$8:$AQ$43,40,0)=0,"",VLOOKUP($D13,'Dec 25'!$D$8:$AQ$43,40,0)),"")</f>
        <v/>
      </c>
      <c r="H13" s="322"/>
      <c r="I13" s="323"/>
      <c r="J13" s="323"/>
      <c r="K13" s="334"/>
      <c r="L13" s="329" t="s">
        <v>30</v>
      </c>
      <c r="N13" s="323"/>
      <c r="O13" s="323"/>
      <c r="P13" s="323"/>
      <c r="Q13" s="323"/>
      <c r="R13" s="334"/>
      <c r="S13" s="329" t="s">
        <v>20</v>
      </c>
      <c r="T13" s="323"/>
      <c r="U13" s="323" t="s">
        <v>30</v>
      </c>
      <c r="V13" s="323"/>
      <c r="W13" s="333"/>
      <c r="X13" s="323" t="s">
        <v>30</v>
      </c>
      <c r="Y13" s="329"/>
      <c r="Z13" s="329"/>
      <c r="AA13" s="323"/>
      <c r="AB13" s="323"/>
      <c r="AC13" s="323"/>
      <c r="AD13" s="333" t="s">
        <v>29</v>
      </c>
      <c r="AE13" s="323"/>
      <c r="AF13" s="329"/>
      <c r="AG13" s="329" t="s">
        <v>216</v>
      </c>
      <c r="AH13" s="323"/>
      <c r="AJ13" s="345">
        <f>IFERROR(VLOOKUP($D13,'Dec 25'!$D$8:$BL$43,57,0),0)</f>
        <v>0</v>
      </c>
      <c r="AK13" s="22">
        <f>IFERROR(VLOOKUP($D13,'Dec 25'!$D$8:$BL$43,58,0),0)</f>
        <v>0</v>
      </c>
      <c r="AL13" s="22">
        <f>IFERROR(VLOOKUP($D13,'Dec 25'!$D$8:$BL$43,59,0),0)</f>
        <v>0</v>
      </c>
      <c r="AM13" s="346">
        <f>IFERROR(VLOOKUP($D13,'Dec 25'!$D$8:$BL$43,60,0),0)</f>
        <v>0</v>
      </c>
      <c r="AN13" s="37">
        <f t="shared" si="4"/>
        <v>2</v>
      </c>
      <c r="AO13" s="23">
        <f t="shared" si="5"/>
        <v>1</v>
      </c>
      <c r="AP13" s="23">
        <f t="shared" si="6"/>
        <v>0</v>
      </c>
      <c r="AQ13" s="23">
        <f t="shared" si="7"/>
        <v>1</v>
      </c>
      <c r="AR13" s="23">
        <f t="shared" si="8"/>
        <v>0</v>
      </c>
      <c r="AS13" s="278">
        <f t="shared" si="18"/>
        <v>1</v>
      </c>
      <c r="AT13" s="25">
        <f t="shared" si="9"/>
        <v>4</v>
      </c>
      <c r="AU13" s="18">
        <f t="shared" si="10"/>
        <v>5.5</v>
      </c>
      <c r="AV13" s="22">
        <f t="shared" si="11"/>
        <v>5</v>
      </c>
      <c r="AW13" s="18">
        <f t="shared" si="12"/>
        <v>1</v>
      </c>
      <c r="AX13" s="32">
        <f t="shared" si="13"/>
        <v>1.375</v>
      </c>
      <c r="AY13" s="24">
        <f t="shared" si="14"/>
        <v>4</v>
      </c>
      <c r="AZ13" s="18">
        <f t="shared" si="14"/>
        <v>5.5</v>
      </c>
      <c r="BA13" s="18">
        <f t="shared" si="14"/>
        <v>5</v>
      </c>
      <c r="BB13" s="18">
        <f t="shared" si="14"/>
        <v>1</v>
      </c>
      <c r="BC13" s="32">
        <f t="shared" si="15"/>
        <v>1.375</v>
      </c>
    </row>
    <row r="14" spans="2:67" ht="16" thickBot="1" x14ac:dyDescent="0.25">
      <c r="B14" s="1">
        <f t="shared" ref="B14" si="23">B13+1</f>
        <v>10</v>
      </c>
      <c r="C14" s="71">
        <f t="shared" si="17"/>
        <v>7</v>
      </c>
      <c r="D14" s="313" t="s">
        <v>195</v>
      </c>
      <c r="E14" s="339">
        <v>51</v>
      </c>
      <c r="F14" s="230" t="str">
        <f>IFERROR(IF(VLOOKUP($D14,'Dec 25'!$D$8:$AQ$43,39,0)=0,"",VLOOKUP($D14,'Dec 25'!$D$8:$AQ$43,39,0)),"")</f>
        <v/>
      </c>
      <c r="G14" s="70" t="str">
        <f>IFERROR(IF(VLOOKUP($D14,'Dec 25'!$D$8:$AQ$43,40,0)=0,"",VLOOKUP($D14,'Dec 25'!$D$8:$AQ$43,40,0)),"")</f>
        <v/>
      </c>
      <c r="H14" s="322" t="s">
        <v>30</v>
      </c>
      <c r="I14" s="323"/>
      <c r="J14" s="323"/>
      <c r="K14" s="329" t="s">
        <v>20</v>
      </c>
      <c r="L14" s="329"/>
      <c r="M14" s="323" t="s">
        <v>30</v>
      </c>
      <c r="N14" s="323"/>
      <c r="P14" s="323" t="s">
        <v>29</v>
      </c>
      <c r="Q14" s="323"/>
      <c r="R14" s="329"/>
      <c r="S14" s="333"/>
      <c r="T14" s="323"/>
      <c r="U14" s="323"/>
      <c r="V14" s="333" t="s">
        <v>30</v>
      </c>
      <c r="W14" s="337" t="s">
        <v>249</v>
      </c>
      <c r="X14" s="335" t="s">
        <v>243</v>
      </c>
      <c r="Y14" s="335" t="s">
        <v>243</v>
      </c>
      <c r="Z14" s="335" t="s">
        <v>243</v>
      </c>
      <c r="AA14" s="335" t="s">
        <v>243</v>
      </c>
      <c r="AB14" s="335" t="s">
        <v>243</v>
      </c>
      <c r="AC14" s="335" t="s">
        <v>243</v>
      </c>
      <c r="AD14" s="335" t="s">
        <v>243</v>
      </c>
      <c r="AE14" s="335" t="s">
        <v>243</v>
      </c>
      <c r="AF14" s="335" t="s">
        <v>243</v>
      </c>
      <c r="AG14" s="335" t="s">
        <v>243</v>
      </c>
      <c r="AH14" s="335" t="s">
        <v>243</v>
      </c>
      <c r="AJ14" s="345">
        <f>IFERROR(VLOOKUP($D14,'Dec 25'!$D$8:$BL$43,57,0),0)</f>
        <v>15.5</v>
      </c>
      <c r="AK14" s="22">
        <f>IFERROR(VLOOKUP($D14,'Dec 25'!$D$8:$BL$43,58,0),0)</f>
        <v>23</v>
      </c>
      <c r="AL14" s="22">
        <f>IFERROR(VLOOKUP($D14,'Dec 25'!$D$8:$BL$43,59,0),0)</f>
        <v>20</v>
      </c>
      <c r="AM14" s="346">
        <f>IFERROR(VLOOKUP($D14,'Dec 25'!$D$8:$BL$43,60,0),0)</f>
        <v>3</v>
      </c>
      <c r="AN14" s="37">
        <f t="shared" si="4"/>
        <v>4</v>
      </c>
      <c r="AO14" s="23">
        <f t="shared" si="5"/>
        <v>0</v>
      </c>
      <c r="AP14" s="23">
        <f t="shared" si="6"/>
        <v>0</v>
      </c>
      <c r="AQ14" s="23">
        <f t="shared" si="7"/>
        <v>0</v>
      </c>
      <c r="AR14" s="23">
        <f t="shared" si="8"/>
        <v>0</v>
      </c>
      <c r="AS14" s="278">
        <f t="shared" si="18"/>
        <v>0</v>
      </c>
      <c r="AT14" s="25">
        <f t="shared" si="9"/>
        <v>4</v>
      </c>
      <c r="AU14" s="18">
        <f t="shared" si="10"/>
        <v>4</v>
      </c>
      <c r="AV14" s="22">
        <f t="shared" si="11"/>
        <v>3</v>
      </c>
      <c r="AW14" s="18">
        <f t="shared" si="12"/>
        <v>1</v>
      </c>
      <c r="AX14" s="32">
        <f t="shared" si="13"/>
        <v>1</v>
      </c>
      <c r="AY14" s="24">
        <f t="shared" si="14"/>
        <v>19.5</v>
      </c>
      <c r="AZ14" s="18">
        <f t="shared" si="14"/>
        <v>27</v>
      </c>
      <c r="BA14" s="18">
        <f t="shared" si="14"/>
        <v>23</v>
      </c>
      <c r="BB14" s="18">
        <f t="shared" si="14"/>
        <v>4</v>
      </c>
      <c r="BC14" s="32">
        <f t="shared" si="15"/>
        <v>1.3846153846153846</v>
      </c>
    </row>
    <row r="15" spans="2:67" ht="16" thickBot="1" x14ac:dyDescent="0.25">
      <c r="B15" s="1">
        <f t="shared" ref="B15" si="24">B14+1</f>
        <v>11</v>
      </c>
      <c r="C15" s="71">
        <f t="shared" si="17"/>
        <v>8</v>
      </c>
      <c r="D15" s="315" t="s">
        <v>206</v>
      </c>
      <c r="E15" s="340">
        <v>46</v>
      </c>
      <c r="F15" s="230" t="str">
        <f>IFERROR(IF(VLOOKUP($D15,'Dec 25'!$D$8:$AQ$43,39,0)=0,"",VLOOKUP($D15,'Dec 25'!$D$8:$AQ$43,39,0)),"")</f>
        <v/>
      </c>
      <c r="G15" s="70" t="str">
        <f>IFERROR(IF(VLOOKUP($D15,'Dec 25'!$D$8:$AQ$43,40,0)=0,"",VLOOKUP($D15,'Dec 25'!$D$8:$AQ$43,40,0)),"")</f>
        <v/>
      </c>
      <c r="H15" s="322"/>
      <c r="I15" s="333" t="s">
        <v>31</v>
      </c>
      <c r="J15" s="337" t="s">
        <v>249</v>
      </c>
      <c r="K15" s="335" t="s">
        <v>243</v>
      </c>
      <c r="L15" s="335" t="s">
        <v>243</v>
      </c>
      <c r="M15" s="335" t="s">
        <v>243</v>
      </c>
      <c r="N15" s="335" t="s">
        <v>243</v>
      </c>
      <c r="O15" s="335" t="s">
        <v>243</v>
      </c>
      <c r="P15" s="335" t="s">
        <v>243</v>
      </c>
      <c r="Q15" s="335" t="s">
        <v>243</v>
      </c>
      <c r="R15" s="334"/>
      <c r="S15" s="329" t="s">
        <v>216</v>
      </c>
      <c r="T15" s="323"/>
      <c r="U15" s="323"/>
      <c r="V15" s="323"/>
      <c r="W15" s="333" t="s">
        <v>29</v>
      </c>
      <c r="X15" s="323"/>
      <c r="Y15" s="334"/>
      <c r="Z15" s="329"/>
      <c r="AA15" s="323"/>
      <c r="AB15" s="323" t="s">
        <v>32</v>
      </c>
      <c r="AC15" s="323"/>
      <c r="AD15" s="323"/>
      <c r="AE15" s="323"/>
      <c r="AF15" s="329" t="s">
        <v>34</v>
      </c>
      <c r="AG15" s="329"/>
      <c r="AH15" s="323"/>
      <c r="AJ15" s="345">
        <f>IFERROR(VLOOKUP($D15,'Dec 25'!$D$8:$BL$43,57,0),0)</f>
        <v>9.5</v>
      </c>
      <c r="AK15" s="22">
        <f>IFERROR(VLOOKUP($D15,'Dec 25'!$D$8:$BL$43,58,0),0)</f>
        <v>14</v>
      </c>
      <c r="AL15" s="22">
        <f>IFERROR(VLOOKUP($D15,'Dec 25'!$D$8:$BL$43,59,0),0)</f>
        <v>20</v>
      </c>
      <c r="AM15" s="346">
        <f>IFERROR(VLOOKUP($D15,'Dec 25'!$D$8:$BL$43,60,0),0)</f>
        <v>3</v>
      </c>
      <c r="AN15" s="37">
        <f t="shared" si="4"/>
        <v>3</v>
      </c>
      <c r="AO15" s="23">
        <f t="shared" si="5"/>
        <v>0</v>
      </c>
      <c r="AP15" s="23">
        <f t="shared" si="6"/>
        <v>1</v>
      </c>
      <c r="AQ15" s="23">
        <f t="shared" si="7"/>
        <v>0</v>
      </c>
      <c r="AR15" s="23">
        <f t="shared" si="8"/>
        <v>0</v>
      </c>
      <c r="AS15" s="278">
        <f t="shared" si="18"/>
        <v>1</v>
      </c>
      <c r="AT15" s="25">
        <f t="shared" si="9"/>
        <v>4</v>
      </c>
      <c r="AU15" s="18">
        <f t="shared" si="10"/>
        <v>5.5</v>
      </c>
      <c r="AV15" s="22">
        <f t="shared" si="11"/>
        <v>4</v>
      </c>
      <c r="AW15" s="18">
        <f t="shared" si="12"/>
        <v>0</v>
      </c>
      <c r="AX15" s="32">
        <f t="shared" si="13"/>
        <v>1.375</v>
      </c>
      <c r="AY15" s="24">
        <f t="shared" si="14"/>
        <v>13.5</v>
      </c>
      <c r="AZ15" s="18">
        <f t="shared" si="14"/>
        <v>19.5</v>
      </c>
      <c r="BA15" s="18">
        <f t="shared" si="14"/>
        <v>24</v>
      </c>
      <c r="BB15" s="18">
        <f t="shared" si="14"/>
        <v>3</v>
      </c>
      <c r="BC15" s="32">
        <f t="shared" si="15"/>
        <v>1.4444444444444444</v>
      </c>
    </row>
    <row r="16" spans="2:67" ht="16" thickBot="1" x14ac:dyDescent="0.25">
      <c r="B16" s="1">
        <f t="shared" ref="B16" si="25">B15+1</f>
        <v>12</v>
      </c>
      <c r="C16" s="71">
        <f t="shared" si="17"/>
        <v>9</v>
      </c>
      <c r="D16" s="315" t="s">
        <v>223</v>
      </c>
      <c r="E16" s="340">
        <v>56</v>
      </c>
      <c r="F16" s="230" t="str">
        <f>IFERROR(IF(VLOOKUP($D16,'Dec 25'!$D$8:$AQ$43,39,0)=0,"",VLOOKUP($D16,'Dec 25'!$D$8:$AQ$43,39,0)),"")</f>
        <v/>
      </c>
      <c r="G16" s="70" t="str">
        <f>IFERROR(IF(VLOOKUP($D16,'Dec 25'!$D$8:$AQ$43,40,0)=0,"",VLOOKUP($D16,'Dec 25'!$D$8:$AQ$43,40,0)),"")</f>
        <v/>
      </c>
      <c r="H16" s="334"/>
      <c r="I16" s="323"/>
      <c r="J16" s="323"/>
      <c r="K16" s="329" t="s">
        <v>81</v>
      </c>
      <c r="L16" s="329"/>
      <c r="M16" s="334"/>
      <c r="N16" s="323"/>
      <c r="O16" s="323"/>
      <c r="P16" s="333" t="s">
        <v>32</v>
      </c>
      <c r="Q16" s="323"/>
      <c r="R16" s="329"/>
      <c r="S16" s="329" t="s">
        <v>34</v>
      </c>
      <c r="T16" s="323"/>
      <c r="U16" s="323"/>
      <c r="V16" s="333" t="s">
        <v>34</v>
      </c>
      <c r="W16" s="337" t="s">
        <v>249</v>
      </c>
      <c r="X16" s="335" t="s">
        <v>243</v>
      </c>
      <c r="Y16" s="335" t="s">
        <v>243</v>
      </c>
      <c r="Z16" s="335" t="s">
        <v>243</v>
      </c>
      <c r="AA16" s="335" t="s">
        <v>243</v>
      </c>
      <c r="AB16" s="335" t="s">
        <v>243</v>
      </c>
      <c r="AC16" s="323"/>
      <c r="AD16" s="323"/>
      <c r="AE16" s="323"/>
      <c r="AF16" s="329"/>
      <c r="AG16" s="329" t="s">
        <v>34</v>
      </c>
      <c r="AH16" s="323"/>
      <c r="AJ16" s="345">
        <f>IFERROR(VLOOKUP($D16,'Dec 25'!$D$8:$BL$43,57,0),0)</f>
        <v>0</v>
      </c>
      <c r="AK16" s="22">
        <f>IFERROR(VLOOKUP($D16,'Dec 25'!$D$8:$BL$43,58,0),0)</f>
        <v>0</v>
      </c>
      <c r="AL16" s="22">
        <f>IFERROR(VLOOKUP($D16,'Dec 25'!$D$8:$BL$43,59,0),0)</f>
        <v>0</v>
      </c>
      <c r="AM16" s="346">
        <f>IFERROR(VLOOKUP($D16,'Dec 25'!$D$8:$BL$43,60,0),0)</f>
        <v>0</v>
      </c>
      <c r="AN16" s="37">
        <f t="shared" si="4"/>
        <v>2</v>
      </c>
      <c r="AO16" s="23">
        <f t="shared" si="5"/>
        <v>0</v>
      </c>
      <c r="AP16" s="23">
        <f t="shared" si="6"/>
        <v>0</v>
      </c>
      <c r="AQ16" s="23">
        <f t="shared" si="7"/>
        <v>2</v>
      </c>
      <c r="AR16" s="23">
        <f t="shared" si="8"/>
        <v>0</v>
      </c>
      <c r="AS16" s="278">
        <f t="shared" si="18"/>
        <v>0</v>
      </c>
      <c r="AT16" s="25">
        <f t="shared" si="9"/>
        <v>4</v>
      </c>
      <c r="AU16" s="18">
        <f t="shared" si="10"/>
        <v>6</v>
      </c>
      <c r="AV16" s="22">
        <f t="shared" si="11"/>
        <v>3</v>
      </c>
      <c r="AW16" s="18">
        <f t="shared" si="12"/>
        <v>1</v>
      </c>
      <c r="AX16" s="32">
        <f t="shared" si="13"/>
        <v>1.5</v>
      </c>
      <c r="AY16" s="24">
        <f t="shared" si="14"/>
        <v>4</v>
      </c>
      <c r="AZ16" s="18">
        <f t="shared" si="14"/>
        <v>6</v>
      </c>
      <c r="BA16" s="18">
        <f t="shared" si="14"/>
        <v>3</v>
      </c>
      <c r="BB16" s="18">
        <f t="shared" si="14"/>
        <v>1</v>
      </c>
      <c r="BC16" s="32">
        <f t="shared" si="15"/>
        <v>1.5</v>
      </c>
    </row>
    <row r="17" spans="2:55" ht="16" thickBot="1" x14ac:dyDescent="0.25">
      <c r="B17" s="1">
        <f t="shared" ref="B17" si="26">B16+1</f>
        <v>13</v>
      </c>
      <c r="C17" s="71">
        <f t="shared" si="17"/>
        <v>10</v>
      </c>
      <c r="D17" s="315" t="s">
        <v>224</v>
      </c>
      <c r="E17" s="340">
        <v>56</v>
      </c>
      <c r="F17" s="230" t="str">
        <f>IFERROR(IF(VLOOKUP($D17,'Dec 25'!$D$8:$AQ$43,39,0)=0,"",VLOOKUP($D17,'Dec 25'!$D$8:$AQ$43,39,0)),"")</f>
        <v/>
      </c>
      <c r="G17" s="70" t="str">
        <f>IFERROR(IF(VLOOKUP($D17,'Dec 25'!$D$8:$AQ$43,40,0)=0,"",VLOOKUP($D17,'Dec 25'!$D$8:$AQ$43,40,0)),"")</f>
        <v/>
      </c>
      <c r="H17" s="322"/>
      <c r="I17" s="333" t="s">
        <v>34</v>
      </c>
      <c r="J17" s="323"/>
      <c r="K17" s="329"/>
      <c r="L17" s="329" t="s">
        <v>81</v>
      </c>
      <c r="M17" s="323"/>
      <c r="N17" s="323" t="s">
        <v>34</v>
      </c>
      <c r="O17" s="323"/>
      <c r="P17" s="323"/>
      <c r="Q17" s="323"/>
      <c r="R17" s="329"/>
      <c r="S17" s="333" t="s">
        <v>32</v>
      </c>
      <c r="T17" s="323"/>
      <c r="U17" s="323"/>
      <c r="V17" s="323"/>
      <c r="W17" s="323"/>
      <c r="X17" s="323" t="s">
        <v>216</v>
      </c>
      <c r="Y17" s="334"/>
      <c r="Z17" s="329"/>
      <c r="AA17" s="323"/>
      <c r="AB17" s="323" t="s">
        <v>34</v>
      </c>
      <c r="AC17" s="323"/>
      <c r="AD17" s="323"/>
      <c r="AE17" s="323"/>
      <c r="AF17" s="334"/>
      <c r="AG17" s="329"/>
      <c r="AH17" s="323"/>
      <c r="AJ17" s="345">
        <f>IFERROR(VLOOKUP($D17,'Dec 25'!$D$8:$BL$43,57,0),0)</f>
        <v>0</v>
      </c>
      <c r="AK17" s="22">
        <f>IFERROR(VLOOKUP($D17,'Dec 25'!$D$8:$BL$43,58,0),0)</f>
        <v>0</v>
      </c>
      <c r="AL17" s="22">
        <f>IFERROR(VLOOKUP($D17,'Dec 25'!$D$8:$BL$43,59,0),0)</f>
        <v>0</v>
      </c>
      <c r="AM17" s="346">
        <f>IFERROR(VLOOKUP($D17,'Dec 25'!$D$8:$BL$43,60,0),0)</f>
        <v>0</v>
      </c>
      <c r="AN17" s="37">
        <f t="shared" si="4"/>
        <v>3</v>
      </c>
      <c r="AO17" s="23">
        <f t="shared" si="5"/>
        <v>0</v>
      </c>
      <c r="AP17" s="23">
        <f t="shared" si="6"/>
        <v>0</v>
      </c>
      <c r="AQ17" s="23">
        <f t="shared" si="7"/>
        <v>1</v>
      </c>
      <c r="AR17" s="23">
        <f t="shared" si="8"/>
        <v>0</v>
      </c>
      <c r="AS17" s="278">
        <f t="shared" si="18"/>
        <v>1</v>
      </c>
      <c r="AT17" s="25">
        <f t="shared" si="9"/>
        <v>4</v>
      </c>
      <c r="AU17" s="18">
        <f t="shared" si="10"/>
        <v>5</v>
      </c>
      <c r="AV17" s="22">
        <f t="shared" si="11"/>
        <v>6</v>
      </c>
      <c r="AW17" s="18">
        <f t="shared" si="12"/>
        <v>1</v>
      </c>
      <c r="AX17" s="32">
        <f t="shared" si="13"/>
        <v>1.25</v>
      </c>
      <c r="AY17" s="24">
        <f t="shared" si="14"/>
        <v>4</v>
      </c>
      <c r="AZ17" s="18">
        <f t="shared" si="14"/>
        <v>5</v>
      </c>
      <c r="BA17" s="18">
        <f t="shared" si="14"/>
        <v>6</v>
      </c>
      <c r="BB17" s="18">
        <f t="shared" si="14"/>
        <v>1</v>
      </c>
      <c r="BC17" s="32">
        <f t="shared" si="15"/>
        <v>1.25</v>
      </c>
    </row>
    <row r="18" spans="2:55" ht="16" thickBot="1" x14ac:dyDescent="0.25">
      <c r="B18" s="1">
        <f t="shared" ref="B18" si="27">B17+1</f>
        <v>14</v>
      </c>
      <c r="C18" s="71">
        <f t="shared" si="17"/>
        <v>11</v>
      </c>
      <c r="D18" s="315" t="s">
        <v>260</v>
      </c>
      <c r="E18" s="340">
        <v>56</v>
      </c>
      <c r="F18" s="230" t="str">
        <f>IFERROR(IF(VLOOKUP($D18,'Dec 25'!$D$8:$AQ$43,39,0)=0,"",VLOOKUP($D18,'Dec 25'!$D$8:$AQ$43,39,0)),"")</f>
        <v/>
      </c>
      <c r="G18" s="70" t="str">
        <f>IFERROR(IF(VLOOKUP($D18,'Dec 25'!$D$8:$AQ$43,40,0)=0,"",VLOOKUP($D18,'Dec 25'!$D$8:$AQ$43,40,0)),"")</f>
        <v/>
      </c>
      <c r="H18" s="322"/>
      <c r="I18" s="323"/>
      <c r="J18" s="334"/>
      <c r="K18" s="334" t="s">
        <v>34</v>
      </c>
      <c r="L18" s="329"/>
      <c r="M18" s="323"/>
      <c r="N18" s="323"/>
      <c r="O18" s="333" t="s">
        <v>34</v>
      </c>
      <c r="P18" s="337" t="s">
        <v>249</v>
      </c>
      <c r="Q18" s="335" t="s">
        <v>243</v>
      </c>
      <c r="R18" s="335" t="s">
        <v>243</v>
      </c>
      <c r="S18" s="335" t="s">
        <v>243</v>
      </c>
      <c r="T18" s="335" t="s">
        <v>243</v>
      </c>
      <c r="U18" s="335" t="s">
        <v>243</v>
      </c>
      <c r="V18" s="323"/>
      <c r="W18" s="323"/>
      <c r="X18" s="323" t="s">
        <v>34</v>
      </c>
      <c r="Y18" s="329"/>
      <c r="Z18" s="329"/>
      <c r="AA18" s="323"/>
      <c r="AB18" s="323"/>
      <c r="AC18" s="323"/>
      <c r="AD18" s="323"/>
      <c r="AE18" s="323"/>
      <c r="AF18" s="329"/>
      <c r="AG18" s="329"/>
      <c r="AH18" s="323"/>
      <c r="AJ18" s="345">
        <f>IFERROR(VLOOKUP($D18,'Dec 25'!$D$8:$BL$43,57,0),0)</f>
        <v>0</v>
      </c>
      <c r="AK18" s="22">
        <f>IFERROR(VLOOKUP($D18,'Dec 25'!$D$8:$BL$43,58,0),0)</f>
        <v>0</v>
      </c>
      <c r="AL18" s="22">
        <f>IFERROR(VLOOKUP($D18,'Dec 25'!$D$8:$BL$43,59,0),0)</f>
        <v>0</v>
      </c>
      <c r="AM18" s="346">
        <f>IFERROR(VLOOKUP($D18,'Dec 25'!$D$8:$BL$43,60,0),0)</f>
        <v>0</v>
      </c>
      <c r="AN18" s="37">
        <f t="shared" si="4"/>
        <v>1</v>
      </c>
      <c r="AO18" s="23">
        <f t="shared" si="5"/>
        <v>1</v>
      </c>
      <c r="AP18" s="23">
        <f t="shared" si="6"/>
        <v>1</v>
      </c>
      <c r="AQ18" s="23">
        <f t="shared" si="7"/>
        <v>0</v>
      </c>
      <c r="AR18" s="23">
        <f t="shared" si="8"/>
        <v>0</v>
      </c>
      <c r="AS18" s="278">
        <f t="shared" si="18"/>
        <v>0</v>
      </c>
      <c r="AT18" s="25">
        <f t="shared" si="9"/>
        <v>3</v>
      </c>
      <c r="AU18" s="18">
        <f t="shared" si="10"/>
        <v>5</v>
      </c>
      <c r="AV18" s="22">
        <f t="shared" si="11"/>
        <v>5</v>
      </c>
      <c r="AW18" s="18">
        <f t="shared" si="12"/>
        <v>0</v>
      </c>
      <c r="AX18" s="32">
        <f t="shared" si="13"/>
        <v>1.6666666666666667</v>
      </c>
      <c r="AY18" s="24">
        <f t="shared" si="14"/>
        <v>3</v>
      </c>
      <c r="AZ18" s="18">
        <f t="shared" si="14"/>
        <v>5</v>
      </c>
      <c r="BA18" s="18">
        <f t="shared" si="14"/>
        <v>5</v>
      </c>
      <c r="BB18" s="18">
        <f t="shared" si="14"/>
        <v>0</v>
      </c>
      <c r="BC18" s="32">
        <f t="shared" si="15"/>
        <v>1.6666666666666667</v>
      </c>
    </row>
    <row r="19" spans="2:55" ht="16" thickBot="1" x14ac:dyDescent="0.25">
      <c r="B19" s="1">
        <f t="shared" ref="B19" si="28">B18+1</f>
        <v>15</v>
      </c>
      <c r="C19" s="71">
        <f t="shared" si="17"/>
        <v>12</v>
      </c>
      <c r="D19" s="315" t="s">
        <v>225</v>
      </c>
      <c r="E19" s="340">
        <v>56</v>
      </c>
      <c r="F19" s="230" t="str">
        <f>IFERROR(IF(VLOOKUP($D19,'Dec 25'!$D$8:$AQ$43,39,0)=0,"",VLOOKUP($D19,'Dec 25'!$D$8:$AQ$43,39,0)),"")</f>
        <v/>
      </c>
      <c r="G19" s="70" t="str">
        <f>IFERROR(IF(VLOOKUP($D19,'Dec 25'!$D$8:$AQ$43,40,0)=0,"",VLOOKUP($D19,'Dec 25'!$D$8:$AQ$43,40,0)),"")</f>
        <v/>
      </c>
      <c r="H19" s="334"/>
      <c r="I19" s="323"/>
      <c r="J19" s="323" t="s">
        <v>34</v>
      </c>
      <c r="K19" s="334"/>
      <c r="L19" s="329"/>
      <c r="M19" s="323"/>
      <c r="N19" s="333" t="s">
        <v>30</v>
      </c>
      <c r="O19" s="323"/>
      <c r="P19" s="323"/>
      <c r="Q19" s="323"/>
      <c r="R19" s="329" t="s">
        <v>81</v>
      </c>
      <c r="S19" s="329"/>
      <c r="T19" s="323"/>
      <c r="U19" s="323"/>
      <c r="V19" s="323"/>
      <c r="W19" s="333" t="s">
        <v>34</v>
      </c>
      <c r="X19" s="323"/>
      <c r="Y19" s="329"/>
      <c r="Z19" s="329" t="s">
        <v>34</v>
      </c>
      <c r="AA19" s="323"/>
      <c r="AB19" s="323"/>
      <c r="AC19" s="323"/>
      <c r="AD19" s="323"/>
      <c r="AE19" s="323"/>
      <c r="AF19" s="329" t="s">
        <v>216</v>
      </c>
      <c r="AG19" s="329"/>
      <c r="AH19" s="323"/>
      <c r="AJ19" s="345">
        <f>IFERROR(VLOOKUP($D19,'Dec 25'!$D$8:$BL$43,57,0),0)</f>
        <v>0</v>
      </c>
      <c r="AK19" s="22">
        <f>IFERROR(VLOOKUP($D19,'Dec 25'!$D$8:$BL$43,58,0),0)</f>
        <v>0</v>
      </c>
      <c r="AL19" s="22">
        <f>IFERROR(VLOOKUP($D19,'Dec 25'!$D$8:$BL$43,59,0),0)</f>
        <v>0</v>
      </c>
      <c r="AM19" s="346">
        <f>IFERROR(VLOOKUP($D19,'Dec 25'!$D$8:$BL$43,60,0),0)</f>
        <v>0</v>
      </c>
      <c r="AN19" s="37">
        <f t="shared" si="4"/>
        <v>2</v>
      </c>
      <c r="AO19" s="23">
        <f t="shared" si="5"/>
        <v>1</v>
      </c>
      <c r="AP19" s="23">
        <f t="shared" si="6"/>
        <v>0</v>
      </c>
      <c r="AQ19" s="23">
        <f t="shared" si="7"/>
        <v>1</v>
      </c>
      <c r="AR19" s="23">
        <f t="shared" si="8"/>
        <v>0</v>
      </c>
      <c r="AS19" s="278">
        <f t="shared" si="18"/>
        <v>1</v>
      </c>
      <c r="AT19" s="25">
        <f t="shared" si="9"/>
        <v>4</v>
      </c>
      <c r="AU19" s="18">
        <f t="shared" si="10"/>
        <v>5.5</v>
      </c>
      <c r="AV19" s="22">
        <f t="shared" si="11"/>
        <v>5</v>
      </c>
      <c r="AW19" s="18">
        <f t="shared" si="12"/>
        <v>1</v>
      </c>
      <c r="AX19" s="32">
        <f t="shared" si="13"/>
        <v>1.375</v>
      </c>
      <c r="AY19" s="24">
        <f t="shared" si="14"/>
        <v>4</v>
      </c>
      <c r="AZ19" s="18">
        <f t="shared" si="14"/>
        <v>5.5</v>
      </c>
      <c r="BA19" s="18">
        <f t="shared" si="14"/>
        <v>5</v>
      </c>
      <c r="BB19" s="18">
        <f t="shared" si="14"/>
        <v>1</v>
      </c>
      <c r="BC19" s="32">
        <f t="shared" si="15"/>
        <v>1.375</v>
      </c>
    </row>
    <row r="20" spans="2:55" ht="16" thickBot="1" x14ac:dyDescent="0.25">
      <c r="B20" s="1">
        <f t="shared" ref="B20" si="29">B19+1</f>
        <v>16</v>
      </c>
      <c r="C20" s="71">
        <f t="shared" si="17"/>
        <v>13</v>
      </c>
      <c r="D20" s="315" t="s">
        <v>226</v>
      </c>
      <c r="E20" s="340">
        <v>56</v>
      </c>
      <c r="F20" s="230" t="str">
        <f>IFERROR(IF(VLOOKUP($D20,'Dec 25'!$D$8:$AQ$43,39,0)=0,"",VLOOKUP($D20,'Dec 25'!$D$8:$AQ$43,39,0)),"")</f>
        <v/>
      </c>
      <c r="G20" s="70" t="str">
        <f>IFERROR(IF(VLOOKUP($D20,'Dec 25'!$D$8:$AQ$43,40,0)=0,"",VLOOKUP($D20,'Dec 25'!$D$8:$AQ$43,40,0)),"")</f>
        <v/>
      </c>
      <c r="H20" s="322" t="s">
        <v>34</v>
      </c>
      <c r="I20" s="323"/>
      <c r="J20" s="323"/>
      <c r="K20" s="329"/>
      <c r="L20" s="329"/>
      <c r="M20" s="323"/>
      <c r="N20" s="333" t="s">
        <v>31</v>
      </c>
      <c r="O20" s="323"/>
      <c r="P20" s="323"/>
      <c r="Q20" s="323"/>
      <c r="R20" s="329" t="s">
        <v>34</v>
      </c>
      <c r="S20" s="329"/>
      <c r="T20" s="323"/>
      <c r="U20" s="323"/>
      <c r="V20" s="323" t="s">
        <v>216</v>
      </c>
      <c r="W20" s="334"/>
      <c r="X20" s="335" t="s">
        <v>243</v>
      </c>
      <c r="Y20" s="335" t="s">
        <v>243</v>
      </c>
      <c r="Z20" s="335" t="s">
        <v>243</v>
      </c>
      <c r="AA20" s="335" t="s">
        <v>243</v>
      </c>
      <c r="AB20" s="323"/>
      <c r="AC20" s="333" t="s">
        <v>34</v>
      </c>
      <c r="AD20" s="324"/>
      <c r="AE20" s="324"/>
      <c r="AF20" s="334"/>
      <c r="AG20" s="329" t="s">
        <v>81</v>
      </c>
      <c r="AH20" s="323"/>
      <c r="AJ20" s="345">
        <f>IFERROR(VLOOKUP($D20,'Dec 25'!$D$8:$BL$43,57,0),0)</f>
        <v>0</v>
      </c>
      <c r="AK20" s="22">
        <f>IFERROR(VLOOKUP($D20,'Dec 25'!$D$8:$BL$43,58,0),0)</f>
        <v>0</v>
      </c>
      <c r="AL20" s="22">
        <f>IFERROR(VLOOKUP($D20,'Dec 25'!$D$8:$BL$43,59,0),0)</f>
        <v>0</v>
      </c>
      <c r="AM20" s="346">
        <f>IFERROR(VLOOKUP($D20,'Dec 25'!$D$8:$BL$43,60,0),0)</f>
        <v>0</v>
      </c>
      <c r="AN20" s="37">
        <f t="shared" si="4"/>
        <v>3</v>
      </c>
      <c r="AO20" s="23">
        <f t="shared" si="5"/>
        <v>0</v>
      </c>
      <c r="AP20" s="23">
        <f t="shared" si="6"/>
        <v>1</v>
      </c>
      <c r="AQ20" s="23">
        <f t="shared" si="7"/>
        <v>0</v>
      </c>
      <c r="AR20" s="23">
        <f t="shared" si="8"/>
        <v>0</v>
      </c>
      <c r="AS20" s="278">
        <f t="shared" si="18"/>
        <v>1</v>
      </c>
      <c r="AT20" s="25">
        <f t="shared" si="9"/>
        <v>4</v>
      </c>
      <c r="AU20" s="18">
        <f t="shared" si="10"/>
        <v>5.5</v>
      </c>
      <c r="AV20" s="22">
        <f t="shared" si="11"/>
        <v>4</v>
      </c>
      <c r="AW20" s="18">
        <f t="shared" si="12"/>
        <v>1</v>
      </c>
      <c r="AX20" s="32">
        <f t="shared" si="13"/>
        <v>1.375</v>
      </c>
      <c r="AY20" s="24">
        <f t="shared" si="14"/>
        <v>4</v>
      </c>
      <c r="AZ20" s="18">
        <f t="shared" si="14"/>
        <v>5.5</v>
      </c>
      <c r="BA20" s="18">
        <f t="shared" si="14"/>
        <v>4</v>
      </c>
      <c r="BB20" s="18">
        <f t="shared" si="14"/>
        <v>1</v>
      </c>
      <c r="BC20" s="32">
        <f t="shared" si="15"/>
        <v>1.375</v>
      </c>
    </row>
    <row r="21" spans="2:55" ht="16" thickBot="1" x14ac:dyDescent="0.25">
      <c r="B21" s="1">
        <f t="shared" ref="B21" si="30">B20+1</f>
        <v>17</v>
      </c>
      <c r="C21" s="71">
        <f t="shared" si="17"/>
        <v>14</v>
      </c>
      <c r="D21" s="315" t="s">
        <v>227</v>
      </c>
      <c r="E21" s="340">
        <v>85</v>
      </c>
      <c r="F21" s="230" t="str">
        <f>IFERROR(IF(VLOOKUP($D21,'Dec 25'!$D$8:$AQ$43,39,0)=0,"",VLOOKUP($D21,'Dec 25'!$D$8:$AQ$43,39,0)),"")</f>
        <v/>
      </c>
      <c r="G21" s="70" t="str">
        <f>IFERROR(IF(VLOOKUP($D21,'Dec 25'!$D$8:$AQ$43,40,0)=0,"",VLOOKUP($D21,'Dec 25'!$D$8:$AQ$43,40,0)),"")</f>
        <v/>
      </c>
      <c r="H21" s="322"/>
      <c r="I21" s="323"/>
      <c r="J21" s="323" t="s">
        <v>30</v>
      </c>
      <c r="K21" s="334"/>
      <c r="L21" s="329"/>
      <c r="M21" s="323"/>
      <c r="N21" s="323"/>
      <c r="O21" s="323"/>
      <c r="P21" s="333" t="s">
        <v>34</v>
      </c>
      <c r="Q21" s="323"/>
      <c r="R21" s="334"/>
      <c r="S21" s="329" t="s">
        <v>81</v>
      </c>
      <c r="T21" s="323" t="s">
        <v>216</v>
      </c>
      <c r="U21" s="323"/>
      <c r="V21" s="323"/>
      <c r="W21" s="323"/>
      <c r="X21" s="323"/>
      <c r="Y21" s="329" t="s">
        <v>34</v>
      </c>
      <c r="Z21" s="329"/>
      <c r="AA21" s="323"/>
      <c r="AB21" s="323"/>
      <c r="AC21" s="323"/>
      <c r="AD21" s="333" t="s">
        <v>34</v>
      </c>
      <c r="AE21" s="323"/>
      <c r="AF21" s="329"/>
      <c r="AG21" s="329"/>
      <c r="AH21" s="323"/>
      <c r="AJ21" s="345">
        <f>IFERROR(VLOOKUP($D21,'Dec 25'!$D$8:$BL$43,57,0),0)</f>
        <v>0</v>
      </c>
      <c r="AK21" s="22">
        <f>IFERROR(VLOOKUP($D21,'Dec 25'!$D$8:$BL$43,58,0),0)</f>
        <v>0</v>
      </c>
      <c r="AL21" s="22">
        <f>IFERROR(VLOOKUP($D21,'Dec 25'!$D$8:$BL$43,59,0),0)</f>
        <v>0</v>
      </c>
      <c r="AM21" s="346">
        <f>IFERROR(VLOOKUP($D21,'Dec 25'!$D$8:$BL$43,60,0),0)</f>
        <v>0</v>
      </c>
      <c r="AN21" s="37">
        <f t="shared" si="4"/>
        <v>2</v>
      </c>
      <c r="AO21" s="23">
        <f t="shared" si="5"/>
        <v>1</v>
      </c>
      <c r="AP21" s="23">
        <f t="shared" si="6"/>
        <v>1</v>
      </c>
      <c r="AQ21" s="23">
        <f t="shared" si="7"/>
        <v>0</v>
      </c>
      <c r="AR21" s="23">
        <f t="shared" si="8"/>
        <v>0</v>
      </c>
      <c r="AS21" s="278">
        <f t="shared" si="18"/>
        <v>1</v>
      </c>
      <c r="AT21" s="25">
        <f t="shared" si="9"/>
        <v>4</v>
      </c>
      <c r="AU21" s="18">
        <f t="shared" si="10"/>
        <v>6</v>
      </c>
      <c r="AV21" s="22">
        <f t="shared" si="11"/>
        <v>6</v>
      </c>
      <c r="AW21" s="18">
        <f t="shared" si="12"/>
        <v>1</v>
      </c>
      <c r="AX21" s="32">
        <f t="shared" si="13"/>
        <v>1.5</v>
      </c>
      <c r="AY21" s="24">
        <f t="shared" si="14"/>
        <v>4</v>
      </c>
      <c r="AZ21" s="18">
        <f t="shared" si="14"/>
        <v>6</v>
      </c>
      <c r="BA21" s="18">
        <f t="shared" si="14"/>
        <v>6</v>
      </c>
      <c r="BB21" s="18">
        <f t="shared" si="14"/>
        <v>1</v>
      </c>
      <c r="BC21" s="32">
        <f t="shared" si="15"/>
        <v>1.5</v>
      </c>
    </row>
    <row r="22" spans="2:55" ht="16" thickBot="1" x14ac:dyDescent="0.25">
      <c r="B22" s="1">
        <f t="shared" ref="B22" si="31">B21+1</f>
        <v>18</v>
      </c>
      <c r="C22" s="71">
        <f t="shared" ref="C22:C44" si="32">C21+1</f>
        <v>15</v>
      </c>
      <c r="D22" s="315" t="s">
        <v>228</v>
      </c>
      <c r="E22" s="340">
        <v>85</v>
      </c>
      <c r="F22" s="230" t="str">
        <f>IFERROR(IF(VLOOKUP($D22,'Dec 25'!$D$8:$AQ$43,39,0)=0,"",VLOOKUP($D22,'Dec 25'!$D$8:$AQ$43,39,0)),"")</f>
        <v/>
      </c>
      <c r="G22" s="70" t="str">
        <f>IFERROR(IF(VLOOKUP($D22,'Dec 25'!$D$8:$AQ$43,40,0)=0,"",VLOOKUP($D22,'Dec 25'!$D$8:$AQ$43,40,0)),"")</f>
        <v/>
      </c>
      <c r="H22" s="322"/>
      <c r="I22" s="323" t="s">
        <v>216</v>
      </c>
      <c r="J22" s="323"/>
      <c r="K22" s="329"/>
      <c r="L22" s="329" t="s">
        <v>34</v>
      </c>
      <c r="M22" s="323"/>
      <c r="N22" s="323"/>
      <c r="O22" s="323"/>
      <c r="P22" s="323"/>
      <c r="Q22" s="323" t="s">
        <v>34</v>
      </c>
      <c r="R22" s="329"/>
      <c r="S22" s="329"/>
      <c r="T22" s="323"/>
      <c r="U22" s="323" t="s">
        <v>34</v>
      </c>
      <c r="V22" s="323"/>
      <c r="W22" s="323"/>
      <c r="X22" s="323"/>
      <c r="Y22" s="334"/>
      <c r="Z22" s="334"/>
      <c r="AA22" s="323"/>
      <c r="AB22" s="323"/>
      <c r="AC22" s="323" t="s">
        <v>32</v>
      </c>
      <c r="AD22" s="323"/>
      <c r="AE22" s="323"/>
      <c r="AF22" s="329"/>
      <c r="AG22" s="329"/>
      <c r="AH22" s="323"/>
      <c r="AJ22" s="345">
        <f>IFERROR(VLOOKUP($D22,'Dec 25'!$D$8:$BL$43,57,0),0)</f>
        <v>0</v>
      </c>
      <c r="AK22" s="22">
        <f>IFERROR(VLOOKUP($D22,'Dec 25'!$D$8:$BL$43,58,0),0)</f>
        <v>0</v>
      </c>
      <c r="AL22" s="22">
        <f>IFERROR(VLOOKUP($D22,'Dec 25'!$D$8:$BL$43,59,0),0)</f>
        <v>0</v>
      </c>
      <c r="AM22" s="346">
        <f>IFERROR(VLOOKUP($D22,'Dec 25'!$D$8:$BL$43,60,0),0)</f>
        <v>0</v>
      </c>
      <c r="AN22" s="37">
        <f t="shared" si="4"/>
        <v>2</v>
      </c>
      <c r="AO22" s="23">
        <f t="shared" si="5"/>
        <v>1</v>
      </c>
      <c r="AP22" s="23">
        <f t="shared" si="6"/>
        <v>0</v>
      </c>
      <c r="AQ22" s="23">
        <f t="shared" si="7"/>
        <v>1</v>
      </c>
      <c r="AR22" s="23">
        <f t="shared" si="8"/>
        <v>0</v>
      </c>
      <c r="AS22" s="278">
        <f t="shared" si="18"/>
        <v>1</v>
      </c>
      <c r="AT22" s="25">
        <f t="shared" si="9"/>
        <v>4</v>
      </c>
      <c r="AU22" s="18">
        <f t="shared" si="10"/>
        <v>5.5</v>
      </c>
      <c r="AV22" s="22">
        <f t="shared" si="11"/>
        <v>7</v>
      </c>
      <c r="AW22" s="18">
        <f t="shared" si="12"/>
        <v>0</v>
      </c>
      <c r="AX22" s="32">
        <f t="shared" si="13"/>
        <v>1.375</v>
      </c>
      <c r="AY22" s="24">
        <f t="shared" si="14"/>
        <v>4</v>
      </c>
      <c r="AZ22" s="18">
        <f t="shared" si="14"/>
        <v>5.5</v>
      </c>
      <c r="BA22" s="18">
        <f t="shared" si="14"/>
        <v>7</v>
      </c>
      <c r="BB22" s="18">
        <f t="shared" si="14"/>
        <v>0</v>
      </c>
      <c r="BC22" s="32">
        <f t="shared" si="15"/>
        <v>1.375</v>
      </c>
    </row>
    <row r="23" spans="2:55" ht="16" thickBot="1" x14ac:dyDescent="0.25">
      <c r="B23" s="1">
        <f t="shared" ref="B23" si="33">B22+1</f>
        <v>19</v>
      </c>
      <c r="C23" s="71">
        <f t="shared" si="32"/>
        <v>16</v>
      </c>
      <c r="D23" s="311" t="s">
        <v>229</v>
      </c>
      <c r="E23" s="341">
        <v>66</v>
      </c>
      <c r="F23" s="230" t="str">
        <f>IFERROR(IF(VLOOKUP($D23,'Dec 25'!$D$8:$AQ$43,39,0)=0,"",VLOOKUP($D23,'Dec 25'!$D$8:$AQ$43,39,0)),"")</f>
        <v/>
      </c>
      <c r="G23" s="70" t="str">
        <f>IFERROR(IF(VLOOKUP($D23,'Dec 25'!$D$8:$AQ$43,40,0)=0,"",VLOOKUP($D23,'Dec 25'!$D$8:$AQ$43,40,0)),"")</f>
        <v/>
      </c>
      <c r="H23" s="322"/>
      <c r="I23" s="323"/>
      <c r="J23" s="323"/>
      <c r="K23" s="329" t="s">
        <v>32</v>
      </c>
      <c r="L23" s="329"/>
      <c r="M23" s="323"/>
      <c r="N23" s="323"/>
      <c r="O23" s="323" t="s">
        <v>216</v>
      </c>
      <c r="P23" s="323"/>
      <c r="Q23" s="323"/>
      <c r="R23" s="329"/>
      <c r="S23" s="329"/>
      <c r="T23" s="323"/>
      <c r="U23" s="323"/>
      <c r="V23" s="337" t="s">
        <v>249</v>
      </c>
      <c r="W23" s="335" t="s">
        <v>243</v>
      </c>
      <c r="X23" s="335" t="s">
        <v>243</v>
      </c>
      <c r="Y23" s="329"/>
      <c r="Z23" s="329"/>
      <c r="AA23" s="323" t="s">
        <v>34</v>
      </c>
      <c r="AB23" s="323"/>
      <c r="AC23" s="323"/>
      <c r="AD23" s="323"/>
      <c r="AE23" s="323" t="s">
        <v>32</v>
      </c>
      <c r="AF23" s="329"/>
      <c r="AG23" s="329" t="s">
        <v>21</v>
      </c>
      <c r="AH23" s="323"/>
      <c r="AJ23" s="345">
        <f>IFERROR(VLOOKUP($D23,'Dec 25'!$D$8:$BL$43,57,0),0)</f>
        <v>0</v>
      </c>
      <c r="AK23" s="22">
        <f>IFERROR(VLOOKUP($D23,'Dec 25'!$D$8:$BL$43,58,0),0)</f>
        <v>0</v>
      </c>
      <c r="AL23" s="22">
        <f>IFERROR(VLOOKUP($D23,'Dec 25'!$D$8:$BL$43,59,0),0)</f>
        <v>0</v>
      </c>
      <c r="AM23" s="346">
        <f>IFERROR(VLOOKUP($D23,'Dec 25'!$D$8:$BL$43,60,0),0)</f>
        <v>0</v>
      </c>
      <c r="AN23" s="37">
        <f t="shared" si="4"/>
        <v>1</v>
      </c>
      <c r="AO23" s="23">
        <f t="shared" si="5"/>
        <v>1</v>
      </c>
      <c r="AP23" s="23">
        <f t="shared" si="6"/>
        <v>1</v>
      </c>
      <c r="AQ23" s="23">
        <f t="shared" si="7"/>
        <v>0</v>
      </c>
      <c r="AR23" s="23">
        <f t="shared" si="8"/>
        <v>0</v>
      </c>
      <c r="AS23" s="278">
        <f t="shared" si="18"/>
        <v>1</v>
      </c>
      <c r="AT23" s="25">
        <f t="shared" si="9"/>
        <v>3</v>
      </c>
      <c r="AU23" s="18">
        <f t="shared" si="10"/>
        <v>5</v>
      </c>
      <c r="AV23" s="22">
        <f t="shared" si="11"/>
        <v>6</v>
      </c>
      <c r="AW23" s="18">
        <f t="shared" si="12"/>
        <v>1</v>
      </c>
      <c r="AX23" s="32">
        <f t="shared" si="13"/>
        <v>1.6666666666666667</v>
      </c>
      <c r="AY23" s="24">
        <f t="shared" si="14"/>
        <v>3</v>
      </c>
      <c r="AZ23" s="18">
        <f t="shared" si="14"/>
        <v>5</v>
      </c>
      <c r="BA23" s="18">
        <f t="shared" si="14"/>
        <v>6</v>
      </c>
      <c r="BB23" s="18">
        <f t="shared" si="14"/>
        <v>1</v>
      </c>
      <c r="BC23" s="32">
        <f t="shared" si="15"/>
        <v>1.6666666666666667</v>
      </c>
    </row>
    <row r="24" spans="2:55" ht="16" thickBot="1" x14ac:dyDescent="0.25">
      <c r="B24" s="1">
        <f t="shared" ref="B24" si="34">B23+1</f>
        <v>20</v>
      </c>
      <c r="C24" s="71">
        <f t="shared" si="32"/>
        <v>17</v>
      </c>
      <c r="D24" s="311" t="s">
        <v>230</v>
      </c>
      <c r="E24" s="341">
        <v>66</v>
      </c>
      <c r="F24" s="230" t="str">
        <f>IFERROR(IF(VLOOKUP($D24,'Dec 25'!$D$8:$AQ$43,39,0)=0,"",VLOOKUP($D24,'Dec 25'!$D$8:$AQ$43,39,0)),"")</f>
        <v/>
      </c>
      <c r="G24" s="70" t="str">
        <f>IFERROR(IF(VLOOKUP($D24,'Dec 25'!$D$8:$AQ$43,40,0)=0,"",VLOOKUP($D24,'Dec 25'!$D$8:$AQ$43,40,0)),"")</f>
        <v/>
      </c>
      <c r="H24" s="322" t="s">
        <v>32</v>
      </c>
      <c r="I24" s="323"/>
      <c r="J24" s="334"/>
      <c r="K24" s="329"/>
      <c r="L24" s="329" t="s">
        <v>32</v>
      </c>
      <c r="M24" s="323"/>
      <c r="N24" s="323"/>
      <c r="O24" s="323"/>
      <c r="P24" s="323"/>
      <c r="Q24" s="323" t="s">
        <v>32</v>
      </c>
      <c r="R24" s="329"/>
      <c r="S24" s="329"/>
      <c r="T24" s="323"/>
      <c r="U24" s="323" t="s">
        <v>32</v>
      </c>
      <c r="V24" s="323"/>
      <c r="W24" s="323"/>
      <c r="X24" s="323"/>
      <c r="Y24" s="329" t="s">
        <v>19</v>
      </c>
      <c r="Z24" s="329"/>
      <c r="AA24" s="323"/>
      <c r="AB24" s="334"/>
      <c r="AC24" s="335" t="s">
        <v>243</v>
      </c>
      <c r="AD24" s="335" t="s">
        <v>243</v>
      </c>
      <c r="AE24" s="335" t="s">
        <v>243</v>
      </c>
      <c r="AF24" s="335" t="s">
        <v>243</v>
      </c>
      <c r="AG24" s="335" t="s">
        <v>243</v>
      </c>
      <c r="AH24" s="335" t="s">
        <v>243</v>
      </c>
      <c r="AJ24" s="345">
        <f>IFERROR(VLOOKUP($D24,'Dec 25'!$D$8:$BL$43,57,0),0)</f>
        <v>0</v>
      </c>
      <c r="AK24" s="22">
        <f>IFERROR(VLOOKUP($D24,'Dec 25'!$D$8:$BL$43,58,0),0)</f>
        <v>0</v>
      </c>
      <c r="AL24" s="22">
        <f>IFERROR(VLOOKUP($D24,'Dec 25'!$D$8:$BL$43,59,0),0)</f>
        <v>0</v>
      </c>
      <c r="AM24" s="346">
        <f>IFERROR(VLOOKUP($D24,'Dec 25'!$D$8:$BL$43,60,0),0)</f>
        <v>0</v>
      </c>
      <c r="AN24" s="37">
        <f t="shared" si="4"/>
        <v>2</v>
      </c>
      <c r="AO24" s="23">
        <f t="shared" si="5"/>
        <v>1</v>
      </c>
      <c r="AP24" s="23">
        <f t="shared" si="6"/>
        <v>0</v>
      </c>
      <c r="AQ24" s="23">
        <f t="shared" si="7"/>
        <v>1</v>
      </c>
      <c r="AR24" s="23">
        <f t="shared" si="8"/>
        <v>1</v>
      </c>
      <c r="AS24" s="278">
        <f t="shared" si="18"/>
        <v>0</v>
      </c>
      <c r="AT24" s="25">
        <f t="shared" si="9"/>
        <v>4.5</v>
      </c>
      <c r="AU24" s="18">
        <f t="shared" si="10"/>
        <v>6</v>
      </c>
      <c r="AV24" s="22">
        <f t="shared" si="11"/>
        <v>4</v>
      </c>
      <c r="AW24" s="18">
        <f t="shared" si="12"/>
        <v>0</v>
      </c>
      <c r="AX24" s="32">
        <f t="shared" si="13"/>
        <v>1.3333333333333333</v>
      </c>
      <c r="AY24" s="24">
        <f t="shared" si="14"/>
        <v>4.5</v>
      </c>
      <c r="AZ24" s="18">
        <f t="shared" si="14"/>
        <v>6</v>
      </c>
      <c r="BA24" s="18">
        <f t="shared" si="14"/>
        <v>4</v>
      </c>
      <c r="BB24" s="18">
        <f t="shared" si="14"/>
        <v>0</v>
      </c>
      <c r="BC24" s="32">
        <f t="shared" si="15"/>
        <v>1.3333333333333333</v>
      </c>
    </row>
    <row r="25" spans="2:55" ht="16" thickBot="1" x14ac:dyDescent="0.25">
      <c r="B25" s="1">
        <f t="shared" ref="B25" si="35">B24+1</f>
        <v>21</v>
      </c>
      <c r="C25" s="71">
        <f t="shared" si="32"/>
        <v>18</v>
      </c>
      <c r="D25" s="311" t="s">
        <v>231</v>
      </c>
      <c r="E25" s="341">
        <v>66</v>
      </c>
      <c r="F25" s="230" t="str">
        <f>IFERROR(IF(VLOOKUP($D25,'Dec 25'!$D$8:$AQ$43,39,0)=0,"",VLOOKUP($D25,'Dec 25'!$D$8:$AQ$43,39,0)),"")</f>
        <v/>
      </c>
      <c r="G25" s="70" t="str">
        <f>IFERROR(IF(VLOOKUP($D25,'Dec 25'!$D$8:$AQ$43,40,0)=0,"",VLOOKUP($D25,'Dec 25'!$D$8:$AQ$43,40,0)),"")</f>
        <v/>
      </c>
      <c r="H25" s="322"/>
      <c r="I25" s="323"/>
      <c r="J25" s="323"/>
      <c r="K25" s="334"/>
      <c r="L25" s="329" t="s">
        <v>19</v>
      </c>
      <c r="M25" s="323"/>
      <c r="N25" s="323"/>
      <c r="O25" s="323" t="s">
        <v>32</v>
      </c>
      <c r="P25" s="323"/>
      <c r="Q25" s="323"/>
      <c r="R25" s="329" t="s">
        <v>21</v>
      </c>
      <c r="S25" s="329"/>
      <c r="T25" s="333" t="s">
        <v>32</v>
      </c>
      <c r="U25" s="323"/>
      <c r="V25" s="323"/>
      <c r="W25" s="323"/>
      <c r="X25" s="323"/>
      <c r="Y25" s="334"/>
      <c r="Z25" s="329" t="s">
        <v>216</v>
      </c>
      <c r="AA25" s="323"/>
      <c r="AB25" s="323"/>
      <c r="AC25" s="323"/>
      <c r="AD25" s="333"/>
      <c r="AE25" s="323"/>
      <c r="AF25" s="329" t="s">
        <v>32</v>
      </c>
      <c r="AG25" s="329"/>
      <c r="AH25" s="323"/>
      <c r="AJ25" s="345">
        <f>IFERROR(VLOOKUP($D25,'Dec 25'!$D$8:$BL$43,57,0),0)</f>
        <v>0</v>
      </c>
      <c r="AK25" s="22">
        <f>IFERROR(VLOOKUP($D25,'Dec 25'!$D$8:$BL$43,58,0),0)</f>
        <v>0</v>
      </c>
      <c r="AL25" s="22">
        <f>IFERROR(VLOOKUP($D25,'Dec 25'!$D$8:$BL$43,59,0),0)</f>
        <v>0</v>
      </c>
      <c r="AM25" s="346">
        <f>IFERROR(VLOOKUP($D25,'Dec 25'!$D$8:$BL$43,60,0),0)</f>
        <v>0</v>
      </c>
      <c r="AN25" s="37">
        <f t="shared" si="4"/>
        <v>2</v>
      </c>
      <c r="AO25" s="23">
        <f t="shared" si="5"/>
        <v>0</v>
      </c>
      <c r="AP25" s="23">
        <f t="shared" si="6"/>
        <v>1</v>
      </c>
      <c r="AQ25" s="23">
        <f t="shared" si="7"/>
        <v>0</v>
      </c>
      <c r="AR25" s="23">
        <f t="shared" si="8"/>
        <v>1</v>
      </c>
      <c r="AS25" s="278">
        <f t="shared" si="18"/>
        <v>1</v>
      </c>
      <c r="AT25" s="25">
        <f t="shared" si="9"/>
        <v>3.5</v>
      </c>
      <c r="AU25" s="18">
        <f t="shared" si="10"/>
        <v>5</v>
      </c>
      <c r="AV25" s="22">
        <f t="shared" si="11"/>
        <v>4</v>
      </c>
      <c r="AW25" s="18">
        <f t="shared" si="12"/>
        <v>1</v>
      </c>
      <c r="AX25" s="32">
        <f t="shared" si="13"/>
        <v>1.4285714285714286</v>
      </c>
      <c r="AY25" s="24">
        <f t="shared" si="14"/>
        <v>3.5</v>
      </c>
      <c r="AZ25" s="18">
        <f t="shared" si="14"/>
        <v>5</v>
      </c>
      <c r="BA25" s="18">
        <f t="shared" si="14"/>
        <v>4</v>
      </c>
      <c r="BB25" s="18">
        <f t="shared" si="14"/>
        <v>1</v>
      </c>
      <c r="BC25" s="32">
        <f t="shared" si="15"/>
        <v>1.4285714285714286</v>
      </c>
    </row>
    <row r="26" spans="2:55" ht="16" thickBot="1" x14ac:dyDescent="0.25">
      <c r="B26" s="1">
        <f t="shared" ref="B26" si="36">B25+1</f>
        <v>22</v>
      </c>
      <c r="C26" s="71">
        <f t="shared" si="32"/>
        <v>19</v>
      </c>
      <c r="D26" s="311" t="s">
        <v>232</v>
      </c>
      <c r="E26" s="341">
        <v>66</v>
      </c>
      <c r="F26" s="230" t="str">
        <f>IFERROR(IF(VLOOKUP($D26,'Dec 25'!$D$8:$AQ$43,39,0)=0,"",VLOOKUP($D26,'Dec 25'!$D$8:$AQ$43,39,0)),"")</f>
        <v/>
      </c>
      <c r="G26" s="70" t="str">
        <f>IFERROR(IF(VLOOKUP($D26,'Dec 25'!$D$8:$AQ$43,40,0)=0,"",VLOOKUP($D26,'Dec 25'!$D$8:$AQ$43,40,0)),"")</f>
        <v/>
      </c>
      <c r="H26" s="322"/>
      <c r="I26" s="323"/>
      <c r="J26" s="323" t="s">
        <v>32</v>
      </c>
      <c r="K26" s="329"/>
      <c r="L26" s="329"/>
      <c r="M26" s="323"/>
      <c r="N26" s="333" t="s">
        <v>32</v>
      </c>
      <c r="O26" s="323"/>
      <c r="P26" s="323"/>
      <c r="Q26" s="323"/>
      <c r="R26" s="329" t="s">
        <v>19</v>
      </c>
      <c r="S26" s="329"/>
      <c r="T26" s="323"/>
      <c r="U26" s="323"/>
      <c r="V26" s="323"/>
      <c r="W26" s="333" t="s">
        <v>32</v>
      </c>
      <c r="X26" s="323"/>
      <c r="Y26" s="334"/>
      <c r="Z26" s="329"/>
      <c r="AA26" s="323"/>
      <c r="AB26" s="323" t="s">
        <v>216</v>
      </c>
      <c r="AC26" s="323"/>
      <c r="AD26" s="323"/>
      <c r="AE26" s="349" t="s">
        <v>29</v>
      </c>
      <c r="AF26" s="350"/>
      <c r="AG26" s="351" t="s">
        <v>20</v>
      </c>
      <c r="AH26" s="323"/>
      <c r="AJ26" s="345">
        <f>IFERROR(VLOOKUP($D26,'Dec 25'!$D$8:$BL$43,57,0),0)</f>
        <v>0</v>
      </c>
      <c r="AK26" s="22">
        <f>IFERROR(VLOOKUP($D26,'Dec 25'!$D$8:$BL$43,58,0),0)</f>
        <v>0</v>
      </c>
      <c r="AL26" s="22">
        <f>IFERROR(VLOOKUP($D26,'Dec 25'!$D$8:$BL$43,59,0),0)</f>
        <v>0</v>
      </c>
      <c r="AM26" s="346">
        <f>IFERROR(VLOOKUP($D26,'Dec 25'!$D$8:$BL$43,60,0),0)</f>
        <v>0</v>
      </c>
      <c r="AN26" s="37">
        <f t="shared" si="4"/>
        <v>2</v>
      </c>
      <c r="AO26" s="23">
        <f t="shared" si="5"/>
        <v>2</v>
      </c>
      <c r="AP26" s="23">
        <f t="shared" si="6"/>
        <v>0</v>
      </c>
      <c r="AQ26" s="23">
        <f t="shared" si="7"/>
        <v>0</v>
      </c>
      <c r="AR26" s="23">
        <f t="shared" si="8"/>
        <v>1</v>
      </c>
      <c r="AS26" s="278">
        <f t="shared" si="18"/>
        <v>1</v>
      </c>
      <c r="AT26" s="25">
        <f t="shared" si="9"/>
        <v>4.5</v>
      </c>
      <c r="AU26" s="18">
        <f t="shared" si="10"/>
        <v>5.5</v>
      </c>
      <c r="AV26" s="22">
        <f t="shared" si="11"/>
        <v>6</v>
      </c>
      <c r="AW26" s="18">
        <f t="shared" si="12"/>
        <v>1</v>
      </c>
      <c r="AX26" s="32">
        <f t="shared" si="13"/>
        <v>1.2222222222222223</v>
      </c>
      <c r="AY26" s="24">
        <f t="shared" si="14"/>
        <v>4.5</v>
      </c>
      <c r="AZ26" s="18">
        <f t="shared" si="14"/>
        <v>5.5</v>
      </c>
      <c r="BA26" s="18">
        <f t="shared" si="14"/>
        <v>6</v>
      </c>
      <c r="BB26" s="18">
        <f t="shared" si="14"/>
        <v>1</v>
      </c>
      <c r="BC26" s="32">
        <f t="shared" si="15"/>
        <v>1.2222222222222223</v>
      </c>
    </row>
    <row r="27" spans="2:55" ht="16" thickBot="1" x14ac:dyDescent="0.25">
      <c r="B27" s="1">
        <f t="shared" ref="B27" si="37">B26+1</f>
        <v>23</v>
      </c>
      <c r="C27" s="71">
        <f t="shared" si="32"/>
        <v>20</v>
      </c>
      <c r="D27" s="311" t="s">
        <v>233</v>
      </c>
      <c r="E27" s="341">
        <v>86</v>
      </c>
      <c r="F27" s="230" t="str">
        <f>IFERROR(IF(VLOOKUP($D27,'Dec 25'!$D$8:$AQ$43,39,0)=0,"",VLOOKUP($D27,'Dec 25'!$D$8:$AQ$43,39,0)),"")</f>
        <v/>
      </c>
      <c r="G27" s="70" t="str">
        <f>IFERROR(IF(VLOOKUP($D27,'Dec 25'!$D$8:$AQ$43,40,0)=0,"",VLOOKUP($D27,'Dec 25'!$D$8:$AQ$43,40,0)),"")</f>
        <v/>
      </c>
      <c r="H27" s="322"/>
      <c r="I27" s="323"/>
      <c r="J27" s="323" t="s">
        <v>216</v>
      </c>
      <c r="K27" s="334"/>
      <c r="L27" s="329"/>
      <c r="M27" s="333" t="s">
        <v>34</v>
      </c>
      <c r="N27" s="323"/>
      <c r="O27" s="323"/>
      <c r="P27" s="323"/>
      <c r="Q27" s="323"/>
      <c r="R27" s="329" t="s">
        <v>31</v>
      </c>
      <c r="S27" s="329"/>
      <c r="T27" s="323"/>
      <c r="U27" s="323"/>
      <c r="V27" s="323"/>
      <c r="W27" s="323"/>
      <c r="X27" s="323" t="s">
        <v>32</v>
      </c>
      <c r="Y27" s="329"/>
      <c r="Z27" s="334"/>
      <c r="AA27" s="323"/>
      <c r="AB27" s="323"/>
      <c r="AC27" s="323"/>
      <c r="AD27" s="333" t="s">
        <v>31</v>
      </c>
      <c r="AE27" s="349"/>
      <c r="AF27" s="351" t="s">
        <v>21</v>
      </c>
      <c r="AG27" s="351"/>
      <c r="AH27" s="323"/>
      <c r="AJ27" s="345">
        <f>IFERROR(VLOOKUP($D27,'Dec 25'!$D$8:$BL$43,57,0),0)</f>
        <v>0</v>
      </c>
      <c r="AK27" s="22">
        <f>IFERROR(VLOOKUP($D27,'Dec 25'!$D$8:$BL$43,58,0),0)</f>
        <v>0</v>
      </c>
      <c r="AL27" s="22">
        <f>IFERROR(VLOOKUP($D27,'Dec 25'!$D$8:$BL$43,59,0),0)</f>
        <v>0</v>
      </c>
      <c r="AM27" s="346">
        <f>IFERROR(VLOOKUP($D27,'Dec 25'!$D$8:$BL$43,60,0),0)</f>
        <v>0</v>
      </c>
      <c r="AN27" s="37">
        <f t="shared" si="4"/>
        <v>2</v>
      </c>
      <c r="AO27" s="23">
        <f t="shared" si="5"/>
        <v>1</v>
      </c>
      <c r="AP27" s="23">
        <f t="shared" si="6"/>
        <v>1</v>
      </c>
      <c r="AQ27" s="23">
        <f t="shared" si="7"/>
        <v>0</v>
      </c>
      <c r="AR27" s="23">
        <f t="shared" si="8"/>
        <v>0</v>
      </c>
      <c r="AS27" s="278">
        <f t="shared" si="18"/>
        <v>1</v>
      </c>
      <c r="AT27" s="25">
        <f t="shared" si="9"/>
        <v>4</v>
      </c>
      <c r="AU27" s="18">
        <f t="shared" si="10"/>
        <v>6</v>
      </c>
      <c r="AV27" s="22">
        <f t="shared" si="11"/>
        <v>6</v>
      </c>
      <c r="AW27" s="18">
        <f t="shared" si="12"/>
        <v>1</v>
      </c>
      <c r="AX27" s="32">
        <f t="shared" si="13"/>
        <v>1.5</v>
      </c>
      <c r="AY27" s="24">
        <f t="shared" si="14"/>
        <v>4</v>
      </c>
      <c r="AZ27" s="18">
        <f t="shared" si="14"/>
        <v>6</v>
      </c>
      <c r="BA27" s="18">
        <f t="shared" si="14"/>
        <v>6</v>
      </c>
      <c r="BB27" s="18">
        <f t="shared" si="14"/>
        <v>1</v>
      </c>
      <c r="BC27" s="32">
        <f t="shared" si="15"/>
        <v>1.5</v>
      </c>
    </row>
    <row r="28" spans="2:55" ht="16" thickBot="1" x14ac:dyDescent="0.25">
      <c r="B28" s="1">
        <f t="shared" ref="B28" si="38">B27+1</f>
        <v>24</v>
      </c>
      <c r="C28" s="71">
        <f t="shared" si="32"/>
        <v>21</v>
      </c>
      <c r="D28" s="311" t="s">
        <v>234</v>
      </c>
      <c r="E28" s="341">
        <v>86</v>
      </c>
      <c r="F28" s="230" t="str">
        <f>IFERROR(IF(VLOOKUP($D28,'Dec 25'!$D$8:$AQ$43,39,0)=0,"",VLOOKUP($D28,'Dec 25'!$D$8:$AQ$43,39,0)),"")</f>
        <v/>
      </c>
      <c r="G28" s="70" t="str">
        <f>IFERROR(IF(VLOOKUP($D28,'Dec 25'!$D$8:$AQ$43,40,0)=0,"",VLOOKUP($D28,'Dec 25'!$D$8:$AQ$43,40,0)),"")</f>
        <v/>
      </c>
      <c r="H28" s="322"/>
      <c r="I28" s="323"/>
      <c r="J28" s="323"/>
      <c r="K28" s="329" t="s">
        <v>31</v>
      </c>
      <c r="L28" s="329"/>
      <c r="M28" s="323"/>
      <c r="N28" s="323"/>
      <c r="O28" s="323"/>
      <c r="P28" s="337" t="s">
        <v>249</v>
      </c>
      <c r="Q28" s="335" t="s">
        <v>243</v>
      </c>
      <c r="R28" s="329"/>
      <c r="S28" s="329"/>
      <c r="T28" s="323"/>
      <c r="U28" s="323"/>
      <c r="V28" s="323"/>
      <c r="W28" s="323"/>
      <c r="X28" s="323"/>
      <c r="Y28" s="329" t="s">
        <v>21</v>
      </c>
      <c r="Z28" s="329"/>
      <c r="AA28" s="323" t="s">
        <v>31</v>
      </c>
      <c r="AB28" s="323"/>
      <c r="AC28" s="323"/>
      <c r="AD28" s="323"/>
      <c r="AE28" s="349" t="s">
        <v>31</v>
      </c>
      <c r="AF28" s="351"/>
      <c r="AG28" s="351"/>
      <c r="AH28" s="323"/>
      <c r="AJ28" s="345">
        <f>IFERROR(VLOOKUP($D28,'Dec 25'!$D$8:$BL$43,57,0),0)</f>
        <v>0</v>
      </c>
      <c r="AK28" s="22">
        <f>IFERROR(VLOOKUP($D28,'Dec 25'!$D$8:$BL$43,58,0),0)</f>
        <v>0</v>
      </c>
      <c r="AL28" s="22">
        <f>IFERROR(VLOOKUP($D28,'Dec 25'!$D$8:$BL$43,59,0),0)</f>
        <v>0</v>
      </c>
      <c r="AM28" s="346">
        <f>IFERROR(VLOOKUP($D28,'Dec 25'!$D$8:$BL$43,60,0),0)</f>
        <v>0</v>
      </c>
      <c r="AN28" s="37">
        <f t="shared" si="4"/>
        <v>1</v>
      </c>
      <c r="AO28" s="23">
        <f t="shared" si="5"/>
        <v>1</v>
      </c>
      <c r="AP28" s="23">
        <f t="shared" si="6"/>
        <v>1</v>
      </c>
      <c r="AQ28" s="23">
        <f t="shared" si="7"/>
        <v>0</v>
      </c>
      <c r="AR28" s="23">
        <f t="shared" si="8"/>
        <v>0</v>
      </c>
      <c r="AS28" s="278">
        <f t="shared" si="18"/>
        <v>0</v>
      </c>
      <c r="AT28" s="25">
        <f t="shared" si="9"/>
        <v>3</v>
      </c>
      <c r="AU28" s="18">
        <f t="shared" si="10"/>
        <v>5</v>
      </c>
      <c r="AV28" s="22">
        <f t="shared" si="11"/>
        <v>6</v>
      </c>
      <c r="AW28" s="18">
        <f t="shared" si="12"/>
        <v>1</v>
      </c>
      <c r="AX28" s="32">
        <f t="shared" si="13"/>
        <v>1.6666666666666667</v>
      </c>
      <c r="AY28" s="24">
        <f t="shared" si="14"/>
        <v>3</v>
      </c>
      <c r="AZ28" s="18">
        <f t="shared" si="14"/>
        <v>5</v>
      </c>
      <c r="BA28" s="18">
        <f t="shared" si="14"/>
        <v>6</v>
      </c>
      <c r="BB28" s="18">
        <f t="shared" si="14"/>
        <v>1</v>
      </c>
      <c r="BC28" s="32">
        <f t="shared" si="15"/>
        <v>1.6666666666666667</v>
      </c>
    </row>
    <row r="29" spans="2:55" ht="16" thickBot="1" x14ac:dyDescent="0.25">
      <c r="B29" s="1">
        <f t="shared" ref="B29" si="39">B28+1</f>
        <v>25</v>
      </c>
      <c r="C29" s="71">
        <f t="shared" si="32"/>
        <v>22</v>
      </c>
      <c r="D29" s="311" t="s">
        <v>235</v>
      </c>
      <c r="E29" s="341">
        <v>86</v>
      </c>
      <c r="F29" s="230" t="str">
        <f>IFERROR(IF(VLOOKUP($D29,'Dec 25'!$D$8:$AQ$43,39,0)=0,"",VLOOKUP($D29,'Dec 25'!$D$8:$AQ$43,39,0)),"")</f>
        <v/>
      </c>
      <c r="G29" s="70" t="str">
        <f>IFERROR(IF(VLOOKUP($D29,'Dec 25'!$D$8:$AQ$43,40,0)=0,"",VLOOKUP($D29,'Dec 25'!$D$8:$AQ$43,40,0)),"")</f>
        <v/>
      </c>
      <c r="H29" s="322" t="s">
        <v>216</v>
      </c>
      <c r="I29" s="323"/>
      <c r="J29" s="323"/>
      <c r="K29" s="329" t="s">
        <v>21</v>
      </c>
      <c r="L29" s="329"/>
      <c r="M29" s="323"/>
      <c r="N29" s="323"/>
      <c r="O29" s="323"/>
      <c r="P29" s="334"/>
      <c r="Q29" s="323"/>
      <c r="R29" s="329"/>
      <c r="S29" s="333" t="s">
        <v>31</v>
      </c>
      <c r="T29" s="337" t="s">
        <v>249</v>
      </c>
      <c r="U29" s="335" t="s">
        <v>243</v>
      </c>
      <c r="V29" s="323"/>
      <c r="W29" s="323"/>
      <c r="X29" s="323"/>
      <c r="Y29" s="329"/>
      <c r="Z29" s="333" t="s">
        <v>32</v>
      </c>
      <c r="AA29" s="323"/>
      <c r="AB29" s="323"/>
      <c r="AC29" s="323"/>
      <c r="AD29" s="323"/>
      <c r="AE29" s="349"/>
      <c r="AF29" s="351"/>
      <c r="AG29" s="351"/>
      <c r="AH29" s="323" t="s">
        <v>31</v>
      </c>
      <c r="AJ29" s="345">
        <f>IFERROR(VLOOKUP($D29,'Dec 25'!$D$8:$BL$43,57,0),0)</f>
        <v>0</v>
      </c>
      <c r="AK29" s="22">
        <f>IFERROR(VLOOKUP($D29,'Dec 25'!$D$8:$BL$43,58,0),0)</f>
        <v>0</v>
      </c>
      <c r="AL29" s="22">
        <f>IFERROR(VLOOKUP($D29,'Dec 25'!$D$8:$BL$43,59,0),0)</f>
        <v>0</v>
      </c>
      <c r="AM29" s="346">
        <f>IFERROR(VLOOKUP($D29,'Dec 25'!$D$8:$BL$43,60,0),0)</f>
        <v>0</v>
      </c>
      <c r="AN29" s="37">
        <f t="shared" si="4"/>
        <v>1</v>
      </c>
      <c r="AO29" s="23">
        <f t="shared" si="5"/>
        <v>0</v>
      </c>
      <c r="AP29" s="23">
        <f t="shared" si="6"/>
        <v>0</v>
      </c>
      <c r="AQ29" s="23">
        <f t="shared" si="7"/>
        <v>2</v>
      </c>
      <c r="AR29" s="23">
        <f t="shared" si="8"/>
        <v>0</v>
      </c>
      <c r="AS29" s="278">
        <f t="shared" si="18"/>
        <v>1</v>
      </c>
      <c r="AT29" s="25">
        <f t="shared" si="9"/>
        <v>3</v>
      </c>
      <c r="AU29" s="18">
        <f t="shared" si="10"/>
        <v>5</v>
      </c>
      <c r="AV29" s="22">
        <f t="shared" si="11"/>
        <v>5</v>
      </c>
      <c r="AW29" s="18">
        <f t="shared" si="12"/>
        <v>1</v>
      </c>
      <c r="AX29" s="32">
        <f t="shared" si="13"/>
        <v>1.6666666666666667</v>
      </c>
      <c r="AY29" s="24">
        <f t="shared" si="14"/>
        <v>3</v>
      </c>
      <c r="AZ29" s="18">
        <f t="shared" si="14"/>
        <v>5</v>
      </c>
      <c r="BA29" s="18">
        <f t="shared" si="14"/>
        <v>5</v>
      </c>
      <c r="BB29" s="18">
        <f t="shared" si="14"/>
        <v>1</v>
      </c>
      <c r="BC29" s="32">
        <f t="shared" si="15"/>
        <v>1.6666666666666667</v>
      </c>
    </row>
    <row r="30" spans="2:55" ht="16" thickBot="1" x14ac:dyDescent="0.25">
      <c r="B30" s="1">
        <f t="shared" ref="B30" si="40">B29+1</f>
        <v>26</v>
      </c>
      <c r="C30" s="71">
        <f t="shared" si="32"/>
        <v>23</v>
      </c>
      <c r="D30" s="311" t="s">
        <v>236</v>
      </c>
      <c r="E30" s="341">
        <v>86</v>
      </c>
      <c r="F30" s="230" t="str">
        <f>IFERROR(IF(VLOOKUP($D30,'Dec 25'!$D$8:$AQ$43,39,0)=0,"",VLOOKUP($D30,'Dec 25'!$D$8:$AQ$43,39,0)),"")</f>
        <v/>
      </c>
      <c r="G30" s="70" t="str">
        <f>IFERROR(IF(VLOOKUP($D30,'Dec 25'!$D$8:$AQ$43,40,0)=0,"",VLOOKUP($D30,'Dec 25'!$D$8:$AQ$43,40,0)),"")</f>
        <v/>
      </c>
      <c r="H30" s="322"/>
      <c r="I30" s="323"/>
      <c r="J30" s="323"/>
      <c r="K30" s="334"/>
      <c r="L30" s="329" t="s">
        <v>31</v>
      </c>
      <c r="M30" s="323"/>
      <c r="N30" s="323"/>
      <c r="O30" s="323"/>
      <c r="P30" s="333" t="s">
        <v>31</v>
      </c>
      <c r="Q30" s="323"/>
      <c r="R30" s="329"/>
      <c r="S30" s="329" t="s">
        <v>21</v>
      </c>
      <c r="T30" s="323"/>
      <c r="U30" s="323"/>
      <c r="V30" s="323"/>
      <c r="W30" s="323"/>
      <c r="X30" s="323" t="s">
        <v>31</v>
      </c>
      <c r="Y30" s="334"/>
      <c r="Z30" s="329"/>
      <c r="AA30" s="323" t="s">
        <v>216</v>
      </c>
      <c r="AB30" s="323"/>
      <c r="AC30" s="323"/>
      <c r="AD30" s="333"/>
      <c r="AE30" s="349"/>
      <c r="AF30" s="20" t="s">
        <v>81</v>
      </c>
      <c r="AG30" s="351" t="s">
        <v>19</v>
      </c>
      <c r="AH30" s="323" t="s">
        <v>34</v>
      </c>
      <c r="AJ30" s="345">
        <f>IFERROR(VLOOKUP($D30,'Dec 25'!$D$8:$BL$43,57,0),0)</f>
        <v>0</v>
      </c>
      <c r="AK30" s="22">
        <f>IFERROR(VLOOKUP($D30,'Dec 25'!$D$8:$BL$43,58,0),0)</f>
        <v>0</v>
      </c>
      <c r="AL30" s="22">
        <f>IFERROR(VLOOKUP($D30,'Dec 25'!$D$8:$BL$43,59,0),0)</f>
        <v>0</v>
      </c>
      <c r="AM30" s="346">
        <f>IFERROR(VLOOKUP($D30,'Dec 25'!$D$8:$BL$43,60,0),0)</f>
        <v>0</v>
      </c>
      <c r="AN30" s="37">
        <f t="shared" si="4"/>
        <v>2</v>
      </c>
      <c r="AO30" s="23">
        <f t="shared" si="5"/>
        <v>1</v>
      </c>
      <c r="AP30" s="23">
        <f t="shared" si="6"/>
        <v>0</v>
      </c>
      <c r="AQ30" s="23">
        <f t="shared" si="7"/>
        <v>1</v>
      </c>
      <c r="AR30" s="23">
        <f t="shared" si="8"/>
        <v>1</v>
      </c>
      <c r="AS30" s="278">
        <f t="shared" si="18"/>
        <v>1</v>
      </c>
      <c r="AT30" s="25">
        <f t="shared" si="9"/>
        <v>4.5</v>
      </c>
      <c r="AU30" s="18">
        <f t="shared" si="10"/>
        <v>6</v>
      </c>
      <c r="AV30" s="22">
        <f t="shared" si="11"/>
        <v>4</v>
      </c>
      <c r="AW30" s="18">
        <f t="shared" si="12"/>
        <v>2</v>
      </c>
      <c r="AX30" s="32">
        <f t="shared" si="13"/>
        <v>1.3333333333333333</v>
      </c>
      <c r="AY30" s="24">
        <f t="shared" si="14"/>
        <v>4.5</v>
      </c>
      <c r="AZ30" s="18">
        <f t="shared" si="14"/>
        <v>6</v>
      </c>
      <c r="BA30" s="18">
        <f t="shared" si="14"/>
        <v>4</v>
      </c>
      <c r="BB30" s="18">
        <f t="shared" si="14"/>
        <v>2</v>
      </c>
      <c r="BC30" s="32">
        <f t="shared" si="15"/>
        <v>1.3333333333333333</v>
      </c>
    </row>
    <row r="31" spans="2:55" ht="16" thickBot="1" x14ac:dyDescent="0.25">
      <c r="B31" s="1">
        <f t="shared" ref="B31" si="41">B30+1</f>
        <v>27</v>
      </c>
      <c r="C31" s="71">
        <f t="shared" si="32"/>
        <v>24</v>
      </c>
      <c r="D31" s="312" t="s">
        <v>199</v>
      </c>
      <c r="E31" s="292">
        <v>41</v>
      </c>
      <c r="F31" s="230" t="str">
        <f>IFERROR(IF(VLOOKUP($D31,'Dec 25'!$D$8:$AQ$43,39,0)=0,"",VLOOKUP($D31,'Dec 25'!$D$8:$AQ$43,39,0)),"")</f>
        <v/>
      </c>
      <c r="G31" s="70" t="str">
        <f>IFERROR(IF(VLOOKUP($D31,'Dec 25'!$D$8:$AQ$43,40,0)=0,"",VLOOKUP($D31,'Dec 25'!$D$8:$AQ$43,40,0)),"")</f>
        <v>S</v>
      </c>
      <c r="H31" s="322"/>
      <c r="I31" s="337" t="s">
        <v>249</v>
      </c>
      <c r="J31" s="335" t="s">
        <v>243</v>
      </c>
      <c r="K31" s="335" t="s">
        <v>243</v>
      </c>
      <c r="L31" s="335" t="s">
        <v>243</v>
      </c>
      <c r="M31" s="335" t="s">
        <v>243</v>
      </c>
      <c r="N31" s="323"/>
      <c r="O31" s="323" t="s">
        <v>30</v>
      </c>
      <c r="P31" s="323"/>
      <c r="Q31" s="323"/>
      <c r="R31" s="329"/>
      <c r="S31" s="329"/>
      <c r="T31" s="323" t="s">
        <v>34</v>
      </c>
      <c r="U31" s="323"/>
      <c r="V31" s="323"/>
      <c r="W31" s="323" t="s">
        <v>31</v>
      </c>
      <c r="X31" s="323"/>
      <c r="Y31" s="329" t="s">
        <v>81</v>
      </c>
      <c r="Z31" s="329" t="s">
        <v>29</v>
      </c>
      <c r="AA31" s="323"/>
      <c r="AB31" s="337" t="s">
        <v>249</v>
      </c>
      <c r="AC31" s="335" t="s">
        <v>243</v>
      </c>
      <c r="AD31" s="335" t="s">
        <v>243</v>
      </c>
      <c r="AE31" s="335" t="s">
        <v>243</v>
      </c>
      <c r="AF31" s="335" t="s">
        <v>243</v>
      </c>
      <c r="AG31" s="335" t="s">
        <v>243</v>
      </c>
      <c r="AH31" s="335" t="s">
        <v>243</v>
      </c>
      <c r="AJ31" s="345">
        <f>IFERROR(VLOOKUP($D31,'Dec 25'!$D$8:$BL$43,57,0),0)</f>
        <v>9.5</v>
      </c>
      <c r="AK31" s="22">
        <f>IFERROR(VLOOKUP($D31,'Dec 25'!$D$8:$BL$43,58,0),0)</f>
        <v>14.5</v>
      </c>
      <c r="AL31" s="22">
        <f>IFERROR(VLOOKUP($D31,'Dec 25'!$D$8:$BL$43,59,0),0)</f>
        <v>21</v>
      </c>
      <c r="AM31" s="346">
        <f>IFERROR(VLOOKUP($D31,'Dec 25'!$D$8:$BL$43,60,0),0)</f>
        <v>3</v>
      </c>
      <c r="AN31" s="37">
        <f t="shared" si="4"/>
        <v>3</v>
      </c>
      <c r="AO31" s="23">
        <f t="shared" si="5"/>
        <v>0</v>
      </c>
      <c r="AP31" s="23">
        <f t="shared" si="6"/>
        <v>0</v>
      </c>
      <c r="AQ31" s="23">
        <f t="shared" si="7"/>
        <v>1</v>
      </c>
      <c r="AR31" s="23">
        <f t="shared" si="8"/>
        <v>0</v>
      </c>
      <c r="AS31" s="278">
        <f t="shared" si="18"/>
        <v>0</v>
      </c>
      <c r="AT31" s="25">
        <f t="shared" si="9"/>
        <v>4</v>
      </c>
      <c r="AU31" s="18">
        <f t="shared" si="10"/>
        <v>5</v>
      </c>
      <c r="AV31" s="22">
        <f t="shared" si="11"/>
        <v>2</v>
      </c>
      <c r="AW31" s="18">
        <f t="shared" si="12"/>
        <v>1</v>
      </c>
      <c r="AX31" s="32">
        <f t="shared" si="13"/>
        <v>1.25</v>
      </c>
      <c r="AY31" s="24">
        <f t="shared" si="14"/>
        <v>13.5</v>
      </c>
      <c r="AZ31" s="18">
        <f t="shared" si="14"/>
        <v>19.5</v>
      </c>
      <c r="BA31" s="18">
        <f t="shared" si="14"/>
        <v>23</v>
      </c>
      <c r="BB31" s="18">
        <f t="shared" si="14"/>
        <v>4</v>
      </c>
      <c r="BC31" s="32">
        <f t="shared" si="15"/>
        <v>1.4444444444444444</v>
      </c>
    </row>
    <row r="32" spans="2:55" ht="16" thickBot="1" x14ac:dyDescent="0.25">
      <c r="B32" s="1">
        <f t="shared" ref="B32" si="42">B31+1</f>
        <v>28</v>
      </c>
      <c r="C32" s="71">
        <f t="shared" si="32"/>
        <v>25</v>
      </c>
      <c r="D32" s="312" t="s">
        <v>205</v>
      </c>
      <c r="E32" s="292">
        <v>62</v>
      </c>
      <c r="F32" s="230" t="str">
        <f>IFERROR(IF(VLOOKUP($D32,'Dec 25'!$D$8:$AQ$43,39,0)=0,"",VLOOKUP($D32,'Dec 25'!$D$8:$AQ$43,39,0)),"")</f>
        <v/>
      </c>
      <c r="G32" s="70" t="str">
        <f>IFERROR(IF(VLOOKUP($D32,'Dec 25'!$D$8:$AQ$43,40,0)=0,"",VLOOKUP($D32,'Dec 25'!$D$8:$AQ$43,40,0)),"")</f>
        <v>HO2</v>
      </c>
      <c r="H32" s="323"/>
      <c r="I32" s="323"/>
      <c r="J32" s="323"/>
      <c r="K32" s="334"/>
      <c r="L32" s="329"/>
      <c r="M32" s="323"/>
      <c r="N32" s="323"/>
      <c r="O32" s="333" t="s">
        <v>29</v>
      </c>
      <c r="P32" s="337" t="s">
        <v>249</v>
      </c>
      <c r="Q32" s="335" t="s">
        <v>243</v>
      </c>
      <c r="R32" s="335" t="s">
        <v>243</v>
      </c>
      <c r="S32" s="335" t="s">
        <v>243</v>
      </c>
      <c r="T32" s="335" t="s">
        <v>243</v>
      </c>
      <c r="U32" s="335" t="s">
        <v>243</v>
      </c>
      <c r="V32" s="335" t="s">
        <v>243</v>
      </c>
      <c r="W32" s="323"/>
      <c r="X32" s="323"/>
      <c r="Y32" s="329" t="s">
        <v>32</v>
      </c>
      <c r="Z32" s="329"/>
      <c r="AA32" s="323"/>
      <c r="AB32" s="323"/>
      <c r="AC32" s="333"/>
      <c r="AD32" s="323"/>
      <c r="AE32" s="349"/>
      <c r="AF32" s="350"/>
      <c r="AG32" s="351" t="s">
        <v>32</v>
      </c>
      <c r="AH32" s="323"/>
      <c r="AJ32" s="345">
        <f>IFERROR(VLOOKUP($D32,'Dec 25'!$D$8:$BL$43,57,0),0)</f>
        <v>9</v>
      </c>
      <c r="AK32" s="22">
        <f>IFERROR(VLOOKUP($D32,'Dec 25'!$D$8:$BL$43,58,0),0)</f>
        <v>14</v>
      </c>
      <c r="AL32" s="22">
        <f>IFERROR(VLOOKUP($D32,'Dec 25'!$D$8:$BL$43,59,0),0)</f>
        <v>21</v>
      </c>
      <c r="AM32" s="346">
        <f>IFERROR(VLOOKUP($D32,'Dec 25'!$D$8:$BL$43,60,0),0)</f>
        <v>2</v>
      </c>
      <c r="AN32" s="37">
        <f t="shared" si="4"/>
        <v>1</v>
      </c>
      <c r="AO32" s="23">
        <f t="shared" si="5"/>
        <v>0</v>
      </c>
      <c r="AP32" s="23">
        <f t="shared" si="6"/>
        <v>1</v>
      </c>
      <c r="AQ32" s="23">
        <f t="shared" si="7"/>
        <v>1</v>
      </c>
      <c r="AR32" s="23">
        <f t="shared" si="8"/>
        <v>0</v>
      </c>
      <c r="AS32" s="278">
        <f t="shared" si="18"/>
        <v>0</v>
      </c>
      <c r="AT32" s="25">
        <f t="shared" si="9"/>
        <v>3</v>
      </c>
      <c r="AU32" s="18">
        <f t="shared" si="10"/>
        <v>5.5</v>
      </c>
      <c r="AV32" s="22">
        <f t="shared" si="11"/>
        <v>4</v>
      </c>
      <c r="AW32" s="18">
        <f t="shared" si="12"/>
        <v>0</v>
      </c>
      <c r="AX32" s="32">
        <f t="shared" si="13"/>
        <v>1.8333333333333333</v>
      </c>
      <c r="AY32" s="24">
        <f t="shared" si="14"/>
        <v>12</v>
      </c>
      <c r="AZ32" s="18">
        <f t="shared" si="14"/>
        <v>19.5</v>
      </c>
      <c r="BA32" s="18">
        <f t="shared" si="14"/>
        <v>25</v>
      </c>
      <c r="BB32" s="18">
        <f t="shared" si="14"/>
        <v>2</v>
      </c>
      <c r="BC32" s="32">
        <f t="shared" si="15"/>
        <v>1.625</v>
      </c>
    </row>
    <row r="33" spans="2:55" ht="16" thickBot="1" x14ac:dyDescent="0.25">
      <c r="B33" s="1">
        <f t="shared" ref="B33" si="43">B32+1</f>
        <v>29</v>
      </c>
      <c r="C33" s="71">
        <f t="shared" si="32"/>
        <v>26</v>
      </c>
      <c r="D33" s="312" t="s">
        <v>237</v>
      </c>
      <c r="E33" s="292">
        <v>62</v>
      </c>
      <c r="F33" s="230" t="str">
        <f>IFERROR(IF(VLOOKUP($D33,'Dec 25'!$D$8:$AQ$43,39,0)=0,"",VLOOKUP($D33,'Dec 25'!$D$8:$AQ$43,39,0)),"")</f>
        <v/>
      </c>
      <c r="G33" s="70" t="str">
        <f>IFERROR(IF(VLOOKUP($D33,'Dec 25'!$D$8:$AQ$43,40,0)=0,"",VLOOKUP($D33,'Dec 25'!$D$8:$AQ$43,40,0)),"")</f>
        <v/>
      </c>
      <c r="H33" s="322"/>
      <c r="I33" s="323" t="s">
        <v>32</v>
      </c>
      <c r="J33" s="323"/>
      <c r="K33" s="334"/>
      <c r="L33" s="334"/>
      <c r="M33" s="323"/>
      <c r="N33" s="323"/>
      <c r="O33" s="323"/>
      <c r="P33" s="323"/>
      <c r="Q33" s="323"/>
      <c r="R33" s="329" t="s">
        <v>29</v>
      </c>
      <c r="S33" s="329"/>
      <c r="T33" s="323"/>
      <c r="U33" s="323"/>
      <c r="W33" s="323"/>
      <c r="X33" s="323"/>
      <c r="Y33" s="329"/>
      <c r="Z33" s="329"/>
      <c r="AA33" s="323"/>
      <c r="AB33" s="323" t="s">
        <v>31</v>
      </c>
      <c r="AC33" s="323"/>
      <c r="AD33" s="323"/>
      <c r="AE33" s="323"/>
      <c r="AF33" s="329"/>
      <c r="AG33" s="329"/>
      <c r="AH33" s="323" t="s">
        <v>29</v>
      </c>
      <c r="AJ33" s="345">
        <f>IFERROR(VLOOKUP($D33,'Dec 25'!$D$8:$BL$43,57,0),0)</f>
        <v>0</v>
      </c>
      <c r="AK33" s="22">
        <f>IFERROR(VLOOKUP($D33,'Dec 25'!$D$8:$BL$43,58,0),0)</f>
        <v>0</v>
      </c>
      <c r="AL33" s="22">
        <f>IFERROR(VLOOKUP($D33,'Dec 25'!$D$8:$BL$43,59,0),0)</f>
        <v>0</v>
      </c>
      <c r="AM33" s="346">
        <f>IFERROR(VLOOKUP($D33,'Dec 25'!$D$8:$BL$43,60,0),0)</f>
        <v>0</v>
      </c>
      <c r="AN33" s="37">
        <f>COUNTIFS(H33:AH33,"HO*",$H$6:$AH$6,"&lt;5")</f>
        <v>3</v>
      </c>
      <c r="AO33" s="23">
        <f>COUNTIFS(H33:AH33,"HO*",$H$6:$AH$6,"5")</f>
        <v>0</v>
      </c>
      <c r="AP33" s="23">
        <f t="shared" si="6"/>
        <v>1</v>
      </c>
      <c r="AQ33" s="23">
        <f>COUNTIFS(H33:AH33,"HO*",$H$6:$AH$6,"7")-COUNTIFS(H33:AH33,"HO6",$H$6:$AH$6,"7")</f>
        <v>0</v>
      </c>
      <c r="AR33" s="23">
        <f>COUNTIF(H33:AH33,"HO6")</f>
        <v>0</v>
      </c>
      <c r="AS33" s="278">
        <f t="shared" si="18"/>
        <v>0</v>
      </c>
      <c r="AT33" s="25">
        <f t="shared" si="9"/>
        <v>4</v>
      </c>
      <c r="AU33" s="18">
        <f t="shared" si="10"/>
        <v>5.5</v>
      </c>
      <c r="AV33" s="22">
        <f>COUNTIFS(H33:AH33,"",$H$6:$AH$6,"&gt;5")+COUNTIFS(H33:AH33,"X",$H$6:$AH$6,"&gt;5")</f>
        <v>7</v>
      </c>
      <c r="AW33" s="18">
        <f>COUNTIF(H33:AH33,"WR*")</f>
        <v>0</v>
      </c>
      <c r="AX33" s="32">
        <f t="shared" si="13"/>
        <v>1.375</v>
      </c>
      <c r="AY33" s="24">
        <f t="shared" si="14"/>
        <v>4</v>
      </c>
      <c r="AZ33" s="18">
        <f t="shared" si="14"/>
        <v>5.5</v>
      </c>
      <c r="BA33" s="18">
        <f t="shared" si="14"/>
        <v>7</v>
      </c>
      <c r="BB33" s="18">
        <f t="shared" si="14"/>
        <v>0</v>
      </c>
      <c r="BC33" s="32">
        <f t="shared" si="15"/>
        <v>1.375</v>
      </c>
    </row>
    <row r="34" spans="2:55" ht="16" thickBot="1" x14ac:dyDescent="0.25">
      <c r="B34" s="1">
        <f t="shared" ref="B34:B35" si="44">B33+1</f>
        <v>30</v>
      </c>
      <c r="C34" s="71">
        <f t="shared" si="32"/>
        <v>27</v>
      </c>
      <c r="D34" s="312" t="s">
        <v>238</v>
      </c>
      <c r="E34" s="292">
        <v>62</v>
      </c>
      <c r="F34" s="230" t="str">
        <f>IFERROR(IF(VLOOKUP($D34,'Dec 25'!$D$8:$AQ$43,39,0)=0,"",VLOOKUP($D34,'Dec 25'!$D$8:$AQ$43,39,0)),"")</f>
        <v/>
      </c>
      <c r="G34" s="70" t="str">
        <f>IFERROR(IF(VLOOKUP($D34,'Dec 25'!$D$8:$AQ$43,40,0)=0,"",VLOOKUP($D34,'Dec 25'!$D$8:$AQ$43,40,0)),"")</f>
        <v/>
      </c>
      <c r="H34" s="322"/>
      <c r="I34" s="323"/>
      <c r="J34" s="323"/>
      <c r="K34" s="329" t="s">
        <v>19</v>
      </c>
      <c r="L34" s="329"/>
      <c r="M34" s="323"/>
      <c r="N34" s="323"/>
      <c r="O34" s="323"/>
      <c r="P34" s="323" t="s">
        <v>216</v>
      </c>
      <c r="Q34" s="323"/>
      <c r="R34" s="329"/>
      <c r="S34" s="329" t="s">
        <v>29</v>
      </c>
      <c r="T34" s="323"/>
      <c r="U34" s="323"/>
      <c r="V34" s="323" t="s">
        <v>31</v>
      </c>
      <c r="W34" s="323"/>
      <c r="X34" s="323"/>
      <c r="Y34" s="329" t="s">
        <v>29</v>
      </c>
      <c r="Z34" s="329"/>
      <c r="AA34" s="323"/>
      <c r="AB34" s="324"/>
      <c r="AC34" s="324"/>
      <c r="AD34" s="323"/>
      <c r="AE34" s="323"/>
      <c r="AF34" s="329"/>
      <c r="AG34" s="329"/>
      <c r="AH34" s="323"/>
      <c r="AJ34" s="345">
        <f>IFERROR(VLOOKUP($D34,'Dec 25'!$D$8:$BL$43,57,0),0)</f>
        <v>0</v>
      </c>
      <c r="AK34" s="22">
        <f>IFERROR(VLOOKUP($D34,'Dec 25'!$D$8:$BL$43,58,0),0)</f>
        <v>0</v>
      </c>
      <c r="AL34" s="22">
        <f>IFERROR(VLOOKUP($D34,'Dec 25'!$D$8:$BL$43,59,0),0)</f>
        <v>0</v>
      </c>
      <c r="AM34" s="346">
        <f>IFERROR(VLOOKUP($D34,'Dec 25'!$D$8:$BL$43,60,0),0)</f>
        <v>0</v>
      </c>
      <c r="AN34" s="37">
        <f t="shared" si="4"/>
        <v>1</v>
      </c>
      <c r="AO34" s="23">
        <f t="shared" si="5"/>
        <v>0</v>
      </c>
      <c r="AP34" s="23">
        <f t="shared" si="6"/>
        <v>1</v>
      </c>
      <c r="AQ34" s="23">
        <f t="shared" si="7"/>
        <v>1</v>
      </c>
      <c r="AR34" s="23">
        <f t="shared" si="8"/>
        <v>1</v>
      </c>
      <c r="AS34" s="278">
        <f t="shared" si="18"/>
        <v>1</v>
      </c>
      <c r="AT34" s="25">
        <f t="shared" si="9"/>
        <v>3.5</v>
      </c>
      <c r="AU34" s="18">
        <f t="shared" si="10"/>
        <v>6</v>
      </c>
      <c r="AV34" s="22">
        <f t="shared" si="11"/>
        <v>5</v>
      </c>
      <c r="AW34" s="18">
        <f t="shared" si="12"/>
        <v>0</v>
      </c>
      <c r="AX34" s="32">
        <f t="shared" si="13"/>
        <v>1.7142857142857142</v>
      </c>
      <c r="AY34" s="24">
        <f t="shared" si="14"/>
        <v>3.5</v>
      </c>
      <c r="AZ34" s="18">
        <f t="shared" si="14"/>
        <v>6</v>
      </c>
      <c r="BA34" s="18">
        <f t="shared" si="14"/>
        <v>5</v>
      </c>
      <c r="BB34" s="18">
        <f t="shared" si="14"/>
        <v>0</v>
      </c>
      <c r="BC34" s="32">
        <f t="shared" si="15"/>
        <v>1.7142857142857142</v>
      </c>
    </row>
    <row r="35" spans="2:55" ht="16" thickBot="1" x14ac:dyDescent="0.25">
      <c r="B35" s="1">
        <f t="shared" si="44"/>
        <v>31</v>
      </c>
      <c r="C35" s="71">
        <f t="shared" si="32"/>
        <v>28</v>
      </c>
      <c r="D35" s="312" t="s">
        <v>239</v>
      </c>
      <c r="E35" s="292">
        <v>62</v>
      </c>
      <c r="F35" s="230" t="str">
        <f>IFERROR(IF(VLOOKUP($D35,'Dec 25'!$D$8:$AQ$43,39,0)=0,"",VLOOKUP($D35,'Dec 25'!$D$8:$AQ$43,39,0)),"")</f>
        <v/>
      </c>
      <c r="G35" s="70" t="str">
        <f>IFERROR(IF(VLOOKUP($D35,'Dec 25'!$D$8:$AQ$43,40,0)=0,"",VLOOKUP($D35,'Dec 25'!$D$8:$AQ$43,40,0)),"")</f>
        <v/>
      </c>
      <c r="H35" s="334"/>
      <c r="I35" s="323" t="s">
        <v>29</v>
      </c>
      <c r="J35" s="323"/>
      <c r="K35" s="334"/>
      <c r="L35" s="329" t="s">
        <v>216</v>
      </c>
      <c r="M35" s="323"/>
      <c r="N35" s="323"/>
      <c r="O35" s="323" t="s">
        <v>31</v>
      </c>
      <c r="P35" s="323"/>
      <c r="Q35" s="323"/>
      <c r="R35" s="329" t="s">
        <v>32</v>
      </c>
      <c r="S35" s="329"/>
      <c r="T35" s="323"/>
      <c r="U35" s="323"/>
      <c r="V35" s="323"/>
      <c r="W35" s="323"/>
      <c r="X35" s="323"/>
      <c r="Y35" s="329"/>
      <c r="Z35" s="329"/>
      <c r="AA35" s="323"/>
      <c r="AB35" s="323"/>
      <c r="AC35" s="323" t="s">
        <v>29</v>
      </c>
      <c r="AD35" s="323"/>
      <c r="AE35" s="323"/>
      <c r="AF35" s="329" t="s">
        <v>19</v>
      </c>
      <c r="AG35" s="329"/>
      <c r="AH35" s="323"/>
      <c r="AJ35" s="345">
        <f>IFERROR(VLOOKUP($D35,'Dec 25'!$D$8:$BL$43,57,0),0)</f>
        <v>0</v>
      </c>
      <c r="AK35" s="22">
        <f>IFERROR(VLOOKUP($D35,'Dec 25'!$D$8:$BL$43,58,0),0)</f>
        <v>0</v>
      </c>
      <c r="AL35" s="22">
        <f>IFERROR(VLOOKUP($D35,'Dec 25'!$D$8:$BL$43,59,0),0)</f>
        <v>0</v>
      </c>
      <c r="AM35" s="346">
        <f>IFERROR(VLOOKUP($D35,'Dec 25'!$D$8:$BL$43,60,0),0)</f>
        <v>0</v>
      </c>
      <c r="AN35" s="37">
        <f t="shared" ref="AN35:AN36" si="45">COUNTIFS(H35:AH35,"HO*",$H$6:$AH$6,"&lt;5")</f>
        <v>3</v>
      </c>
      <c r="AO35" s="23">
        <f t="shared" ref="AO35:AO36" si="46">COUNTIFS(H35:AH35,"HO*",$H$6:$AH$6,"5")</f>
        <v>0</v>
      </c>
      <c r="AP35" s="23">
        <f t="shared" ref="AP35:AP36" si="47">COUNTIFS(H35:AH35,"HO*",$H$6:$AH$6,"6")-COUNTIFS(H35:AH35,"HO6",$H$6:$AH$6,"6")</f>
        <v>1</v>
      </c>
      <c r="AQ35" s="23">
        <f t="shared" ref="AQ35:AQ36" si="48">COUNTIFS(H35:AH35,"HO*",$H$6:$AH$6,"7")-COUNTIFS(H35:AH35,"HO6",$H$6:$AH$6,"7")</f>
        <v>0</v>
      </c>
      <c r="AR35" s="23">
        <f t="shared" ref="AR35:AR36" si="49">COUNTIF(H35:AH35,"HO6")</f>
        <v>1</v>
      </c>
      <c r="AS35" s="278">
        <f t="shared" si="18"/>
        <v>1</v>
      </c>
      <c r="AT35" s="25">
        <f t="shared" ref="AT35:AT36" si="50">SUM(AN35:AQ35)+AR35*0.5</f>
        <v>4.5</v>
      </c>
      <c r="AU35" s="18">
        <f t="shared" ref="AU35:AU36" si="51">AN35*1+AO35*1.5+AP35*2.5+AQ35*2+AR35*0.5</f>
        <v>6</v>
      </c>
      <c r="AV35" s="22">
        <f t="shared" ref="AV35:AV36" si="52">COUNTIFS(H35:AH35,"",$H$6:$AH$6,"&gt;5")+COUNTIFS(H35:AH35,"X",$H$6:$AH$6,"&gt;5")</f>
        <v>5</v>
      </c>
      <c r="AW35" s="18">
        <f t="shared" ref="AW35:AW36" si="53">COUNTIF(H35:AH35,"WR*")</f>
        <v>0</v>
      </c>
      <c r="AX35" s="32">
        <f t="shared" ref="AX35:AX36" si="54">AU35/AT35</f>
        <v>1.3333333333333333</v>
      </c>
      <c r="AY35" s="24">
        <f t="shared" ref="AY35:AY36" si="55">AT35+AJ35</f>
        <v>4.5</v>
      </c>
      <c r="AZ35" s="18">
        <f t="shared" ref="AZ35:AZ36" si="56">AU35+AK35</f>
        <v>6</v>
      </c>
      <c r="BA35" s="18">
        <f t="shared" ref="BA35:BA36" si="57">AV35+AL35</f>
        <v>5</v>
      </c>
      <c r="BB35" s="18">
        <f t="shared" ref="BB35:BB36" si="58">AW35+AM35</f>
        <v>0</v>
      </c>
      <c r="BC35" s="32">
        <f t="shared" ref="BC35:BC36" si="59">AZ35/AY35</f>
        <v>1.3333333333333333</v>
      </c>
    </row>
    <row r="36" spans="2:55" ht="16" thickBot="1" x14ac:dyDescent="0.25">
      <c r="B36" s="1">
        <f t="shared" ref="B36" si="60">B34+1</f>
        <v>31</v>
      </c>
      <c r="C36" s="71">
        <f t="shared" si="32"/>
        <v>29</v>
      </c>
      <c r="D36" s="312" t="s">
        <v>240</v>
      </c>
      <c r="E36" s="292">
        <v>62</v>
      </c>
      <c r="F36" s="230" t="str">
        <f>IFERROR(IF(VLOOKUP($D36,'Dec 25'!$D$8:$AQ$43,39,0)=0,"",VLOOKUP($D36,'Dec 25'!$D$8:$AQ$43,39,0)),"")</f>
        <v/>
      </c>
      <c r="G36" s="70" t="str">
        <f>IFERROR(IF(VLOOKUP($D36,'Dec 25'!$D$8:$AQ$43,40,0)=0,"",VLOOKUP($D36,'Dec 25'!$D$8:$AQ$43,40,0)),"")</f>
        <v/>
      </c>
      <c r="H36" s="334"/>
      <c r="I36" s="323"/>
      <c r="J36" s="323"/>
      <c r="K36" s="329" t="s">
        <v>29</v>
      </c>
      <c r="L36" s="329"/>
      <c r="M36" s="323"/>
      <c r="N36" s="323" t="s">
        <v>29</v>
      </c>
      <c r="O36" s="323"/>
      <c r="P36" s="323"/>
      <c r="Q36" s="323"/>
      <c r="R36" s="329"/>
      <c r="S36" s="329"/>
      <c r="T36" s="323"/>
      <c r="U36" s="323"/>
      <c r="V36" s="323"/>
      <c r="W36" s="323"/>
      <c r="X36" s="323" t="s">
        <v>29</v>
      </c>
      <c r="Y36" s="329"/>
      <c r="Z36" s="329"/>
      <c r="AA36" s="323"/>
      <c r="AB36" s="323"/>
      <c r="AC36" s="323" t="s">
        <v>31</v>
      </c>
      <c r="AD36" s="323"/>
      <c r="AE36" s="323"/>
      <c r="AF36" s="329"/>
      <c r="AG36" s="329"/>
      <c r="AH36" s="323" t="s">
        <v>216</v>
      </c>
      <c r="AJ36" s="345">
        <f>IFERROR(VLOOKUP($D36,'Dec 25'!$D$8:$BL$43,57,0),0)</f>
        <v>0</v>
      </c>
      <c r="AK36" s="22">
        <f>IFERROR(VLOOKUP($D36,'Dec 25'!$D$8:$BL$43,58,0),0)</f>
        <v>0</v>
      </c>
      <c r="AL36" s="22">
        <f>IFERROR(VLOOKUP($D36,'Dec 25'!$D$8:$BL$43,59,0),0)</f>
        <v>0</v>
      </c>
      <c r="AM36" s="346">
        <f>IFERROR(VLOOKUP($D36,'Dec 25'!$D$8:$BL$43,60,0),0)</f>
        <v>0</v>
      </c>
      <c r="AN36" s="37">
        <f t="shared" si="45"/>
        <v>2</v>
      </c>
      <c r="AO36" s="23">
        <f t="shared" si="46"/>
        <v>1</v>
      </c>
      <c r="AP36" s="23">
        <f t="shared" si="47"/>
        <v>1</v>
      </c>
      <c r="AQ36" s="23">
        <f t="shared" si="48"/>
        <v>0</v>
      </c>
      <c r="AR36" s="23">
        <f t="shared" si="49"/>
        <v>0</v>
      </c>
      <c r="AS36" s="278">
        <f t="shared" si="18"/>
        <v>1</v>
      </c>
      <c r="AT36" s="25">
        <f t="shared" si="50"/>
        <v>4</v>
      </c>
      <c r="AU36" s="18">
        <f t="shared" si="51"/>
        <v>6</v>
      </c>
      <c r="AV36" s="22">
        <f t="shared" si="52"/>
        <v>7</v>
      </c>
      <c r="AW36" s="18">
        <f t="shared" si="53"/>
        <v>0</v>
      </c>
      <c r="AX36" s="32">
        <f t="shared" si="54"/>
        <v>1.5</v>
      </c>
      <c r="AY36" s="24">
        <f t="shared" si="55"/>
        <v>4</v>
      </c>
      <c r="AZ36" s="18">
        <f t="shared" si="56"/>
        <v>6</v>
      </c>
      <c r="BA36" s="18">
        <f t="shared" si="57"/>
        <v>7</v>
      </c>
      <c r="BB36" s="18">
        <f t="shared" si="58"/>
        <v>0</v>
      </c>
      <c r="BC36" s="32">
        <f t="shared" si="59"/>
        <v>1.5</v>
      </c>
    </row>
    <row r="37" spans="2:55" ht="16" thickBot="1" x14ac:dyDescent="0.25">
      <c r="B37" s="1">
        <f t="shared" ref="B37" si="61">B36+1</f>
        <v>32</v>
      </c>
      <c r="C37" s="71">
        <f t="shared" si="32"/>
        <v>30</v>
      </c>
      <c r="D37" s="312" t="s">
        <v>241</v>
      </c>
      <c r="E37" s="292">
        <v>75</v>
      </c>
      <c r="F37" s="230" t="str">
        <f>IFERROR(IF(VLOOKUP($D37,'Dec 25'!$D$8:$AQ$43,39,0)=0,"",VLOOKUP($D37,'Dec 25'!$D$8:$AQ$43,39,0)),"")</f>
        <v/>
      </c>
      <c r="G37" s="70" t="str">
        <f>IFERROR(IF(VLOOKUP($D37,'Dec 25'!$D$8:$AQ$43,40,0)=0,"",VLOOKUP($D37,'Dec 25'!$D$8:$AQ$43,40,0)),"")</f>
        <v/>
      </c>
      <c r="H37" s="322"/>
      <c r="I37" s="323"/>
      <c r="J37" s="323" t="s">
        <v>29</v>
      </c>
      <c r="K37" s="329"/>
      <c r="L37" s="329"/>
      <c r="M37" s="323"/>
      <c r="N37" s="323"/>
      <c r="O37" s="323"/>
      <c r="P37" s="323"/>
      <c r="Q37" s="323"/>
      <c r="R37" s="329" t="s">
        <v>20</v>
      </c>
      <c r="S37" s="329"/>
      <c r="T37" s="323"/>
      <c r="U37" s="323" t="s">
        <v>216</v>
      </c>
      <c r="V37" s="323"/>
      <c r="W37" s="323"/>
      <c r="X37" s="323"/>
      <c r="Y37" s="329"/>
      <c r="Z37" s="329"/>
      <c r="AA37" s="323" t="s">
        <v>29</v>
      </c>
      <c r="AB37" s="323"/>
      <c r="AC37" s="323"/>
      <c r="AD37" s="323"/>
      <c r="AE37" s="323"/>
      <c r="AF37" s="329" t="s">
        <v>31</v>
      </c>
      <c r="AG37" s="329"/>
      <c r="AH37" s="323"/>
      <c r="AJ37" s="345">
        <f>IFERROR(VLOOKUP($D37,'Dec 25'!$D$8:$BL$43,57,0),0)</f>
        <v>0</v>
      </c>
      <c r="AK37" s="22">
        <f>IFERROR(VLOOKUP($D37,'Dec 25'!$D$8:$BL$43,58,0),0)</f>
        <v>0</v>
      </c>
      <c r="AL37" s="22">
        <f>IFERROR(VLOOKUP($D37,'Dec 25'!$D$8:$BL$43,59,0),0)</f>
        <v>0</v>
      </c>
      <c r="AM37" s="346">
        <f>IFERROR(VLOOKUP($D37,'Dec 25'!$D$8:$BL$43,60,0),0)</f>
        <v>0</v>
      </c>
      <c r="AN37" s="37">
        <f t="shared" ref="AN37:AN44" si="62">COUNTIFS(H37:AH37,"HO*",$H$6:$AH$6,"&lt;5")</f>
        <v>1</v>
      </c>
      <c r="AO37" s="23">
        <f t="shared" ref="AO37:AO44" si="63">COUNTIFS(H37:AH37,"HO*",$H$6:$AH$6,"5")</f>
        <v>1</v>
      </c>
      <c r="AP37" s="23">
        <f t="shared" ref="AP37:AP44" si="64">COUNTIFS(H37:AH37,"HO*",$H$6:$AH$6,"6")-COUNTIFS(H37:AH37,"HO6",$H$6:$AH$6,"6")</f>
        <v>1</v>
      </c>
      <c r="AQ37" s="23">
        <f t="shared" ref="AQ37:AQ44" si="65">COUNTIFS(H37:AH37,"HO*",$H$6:$AH$6,"7")-COUNTIFS(H37:AH37,"HO6",$H$6:$AH$6,"7")</f>
        <v>0</v>
      </c>
      <c r="AR37" s="23">
        <f t="shared" ref="AR37:AR44" si="66">COUNTIF(H37:AH37,"HO6")</f>
        <v>0</v>
      </c>
      <c r="AS37" s="278">
        <f t="shared" si="18"/>
        <v>1</v>
      </c>
      <c r="AT37" s="25">
        <f t="shared" si="9"/>
        <v>3</v>
      </c>
      <c r="AU37" s="18">
        <f t="shared" si="10"/>
        <v>5</v>
      </c>
      <c r="AV37" s="22">
        <f t="shared" ref="AV37:AV44" si="67">COUNTIFS(H37:AH37,"",$H$6:$AH$6,"&gt;5")+COUNTIFS(H37:AH37,"X",$H$6:$AH$6,"&gt;5")</f>
        <v>6</v>
      </c>
      <c r="AW37" s="18">
        <f t="shared" ref="AW37:AW44" si="68">COUNTIF(H37:AH37,"WR*")</f>
        <v>1</v>
      </c>
      <c r="AX37" s="32">
        <f t="shared" si="13"/>
        <v>1.6666666666666667</v>
      </c>
      <c r="AY37" s="24">
        <f t="shared" si="14"/>
        <v>3</v>
      </c>
      <c r="AZ37" s="18">
        <f t="shared" si="14"/>
        <v>5</v>
      </c>
      <c r="BA37" s="18">
        <f t="shared" si="14"/>
        <v>6</v>
      </c>
      <c r="BB37" s="18">
        <f t="shared" si="14"/>
        <v>1</v>
      </c>
      <c r="BC37" s="32">
        <f t="shared" si="15"/>
        <v>1.6666666666666667</v>
      </c>
    </row>
    <row r="38" spans="2:55" ht="16" thickBot="1" x14ac:dyDescent="0.25">
      <c r="B38" s="1">
        <f t="shared" ref="B38" si="69">B37+1</f>
        <v>33</v>
      </c>
      <c r="C38" s="71">
        <f t="shared" si="32"/>
        <v>31</v>
      </c>
      <c r="D38" s="312" t="s">
        <v>242</v>
      </c>
      <c r="E38" s="292">
        <v>75</v>
      </c>
      <c r="F38" s="230" t="str">
        <f>IFERROR(IF(VLOOKUP($D38,'Dec 25'!$D$8:$AQ$43,39,0)=0,"",VLOOKUP($D38,'Dec 25'!$D$8:$AQ$43,39,0)),"")</f>
        <v/>
      </c>
      <c r="G38" s="70" t="str">
        <f>IFERROR(IF(VLOOKUP($D38,'Dec 25'!$D$8:$AQ$43,40,0)=0,"",VLOOKUP($D38,'Dec 25'!$D$8:$AQ$43,40,0)),"")</f>
        <v/>
      </c>
      <c r="H38" s="322"/>
      <c r="I38" s="323"/>
      <c r="J38" s="323"/>
      <c r="K38" s="329"/>
      <c r="L38" s="329" t="s">
        <v>29</v>
      </c>
      <c r="M38" s="323"/>
      <c r="N38" s="323"/>
      <c r="O38" s="323"/>
      <c r="P38" s="323"/>
      <c r="Q38" s="323" t="s">
        <v>31</v>
      </c>
      <c r="R38" s="329"/>
      <c r="S38" s="329"/>
      <c r="T38" s="323"/>
      <c r="U38" s="323"/>
      <c r="V38" s="323" t="s">
        <v>32</v>
      </c>
      <c r="W38" s="323"/>
      <c r="X38" s="323"/>
      <c r="Y38" s="329"/>
      <c r="Z38" s="329" t="s">
        <v>81</v>
      </c>
      <c r="AA38" s="323"/>
      <c r="AB38" s="323" t="s">
        <v>29</v>
      </c>
      <c r="AC38" s="323"/>
      <c r="AD38" s="323"/>
      <c r="AE38" s="323"/>
      <c r="AF38" s="329"/>
      <c r="AG38" s="329"/>
      <c r="AH38" s="323"/>
      <c r="AJ38" s="345">
        <f>IFERROR(VLOOKUP($D38,'Dec 25'!$D$8:$BL$43,57,0),0)</f>
        <v>0</v>
      </c>
      <c r="AK38" s="22">
        <f>IFERROR(VLOOKUP($D38,'Dec 25'!$D$8:$BL$43,58,0),0)</f>
        <v>0</v>
      </c>
      <c r="AL38" s="22">
        <f>IFERROR(VLOOKUP($D38,'Dec 25'!$D$8:$BL$43,59,0),0)</f>
        <v>0</v>
      </c>
      <c r="AM38" s="346">
        <f>IFERROR(VLOOKUP($D38,'Dec 25'!$D$8:$BL$43,60,0),0)</f>
        <v>0</v>
      </c>
      <c r="AN38" s="37">
        <f t="shared" si="62"/>
        <v>2</v>
      </c>
      <c r="AO38" s="23">
        <f t="shared" si="63"/>
        <v>1</v>
      </c>
      <c r="AP38" s="23">
        <f t="shared" si="64"/>
        <v>0</v>
      </c>
      <c r="AQ38" s="23">
        <f t="shared" si="65"/>
        <v>1</v>
      </c>
      <c r="AR38" s="23">
        <f t="shared" si="66"/>
        <v>0</v>
      </c>
      <c r="AS38" s="278">
        <f t="shared" si="18"/>
        <v>0</v>
      </c>
      <c r="AT38" s="25">
        <f t="shared" si="9"/>
        <v>4</v>
      </c>
      <c r="AU38" s="18">
        <f t="shared" si="10"/>
        <v>5.5</v>
      </c>
      <c r="AV38" s="22">
        <f t="shared" si="67"/>
        <v>6</v>
      </c>
      <c r="AW38" s="18">
        <f t="shared" si="68"/>
        <v>1</v>
      </c>
      <c r="AX38" s="32">
        <f t="shared" si="13"/>
        <v>1.375</v>
      </c>
      <c r="AY38" s="24">
        <f t="shared" si="14"/>
        <v>4</v>
      </c>
      <c r="AZ38" s="18">
        <f t="shared" si="14"/>
        <v>5.5</v>
      </c>
      <c r="BA38" s="18">
        <f t="shared" si="14"/>
        <v>6</v>
      </c>
      <c r="BB38" s="18">
        <f t="shared" si="14"/>
        <v>1</v>
      </c>
      <c r="BC38" s="32">
        <f t="shared" si="15"/>
        <v>1.375</v>
      </c>
    </row>
    <row r="39" spans="2:55" ht="16" thickBot="1" x14ac:dyDescent="0.25">
      <c r="B39" s="1">
        <f t="shared" ref="B39" si="70">B38+1</f>
        <v>34</v>
      </c>
      <c r="C39" s="71">
        <f t="shared" si="32"/>
        <v>32</v>
      </c>
      <c r="D39" s="312" t="s">
        <v>204</v>
      </c>
      <c r="E39" s="292" t="s">
        <v>72</v>
      </c>
      <c r="F39" s="230" t="str">
        <f>IFERROR(IF(VLOOKUP($D39,'Dec 25'!$D$8:$AQ$43,39,0)=0,"",VLOOKUP($D39,'Dec 25'!$D$8:$AQ$43,39,0)),"")</f>
        <v>AL</v>
      </c>
      <c r="G39" s="70" t="str">
        <f>IFERROR(IF(VLOOKUP($D39,'Dec 25'!$D$8:$AQ$43,40,0)=0,"",VLOOKUP($D39,'Dec 25'!$D$8:$AQ$43,40,0)),"")</f>
        <v/>
      </c>
      <c r="H39" s="322" t="s">
        <v>29</v>
      </c>
      <c r="I39" s="323"/>
      <c r="J39" s="323"/>
      <c r="K39" s="329"/>
      <c r="L39" s="329"/>
      <c r="M39" s="323"/>
      <c r="N39" s="323"/>
      <c r="O39" s="323"/>
      <c r="P39" s="323"/>
      <c r="Q39" s="323"/>
      <c r="R39" s="329"/>
      <c r="S39" s="329"/>
      <c r="T39" s="333" t="s">
        <v>29</v>
      </c>
      <c r="U39" s="323"/>
      <c r="V39" s="323"/>
      <c r="W39" s="323"/>
      <c r="X39" s="323"/>
      <c r="Y39" s="334"/>
      <c r="Z39" s="329" t="s">
        <v>30</v>
      </c>
      <c r="AA39" s="323"/>
      <c r="AB39" s="323"/>
      <c r="AC39" s="323"/>
      <c r="AD39" s="333" t="s">
        <v>216</v>
      </c>
      <c r="AE39" s="323"/>
      <c r="AF39" s="334"/>
      <c r="AG39" s="329" t="s">
        <v>29</v>
      </c>
      <c r="AH39" s="323"/>
      <c r="AJ39" s="345">
        <f>IFERROR(VLOOKUP($D39,'Dec 25'!$D$8:$BL$43,57,0),0)</f>
        <v>9.5</v>
      </c>
      <c r="AK39" s="22">
        <f>IFERROR(VLOOKUP($D39,'Dec 25'!$D$8:$BL$43,58,0),0)</f>
        <v>14</v>
      </c>
      <c r="AL39" s="22">
        <f>IFERROR(VLOOKUP($D39,'Dec 25'!$D$8:$BL$43,59,0),0)</f>
        <v>22</v>
      </c>
      <c r="AM39" s="346">
        <f>IFERROR(VLOOKUP($D39,'Dec 25'!$D$8:$BL$43,60,0),0)</f>
        <v>3</v>
      </c>
      <c r="AN39" s="37">
        <f t="shared" si="62"/>
        <v>2</v>
      </c>
      <c r="AO39" s="23">
        <f t="shared" si="63"/>
        <v>0</v>
      </c>
      <c r="AP39" s="23">
        <f t="shared" si="64"/>
        <v>0</v>
      </c>
      <c r="AQ39" s="23">
        <f t="shared" si="65"/>
        <v>2</v>
      </c>
      <c r="AR39" s="23">
        <f t="shared" si="66"/>
        <v>0</v>
      </c>
      <c r="AS39" s="278">
        <f t="shared" si="18"/>
        <v>1</v>
      </c>
      <c r="AT39" s="25">
        <f t="shared" si="9"/>
        <v>4</v>
      </c>
      <c r="AU39" s="18">
        <f t="shared" si="10"/>
        <v>6</v>
      </c>
      <c r="AV39" s="22">
        <f t="shared" si="67"/>
        <v>6</v>
      </c>
      <c r="AW39" s="18">
        <f t="shared" si="68"/>
        <v>0</v>
      </c>
      <c r="AX39" s="32">
        <f t="shared" si="13"/>
        <v>1.5</v>
      </c>
      <c r="AY39" s="24">
        <f t="shared" si="14"/>
        <v>13.5</v>
      </c>
      <c r="AZ39" s="18">
        <f t="shared" si="14"/>
        <v>20</v>
      </c>
      <c r="BA39" s="18">
        <f t="shared" si="14"/>
        <v>28</v>
      </c>
      <c r="BB39" s="18">
        <f t="shared" si="14"/>
        <v>3</v>
      </c>
      <c r="BC39" s="32">
        <f t="shared" si="15"/>
        <v>1.4814814814814814</v>
      </c>
    </row>
    <row r="40" spans="2:55" ht="16" thickBot="1" x14ac:dyDescent="0.25">
      <c r="B40" s="1">
        <f t="shared" ref="B40" si="71">B39+1</f>
        <v>35</v>
      </c>
      <c r="C40" s="71">
        <f t="shared" si="32"/>
        <v>33</v>
      </c>
      <c r="D40" s="312" t="s">
        <v>200</v>
      </c>
      <c r="E40" s="292" t="s">
        <v>73</v>
      </c>
      <c r="F40" s="230" t="str">
        <f>IFERROR(IF(VLOOKUP($D40,'Dec 25'!$D$8:$AQ$43,39,0)=0,"",VLOOKUP($D40,'Dec 25'!$D$8:$AQ$43,39,0)),"")</f>
        <v/>
      </c>
      <c r="G40" s="70" t="str">
        <f>IFERROR(IF(VLOOKUP($D40,'Dec 25'!$D$8:$AQ$43,40,0)=0,"",VLOOKUP($D40,'Dec 25'!$D$8:$AQ$43,40,0)),"")</f>
        <v>HO5</v>
      </c>
      <c r="H40" s="337" t="s">
        <v>249</v>
      </c>
      <c r="I40" s="335" t="s">
        <v>243</v>
      </c>
      <c r="J40" s="335" t="s">
        <v>243</v>
      </c>
      <c r="K40" s="335" t="s">
        <v>243</v>
      </c>
      <c r="L40" s="335" t="s">
        <v>243</v>
      </c>
      <c r="M40" s="335" t="s">
        <v>243</v>
      </c>
      <c r="N40" s="335" t="s">
        <v>243</v>
      </c>
      <c r="O40" s="323"/>
      <c r="P40" s="323"/>
      <c r="Q40" s="333" t="s">
        <v>29</v>
      </c>
      <c r="R40" s="329"/>
      <c r="S40" s="329"/>
      <c r="T40" s="323"/>
      <c r="U40" s="323"/>
      <c r="V40" s="323" t="s">
        <v>29</v>
      </c>
      <c r="W40" s="323"/>
      <c r="X40" s="323"/>
      <c r="Y40" s="334"/>
      <c r="Z40" s="334"/>
      <c r="AA40" s="335" t="s">
        <v>243</v>
      </c>
      <c r="AB40" s="335" t="s">
        <v>243</v>
      </c>
      <c r="AC40" s="335" t="s">
        <v>243</v>
      </c>
      <c r="AD40" s="323"/>
      <c r="AE40" s="323"/>
      <c r="AF40" s="329" t="s">
        <v>29</v>
      </c>
      <c r="AG40" s="329"/>
      <c r="AH40" s="333"/>
      <c r="AJ40" s="345">
        <f>IFERROR(VLOOKUP($D40,'Dec 25'!$D$8:$BL$43,57,0),0)</f>
        <v>10.5</v>
      </c>
      <c r="AK40" s="22">
        <f>IFERROR(VLOOKUP($D40,'Dec 25'!$D$8:$BL$43,58,0),0)</f>
        <v>15</v>
      </c>
      <c r="AL40" s="22">
        <f>IFERROR(VLOOKUP($D40,'Dec 25'!$D$8:$BL$43,59,0),0)</f>
        <v>22</v>
      </c>
      <c r="AM40" s="346">
        <f>IFERROR(VLOOKUP($D40,'Dec 25'!$D$8:$BL$43,60,0),0)</f>
        <v>3</v>
      </c>
      <c r="AN40" s="37">
        <f t="shared" si="62"/>
        <v>1</v>
      </c>
      <c r="AO40" s="23">
        <f t="shared" si="63"/>
        <v>1</v>
      </c>
      <c r="AP40" s="23">
        <f t="shared" si="64"/>
        <v>1</v>
      </c>
      <c r="AQ40" s="23">
        <f t="shared" si="65"/>
        <v>0</v>
      </c>
      <c r="AR40" s="23">
        <f t="shared" si="66"/>
        <v>0</v>
      </c>
      <c r="AS40" s="278">
        <f t="shared" si="18"/>
        <v>0</v>
      </c>
      <c r="AT40" s="25">
        <f>SUM(AN40:AQ40)+AR40*0.5</f>
        <v>3</v>
      </c>
      <c r="AU40" s="18">
        <f>AN40*1+AO40*1.5+AP40*2.5+AQ40*2+AR40*0.5</f>
        <v>5</v>
      </c>
      <c r="AV40" s="22">
        <f t="shared" si="67"/>
        <v>5</v>
      </c>
      <c r="AW40" s="18">
        <f t="shared" si="68"/>
        <v>0</v>
      </c>
      <c r="AX40" s="32">
        <f>AU40/AT40</f>
        <v>1.6666666666666667</v>
      </c>
      <c r="AY40" s="24">
        <f>AT40+AJ40</f>
        <v>13.5</v>
      </c>
      <c r="AZ40" s="18">
        <f>AU40+AK40</f>
        <v>20</v>
      </c>
      <c r="BA40" s="18">
        <f>AV40+AL40</f>
        <v>27</v>
      </c>
      <c r="BB40" s="18">
        <f>AW40+AM40</f>
        <v>3</v>
      </c>
      <c r="BC40" s="32">
        <f>AZ40/AY40</f>
        <v>1.4814814814814814</v>
      </c>
    </row>
    <row r="41" spans="2:55" ht="16" thickBot="1" x14ac:dyDescent="0.25">
      <c r="B41" s="1">
        <f t="shared" ref="B41" si="72">B40+1</f>
        <v>36</v>
      </c>
      <c r="C41" s="71">
        <f t="shared" si="32"/>
        <v>34</v>
      </c>
      <c r="D41" s="312" t="s">
        <v>203</v>
      </c>
      <c r="E41" s="292" t="s">
        <v>73</v>
      </c>
      <c r="F41" s="230" t="str">
        <f>IFERROR(IF(VLOOKUP($D41,'Dec 25'!$D$8:$AQ$43,39,0)=0,"",VLOOKUP($D41,'Dec 25'!$D$8:$AQ$43,39,0)),"")</f>
        <v/>
      </c>
      <c r="G41" s="70" t="str">
        <f>IFERROR(IF(VLOOKUP($D41,'Dec 25'!$D$8:$AQ$43,40,0)=0,"",VLOOKUP($D41,'Dec 25'!$D$8:$AQ$43,40,0)),"")</f>
        <v>HO1</v>
      </c>
      <c r="H41" s="323"/>
      <c r="I41" s="323"/>
      <c r="J41" s="323"/>
      <c r="K41" s="329"/>
      <c r="L41" s="329"/>
      <c r="M41" s="333" t="s">
        <v>29</v>
      </c>
      <c r="N41" s="337" t="s">
        <v>249</v>
      </c>
      <c r="O41" s="335" t="s">
        <v>243</v>
      </c>
      <c r="P41" s="335" t="s">
        <v>243</v>
      </c>
      <c r="Q41" s="335" t="s">
        <v>243</v>
      </c>
      <c r="R41" s="335" t="s">
        <v>243</v>
      </c>
      <c r="S41" s="335" t="s">
        <v>243</v>
      </c>
      <c r="T41" s="335" t="s">
        <v>243</v>
      </c>
      <c r="U41" s="333" t="s">
        <v>29</v>
      </c>
      <c r="V41" s="323"/>
      <c r="W41" s="323"/>
      <c r="X41" s="323"/>
      <c r="Y41" s="334"/>
      <c r="Z41" s="329" t="s">
        <v>21</v>
      </c>
      <c r="AA41" s="324" t="s">
        <v>32</v>
      </c>
      <c r="AB41" s="323"/>
      <c r="AC41" s="323" t="s">
        <v>216</v>
      </c>
      <c r="AD41" s="323"/>
      <c r="AE41" s="323"/>
      <c r="AF41" s="334"/>
      <c r="AG41" s="329" t="s">
        <v>31</v>
      </c>
      <c r="AH41" s="323"/>
      <c r="AJ41" s="345">
        <f>IFERROR(VLOOKUP($D41,'Dec 25'!$D$8:$BL$43,57,0),0)</f>
        <v>10</v>
      </c>
      <c r="AK41" s="22">
        <f>IFERROR(VLOOKUP($D41,'Dec 25'!$D$8:$BL$43,58,0),0)</f>
        <v>15</v>
      </c>
      <c r="AL41" s="22">
        <f>IFERROR(VLOOKUP($D41,'Dec 25'!$D$8:$BL$43,59,0),0)</f>
        <v>22</v>
      </c>
      <c r="AM41" s="346">
        <f>IFERROR(VLOOKUP($D41,'Dec 25'!$D$8:$BL$43,60,0),0)</f>
        <v>3</v>
      </c>
      <c r="AN41" s="37">
        <f t="shared" si="62"/>
        <v>3</v>
      </c>
      <c r="AO41" s="23">
        <f t="shared" si="63"/>
        <v>0</v>
      </c>
      <c r="AP41" s="23">
        <f t="shared" si="64"/>
        <v>0</v>
      </c>
      <c r="AQ41" s="23">
        <f t="shared" si="65"/>
        <v>1</v>
      </c>
      <c r="AR41" s="23">
        <f t="shared" si="66"/>
        <v>0</v>
      </c>
      <c r="AS41" s="278">
        <f t="shared" si="18"/>
        <v>1</v>
      </c>
      <c r="AT41" s="25">
        <f t="shared" si="9"/>
        <v>4</v>
      </c>
      <c r="AU41" s="18">
        <f t="shared" si="10"/>
        <v>5</v>
      </c>
      <c r="AV41" s="22">
        <f t="shared" si="67"/>
        <v>4</v>
      </c>
      <c r="AW41" s="18">
        <f t="shared" si="68"/>
        <v>1</v>
      </c>
      <c r="AX41" s="32">
        <f t="shared" si="13"/>
        <v>1.25</v>
      </c>
      <c r="AY41" s="24">
        <f t="shared" si="14"/>
        <v>14</v>
      </c>
      <c r="AZ41" s="18">
        <f t="shared" si="14"/>
        <v>20</v>
      </c>
      <c r="BA41" s="18">
        <f t="shared" si="14"/>
        <v>26</v>
      </c>
      <c r="BB41" s="18">
        <f t="shared" si="14"/>
        <v>4</v>
      </c>
      <c r="BC41" s="32">
        <f t="shared" si="15"/>
        <v>1.4285714285714286</v>
      </c>
    </row>
    <row r="42" spans="2:55" ht="16" thickBot="1" x14ac:dyDescent="0.25">
      <c r="B42" s="1">
        <f t="shared" ref="B42" si="73">B41+1</f>
        <v>37</v>
      </c>
      <c r="C42" s="71">
        <f t="shared" si="32"/>
        <v>35</v>
      </c>
      <c r="D42" s="348" t="s">
        <v>197</v>
      </c>
      <c r="E42" s="342" t="s">
        <v>89</v>
      </c>
      <c r="F42" s="230" t="str">
        <f>IFERROR(IF(VLOOKUP($D42,'Dec 25'!$D$8:$AQ$43,39,0)=0,"",VLOOKUP($D42,'Dec 25'!$D$8:$AQ$43,39,0)),"")</f>
        <v/>
      </c>
      <c r="G42" s="70" t="str">
        <f>IFERROR(IF(VLOOKUP($D42,'Dec 25'!$D$8:$AQ$43,40,0)=0,"",VLOOKUP($D42,'Dec 25'!$D$8:$AQ$43,40,0)),"")</f>
        <v/>
      </c>
      <c r="H42" s="322" t="s">
        <v>31</v>
      </c>
      <c r="I42" s="333"/>
      <c r="J42" s="323"/>
      <c r="K42" s="334"/>
      <c r="L42" s="329"/>
      <c r="M42" s="323" t="s">
        <v>32</v>
      </c>
      <c r="N42" s="323"/>
      <c r="O42" s="323"/>
      <c r="P42" s="323"/>
      <c r="Q42" s="323"/>
      <c r="R42" s="329" t="s">
        <v>216</v>
      </c>
      <c r="S42" s="329"/>
      <c r="T42" s="323"/>
      <c r="U42" s="333" t="s">
        <v>31</v>
      </c>
      <c r="V42" s="337" t="s">
        <v>249</v>
      </c>
      <c r="W42" s="335" t="s">
        <v>243</v>
      </c>
      <c r="X42" s="335" t="s">
        <v>243</v>
      </c>
      <c r="Y42" s="335" t="s">
        <v>243</v>
      </c>
      <c r="Z42" s="335" t="s">
        <v>243</v>
      </c>
      <c r="AA42" s="335" t="s">
        <v>243</v>
      </c>
      <c r="AB42" s="323"/>
      <c r="AC42" s="323"/>
      <c r="AD42" s="323"/>
      <c r="AE42" s="323"/>
      <c r="AF42" s="334" t="s">
        <v>30</v>
      </c>
      <c r="AG42" s="329"/>
      <c r="AH42" s="323"/>
      <c r="AJ42" s="345">
        <f>IFERROR(VLOOKUP($D42,'Dec 25'!$D$8:$BL$43,57,0),0)</f>
        <v>9</v>
      </c>
      <c r="AK42" s="22">
        <f>IFERROR(VLOOKUP($D42,'Dec 25'!$D$8:$BL$43,58,0),0)</f>
        <v>14.5</v>
      </c>
      <c r="AL42" s="22">
        <f>IFERROR(VLOOKUP($D42,'Dec 25'!$D$8:$BL$43,59,0),0)</f>
        <v>22</v>
      </c>
      <c r="AM42" s="346">
        <f>IFERROR(VLOOKUP($D42,'Dec 25'!$D$8:$BL$43,60,0),0)</f>
        <v>3</v>
      </c>
      <c r="AN42" s="37">
        <f t="shared" si="62"/>
        <v>3</v>
      </c>
      <c r="AO42" s="23">
        <f t="shared" si="63"/>
        <v>0</v>
      </c>
      <c r="AP42" s="23">
        <f t="shared" si="64"/>
        <v>1</v>
      </c>
      <c r="AQ42" s="23">
        <f t="shared" si="65"/>
        <v>0</v>
      </c>
      <c r="AR42" s="23">
        <f t="shared" si="66"/>
        <v>0</v>
      </c>
      <c r="AS42" s="278">
        <f t="shared" si="18"/>
        <v>1</v>
      </c>
      <c r="AT42" s="25">
        <f t="shared" si="9"/>
        <v>4</v>
      </c>
      <c r="AU42" s="18">
        <f t="shared" si="10"/>
        <v>5.5</v>
      </c>
      <c r="AV42" s="22">
        <f t="shared" si="67"/>
        <v>4</v>
      </c>
      <c r="AW42" s="18">
        <f t="shared" si="68"/>
        <v>0</v>
      </c>
      <c r="AX42" s="32">
        <f t="shared" si="13"/>
        <v>1.375</v>
      </c>
      <c r="AY42" s="24">
        <f t="shared" si="14"/>
        <v>13</v>
      </c>
      <c r="AZ42" s="18">
        <f t="shared" si="14"/>
        <v>20</v>
      </c>
      <c r="BA42" s="18">
        <f t="shared" si="14"/>
        <v>26</v>
      </c>
      <c r="BB42" s="18">
        <f t="shared" si="14"/>
        <v>3</v>
      </c>
      <c r="BC42" s="32">
        <f t="shared" si="15"/>
        <v>1.5384615384615385</v>
      </c>
    </row>
    <row r="43" spans="2:55" ht="16" thickBot="1" x14ac:dyDescent="0.25">
      <c r="B43" s="1">
        <f t="shared" ref="B43" si="74">B42+1</f>
        <v>38</v>
      </c>
      <c r="C43" s="71">
        <f t="shared" si="32"/>
        <v>36</v>
      </c>
      <c r="D43" s="348" t="s">
        <v>198</v>
      </c>
      <c r="E43" s="342" t="s">
        <v>74</v>
      </c>
      <c r="F43" s="230" t="str">
        <f>IFERROR(IF(VLOOKUP($D43,'Dec 25'!$D$8:$AQ$43,39,0)=0,"",VLOOKUP($D43,'Dec 25'!$D$8:$AQ$43,39,0)),"")</f>
        <v>AL</v>
      </c>
      <c r="G43" s="70" t="str">
        <f>IFERROR(IF(VLOOKUP($D43,'Dec 25'!$D$8:$AQ$43,40,0)=0,"",VLOOKUP($D43,'Dec 25'!$D$8:$AQ$43,40,0)),"")</f>
        <v>AL</v>
      </c>
      <c r="H43" s="335" t="s">
        <v>243</v>
      </c>
      <c r="I43" s="323" t="s">
        <v>30</v>
      </c>
      <c r="J43" s="323"/>
      <c r="K43" s="334"/>
      <c r="L43" s="329"/>
      <c r="M43" s="323" t="s">
        <v>216</v>
      </c>
      <c r="N43" s="323"/>
      <c r="O43" s="323"/>
      <c r="P43" s="333" t="s">
        <v>30</v>
      </c>
      <c r="Q43" s="323"/>
      <c r="R43" s="329"/>
      <c r="S43" s="334"/>
      <c r="T43" s="335" t="s">
        <v>243</v>
      </c>
      <c r="U43" s="323"/>
      <c r="V43" s="323"/>
      <c r="W43" s="323"/>
      <c r="X43" s="323"/>
      <c r="Y43" s="329" t="s">
        <v>30</v>
      </c>
      <c r="Z43" s="329"/>
      <c r="AA43" s="323"/>
      <c r="AB43" s="324"/>
      <c r="AC43" s="323"/>
      <c r="AD43" s="333" t="s">
        <v>32</v>
      </c>
      <c r="AE43" s="323"/>
      <c r="AF43" s="329" t="s">
        <v>20</v>
      </c>
      <c r="AG43" s="329"/>
      <c r="AH43" s="323"/>
      <c r="AJ43" s="345">
        <f>IFERROR(VLOOKUP($D43,'Dec 25'!$D$8:$BL$43,57,0),0)</f>
        <v>9</v>
      </c>
      <c r="AK43" s="22">
        <f>IFERROR(VLOOKUP($D43,'Dec 25'!$D$8:$BL$43,58,0),0)</f>
        <v>14</v>
      </c>
      <c r="AL43" s="22">
        <f>IFERROR(VLOOKUP($D43,'Dec 25'!$D$8:$BL$43,59,0),0)</f>
        <v>23</v>
      </c>
      <c r="AM43" s="346">
        <f>IFERROR(VLOOKUP($D43,'Dec 25'!$D$8:$BL$43,60,0),0)</f>
        <v>3</v>
      </c>
      <c r="AN43" s="37">
        <f t="shared" si="62"/>
        <v>3</v>
      </c>
      <c r="AO43" s="23">
        <f t="shared" si="63"/>
        <v>0</v>
      </c>
      <c r="AP43" s="23">
        <f t="shared" si="64"/>
        <v>1</v>
      </c>
      <c r="AQ43" s="23">
        <f t="shared" si="65"/>
        <v>0</v>
      </c>
      <c r="AR43" s="23">
        <f t="shared" si="66"/>
        <v>0</v>
      </c>
      <c r="AS43" s="278">
        <f t="shared" si="18"/>
        <v>1</v>
      </c>
      <c r="AT43" s="25">
        <f t="shared" si="9"/>
        <v>4</v>
      </c>
      <c r="AU43" s="18">
        <f t="shared" si="10"/>
        <v>5.5</v>
      </c>
      <c r="AV43" s="22">
        <f t="shared" si="67"/>
        <v>6</v>
      </c>
      <c r="AW43" s="18">
        <f t="shared" si="68"/>
        <v>1</v>
      </c>
      <c r="AX43" s="32">
        <f t="shared" si="13"/>
        <v>1.375</v>
      </c>
      <c r="AY43" s="24">
        <f t="shared" si="14"/>
        <v>13</v>
      </c>
      <c r="AZ43" s="18">
        <f t="shared" si="14"/>
        <v>19.5</v>
      </c>
      <c r="BA43" s="18">
        <f t="shared" si="14"/>
        <v>29</v>
      </c>
      <c r="BB43" s="18">
        <f t="shared" si="14"/>
        <v>4</v>
      </c>
      <c r="BC43" s="32">
        <f t="shared" si="15"/>
        <v>1.5</v>
      </c>
    </row>
    <row r="44" spans="2:55" ht="16" thickBot="1" x14ac:dyDescent="0.25">
      <c r="B44" s="1">
        <f t="shared" ref="B44" si="75">B43+1</f>
        <v>39</v>
      </c>
      <c r="C44" s="71">
        <f t="shared" si="32"/>
        <v>37</v>
      </c>
      <c r="D44" s="347" t="s">
        <v>201</v>
      </c>
      <c r="E44" s="343" t="s">
        <v>74</v>
      </c>
      <c r="F44" s="230" t="str">
        <f>IFERROR(IF(VLOOKUP($D44,'Dec 25'!$D$8:$AQ$43,39,0)=0,"",VLOOKUP($D44,'Dec 25'!$D$8:$AQ$43,39,0)),"")</f>
        <v/>
      </c>
      <c r="G44" s="70" t="str">
        <f>IFERROR(IF(VLOOKUP($D44,'Dec 25'!$D$8:$AQ$43,40,0)=0,"",VLOOKUP($D44,'Dec 25'!$D$8:$AQ$43,40,0)),"")</f>
        <v>HO3</v>
      </c>
      <c r="H44" s="323"/>
      <c r="I44" s="323"/>
      <c r="J44" s="323"/>
      <c r="K44" s="330" t="s">
        <v>216</v>
      </c>
      <c r="L44" s="330"/>
      <c r="M44" s="325"/>
      <c r="N44" s="334"/>
      <c r="O44" s="334"/>
      <c r="P44" s="325"/>
      <c r="Q44" s="333" t="s">
        <v>30</v>
      </c>
      <c r="R44" s="329"/>
      <c r="S44" s="329"/>
      <c r="T44" s="325" t="s">
        <v>30</v>
      </c>
      <c r="U44" s="323"/>
      <c r="V44" s="323"/>
      <c r="W44" s="325" t="s">
        <v>30</v>
      </c>
      <c r="X44" s="323"/>
      <c r="Y44" s="329"/>
      <c r="Z44" s="330" t="s">
        <v>19</v>
      </c>
      <c r="AA44" s="325"/>
      <c r="AB44" s="325"/>
      <c r="AC44" s="325"/>
      <c r="AD44" s="333" t="s">
        <v>30</v>
      </c>
      <c r="AE44" s="323"/>
      <c r="AF44" s="329"/>
      <c r="AG44" s="337" t="s">
        <v>249</v>
      </c>
      <c r="AH44" s="335" t="s">
        <v>243</v>
      </c>
      <c r="AJ44" s="345">
        <f>IFERROR(VLOOKUP($D44,'Dec 25'!$D$8:$BL$43,57,0),0)</f>
        <v>10</v>
      </c>
      <c r="AK44" s="22">
        <f>IFERROR(VLOOKUP($D44,'Dec 25'!$D$8:$BL$43,58,0),0)</f>
        <v>14.5</v>
      </c>
      <c r="AL44" s="22">
        <f>IFERROR(VLOOKUP($D44,'Dec 25'!$D$8:$BL$43,59,0),0)</f>
        <v>22</v>
      </c>
      <c r="AM44" s="346">
        <f>IFERROR(VLOOKUP($D44,'Dec 25'!$D$8:$BL$43,60,0),0)</f>
        <v>3</v>
      </c>
      <c r="AN44" s="271">
        <f t="shared" si="62"/>
        <v>3</v>
      </c>
      <c r="AO44" s="48">
        <f t="shared" si="63"/>
        <v>1</v>
      </c>
      <c r="AP44" s="48">
        <f t="shared" si="64"/>
        <v>0</v>
      </c>
      <c r="AQ44" s="48">
        <f t="shared" si="65"/>
        <v>0</v>
      </c>
      <c r="AR44" s="48">
        <f t="shared" si="66"/>
        <v>1</v>
      </c>
      <c r="AS44" s="278">
        <f t="shared" si="18"/>
        <v>1</v>
      </c>
      <c r="AT44" s="33">
        <f t="shared" si="9"/>
        <v>4.5</v>
      </c>
      <c r="AU44" s="34">
        <f t="shared" si="10"/>
        <v>5</v>
      </c>
      <c r="AV44" s="35">
        <f t="shared" si="67"/>
        <v>5</v>
      </c>
      <c r="AW44" s="34">
        <f t="shared" si="68"/>
        <v>0</v>
      </c>
      <c r="AX44" s="36">
        <f t="shared" si="13"/>
        <v>1.1111111111111112</v>
      </c>
      <c r="AY44" s="38">
        <f t="shared" si="14"/>
        <v>14.5</v>
      </c>
      <c r="AZ44" s="34">
        <f t="shared" si="14"/>
        <v>19.5</v>
      </c>
      <c r="BA44" s="34">
        <f t="shared" si="14"/>
        <v>27</v>
      </c>
      <c r="BB44" s="34">
        <f t="shared" si="14"/>
        <v>3</v>
      </c>
      <c r="BC44" s="36">
        <f t="shared" si="15"/>
        <v>1.3448275862068966</v>
      </c>
    </row>
    <row r="46" spans="2:55" x14ac:dyDescent="0.2">
      <c r="E46" s="3" t="s">
        <v>161</v>
      </c>
      <c r="H46" s="1" t="b">
        <f>AND(H47=1,H48=1,H49=1,H50=1,H51=1,H54=1,OR(SUM(H52:H53)=0,SUM(H52:H53)=4))</f>
        <v>1</v>
      </c>
      <c r="I46" s="1" t="b">
        <f t="shared" ref="I46:AH46" si="76">AND(I47=1,I48=1,I49=1,I50=1,I51=1,I54=1,OR(SUM(I52:I53)=0,SUM(I52:I53)=4))</f>
        <v>1</v>
      </c>
      <c r="J46" s="1" t="b">
        <f t="shared" si="76"/>
        <v>1</v>
      </c>
      <c r="K46" s="1" t="b">
        <f t="shared" si="76"/>
        <v>1</v>
      </c>
      <c r="L46" s="1" t="b">
        <f t="shared" si="76"/>
        <v>1</v>
      </c>
      <c r="M46" s="1" t="b">
        <f t="shared" si="76"/>
        <v>1</v>
      </c>
      <c r="N46" s="1" t="b">
        <f t="shared" si="76"/>
        <v>1</v>
      </c>
      <c r="O46" s="1" t="b">
        <f t="shared" si="76"/>
        <v>1</v>
      </c>
      <c r="P46" s="1" t="b">
        <f t="shared" si="76"/>
        <v>1</v>
      </c>
      <c r="Q46" s="1" t="b">
        <f t="shared" si="76"/>
        <v>1</v>
      </c>
      <c r="R46" s="1" t="b">
        <f t="shared" si="76"/>
        <v>1</v>
      </c>
      <c r="S46" s="1" t="b">
        <f t="shared" si="76"/>
        <v>1</v>
      </c>
      <c r="T46" s="1" t="b">
        <f t="shared" si="76"/>
        <v>1</v>
      </c>
      <c r="U46" s="1" t="b">
        <f t="shared" si="76"/>
        <v>1</v>
      </c>
      <c r="V46" s="1" t="b">
        <f t="shared" si="76"/>
        <v>1</v>
      </c>
      <c r="W46" s="1" t="b">
        <f t="shared" si="76"/>
        <v>1</v>
      </c>
      <c r="X46" s="1" t="b">
        <f t="shared" si="76"/>
        <v>1</v>
      </c>
      <c r="Y46" s="1" t="b">
        <f t="shared" si="76"/>
        <v>1</v>
      </c>
      <c r="Z46" s="1" t="b">
        <f t="shared" si="76"/>
        <v>1</v>
      </c>
      <c r="AA46" s="1" t="b">
        <f t="shared" si="76"/>
        <v>1</v>
      </c>
      <c r="AB46" s="1" t="b">
        <f t="shared" si="76"/>
        <v>1</v>
      </c>
      <c r="AC46" s="1" t="b">
        <f t="shared" si="76"/>
        <v>1</v>
      </c>
      <c r="AD46" s="1" t="b">
        <f t="shared" si="76"/>
        <v>1</v>
      </c>
      <c r="AE46" s="1" t="b">
        <f t="shared" si="76"/>
        <v>1</v>
      </c>
      <c r="AF46" s="1" t="b">
        <f t="shared" si="76"/>
        <v>1</v>
      </c>
      <c r="AG46" s="1" t="b">
        <f t="shared" si="76"/>
        <v>1</v>
      </c>
      <c r="AH46" s="1" t="b">
        <f t="shared" si="76"/>
        <v>1</v>
      </c>
    </row>
    <row r="47" spans="2:55" x14ac:dyDescent="0.2">
      <c r="E47" s="3" t="s">
        <v>30</v>
      </c>
      <c r="H47" s="1">
        <f t="shared" ref="H47:Q52" si="77">COUNTIFS(H$8:H$44,$E47)</f>
        <v>1</v>
      </c>
      <c r="I47" s="1">
        <f t="shared" si="77"/>
        <v>1</v>
      </c>
      <c r="J47" s="1">
        <f t="shared" si="77"/>
        <v>1</v>
      </c>
      <c r="K47" s="1">
        <f t="shared" si="77"/>
        <v>1</v>
      </c>
      <c r="L47" s="1">
        <f t="shared" si="77"/>
        <v>1</v>
      </c>
      <c r="M47" s="1">
        <f t="shared" si="77"/>
        <v>1</v>
      </c>
      <c r="N47" s="1">
        <f t="shared" si="77"/>
        <v>1</v>
      </c>
      <c r="O47" s="1">
        <f t="shared" si="77"/>
        <v>1</v>
      </c>
      <c r="P47" s="1">
        <f t="shared" si="77"/>
        <v>1</v>
      </c>
      <c r="Q47" s="1">
        <f t="shared" si="77"/>
        <v>1</v>
      </c>
      <c r="R47" s="1">
        <f t="shared" ref="R47:AA52" si="78">COUNTIFS(R$8:R$44,$E47)</f>
        <v>1</v>
      </c>
      <c r="S47" s="1">
        <f t="shared" si="78"/>
        <v>1</v>
      </c>
      <c r="T47" s="1">
        <f t="shared" si="78"/>
        <v>1</v>
      </c>
      <c r="U47" s="1">
        <f t="shared" si="78"/>
        <v>1</v>
      </c>
      <c r="V47" s="1">
        <f t="shared" si="78"/>
        <v>1</v>
      </c>
      <c r="W47" s="1">
        <f t="shared" si="78"/>
        <v>1</v>
      </c>
      <c r="X47" s="1">
        <f t="shared" si="78"/>
        <v>1</v>
      </c>
      <c r="Y47" s="1">
        <f t="shared" si="78"/>
        <v>1</v>
      </c>
      <c r="Z47" s="1">
        <f t="shared" si="78"/>
        <v>1</v>
      </c>
      <c r="AA47" s="1">
        <f t="shared" si="78"/>
        <v>1</v>
      </c>
      <c r="AB47" s="1">
        <f t="shared" ref="AB47:AH52" si="79">COUNTIFS(AB$8:AB$44,$E47)</f>
        <v>1</v>
      </c>
      <c r="AC47" s="1">
        <f t="shared" si="79"/>
        <v>1</v>
      </c>
      <c r="AD47" s="1">
        <f t="shared" si="79"/>
        <v>1</v>
      </c>
      <c r="AE47" s="1">
        <f t="shared" si="79"/>
        <v>1</v>
      </c>
      <c r="AF47" s="1">
        <f t="shared" si="79"/>
        <v>1</v>
      </c>
      <c r="AG47" s="1">
        <f t="shared" si="79"/>
        <v>1</v>
      </c>
      <c r="AH47" s="1">
        <f t="shared" si="79"/>
        <v>1</v>
      </c>
    </row>
    <row r="48" spans="2:55" x14ac:dyDescent="0.2">
      <c r="E48" s="3" t="s">
        <v>34</v>
      </c>
      <c r="H48" s="1">
        <f t="shared" si="77"/>
        <v>1</v>
      </c>
      <c r="I48" s="1">
        <f t="shared" si="77"/>
        <v>1</v>
      </c>
      <c r="J48" s="1">
        <f t="shared" si="77"/>
        <v>1</v>
      </c>
      <c r="K48" s="1">
        <f t="shared" si="77"/>
        <v>1</v>
      </c>
      <c r="L48" s="1">
        <f t="shared" si="77"/>
        <v>1</v>
      </c>
      <c r="M48" s="1">
        <f t="shared" si="77"/>
        <v>1</v>
      </c>
      <c r="N48" s="1">
        <f t="shared" si="77"/>
        <v>1</v>
      </c>
      <c r="O48" s="1">
        <f t="shared" si="77"/>
        <v>1</v>
      </c>
      <c r="P48" s="1">
        <f t="shared" si="77"/>
        <v>1</v>
      </c>
      <c r="Q48" s="1">
        <f t="shared" si="77"/>
        <v>1</v>
      </c>
      <c r="R48" s="1">
        <f t="shared" si="78"/>
        <v>1</v>
      </c>
      <c r="S48" s="1">
        <f t="shared" si="78"/>
        <v>1</v>
      </c>
      <c r="T48" s="1">
        <f t="shared" si="78"/>
        <v>1</v>
      </c>
      <c r="U48" s="1">
        <f t="shared" si="78"/>
        <v>1</v>
      </c>
      <c r="V48" s="1">
        <f t="shared" si="78"/>
        <v>1</v>
      </c>
      <c r="W48" s="1">
        <f t="shared" si="78"/>
        <v>1</v>
      </c>
      <c r="X48" s="1">
        <f t="shared" si="78"/>
        <v>1</v>
      </c>
      <c r="Y48" s="1">
        <f t="shared" si="78"/>
        <v>1</v>
      </c>
      <c r="Z48" s="1">
        <f t="shared" si="78"/>
        <v>1</v>
      </c>
      <c r="AA48" s="1">
        <f t="shared" si="78"/>
        <v>1</v>
      </c>
      <c r="AB48" s="1">
        <f t="shared" si="79"/>
        <v>1</v>
      </c>
      <c r="AC48" s="1">
        <f t="shared" si="79"/>
        <v>1</v>
      </c>
      <c r="AD48" s="1">
        <f t="shared" si="79"/>
        <v>1</v>
      </c>
      <c r="AE48" s="1">
        <f t="shared" si="79"/>
        <v>1</v>
      </c>
      <c r="AF48" s="1">
        <f t="shared" si="79"/>
        <v>1</v>
      </c>
      <c r="AG48" s="1">
        <f t="shared" si="79"/>
        <v>1</v>
      </c>
      <c r="AH48" s="1">
        <f t="shared" si="79"/>
        <v>1</v>
      </c>
    </row>
    <row r="49" spans="4:34" x14ac:dyDescent="0.2">
      <c r="E49" s="3" t="s">
        <v>32</v>
      </c>
      <c r="H49" s="1">
        <f t="shared" si="77"/>
        <v>1</v>
      </c>
      <c r="I49" s="1">
        <f t="shared" si="77"/>
        <v>1</v>
      </c>
      <c r="J49" s="1">
        <f t="shared" si="77"/>
        <v>1</v>
      </c>
      <c r="K49" s="1">
        <f t="shared" si="77"/>
        <v>1</v>
      </c>
      <c r="L49" s="1">
        <f t="shared" si="77"/>
        <v>1</v>
      </c>
      <c r="M49" s="1">
        <f t="shared" si="77"/>
        <v>1</v>
      </c>
      <c r="N49" s="1">
        <f t="shared" si="77"/>
        <v>1</v>
      </c>
      <c r="O49" s="1">
        <f t="shared" si="77"/>
        <v>1</v>
      </c>
      <c r="P49" s="1">
        <f t="shared" si="77"/>
        <v>1</v>
      </c>
      <c r="Q49" s="1">
        <f t="shared" si="77"/>
        <v>1</v>
      </c>
      <c r="R49" s="1">
        <f t="shared" si="78"/>
        <v>1</v>
      </c>
      <c r="S49" s="1">
        <f t="shared" si="78"/>
        <v>1</v>
      </c>
      <c r="T49" s="1">
        <f t="shared" si="78"/>
        <v>1</v>
      </c>
      <c r="U49" s="1">
        <f t="shared" si="78"/>
        <v>1</v>
      </c>
      <c r="V49" s="1">
        <f t="shared" si="78"/>
        <v>1</v>
      </c>
      <c r="W49" s="1">
        <f t="shared" si="78"/>
        <v>1</v>
      </c>
      <c r="X49" s="1">
        <f t="shared" si="78"/>
        <v>1</v>
      </c>
      <c r="Y49" s="1">
        <f t="shared" si="78"/>
        <v>1</v>
      </c>
      <c r="Z49" s="1">
        <f t="shared" si="78"/>
        <v>1</v>
      </c>
      <c r="AA49" s="1">
        <f t="shared" si="78"/>
        <v>1</v>
      </c>
      <c r="AB49" s="1">
        <f t="shared" si="79"/>
        <v>1</v>
      </c>
      <c r="AC49" s="1">
        <f t="shared" si="79"/>
        <v>1</v>
      </c>
      <c r="AD49" s="1">
        <f t="shared" si="79"/>
        <v>1</v>
      </c>
      <c r="AE49" s="1">
        <f t="shared" si="79"/>
        <v>1</v>
      </c>
      <c r="AF49" s="1">
        <f t="shared" si="79"/>
        <v>1</v>
      </c>
      <c r="AG49" s="1">
        <f t="shared" si="79"/>
        <v>1</v>
      </c>
      <c r="AH49" s="1">
        <f t="shared" si="79"/>
        <v>1</v>
      </c>
    </row>
    <row r="50" spans="4:34" x14ac:dyDescent="0.2">
      <c r="E50" s="3" t="s">
        <v>29</v>
      </c>
      <c r="H50" s="1">
        <f t="shared" si="77"/>
        <v>1</v>
      </c>
      <c r="I50" s="1">
        <f t="shared" si="77"/>
        <v>1</v>
      </c>
      <c r="J50" s="1">
        <f t="shared" si="77"/>
        <v>1</v>
      </c>
      <c r="K50" s="1">
        <f t="shared" si="77"/>
        <v>1</v>
      </c>
      <c r="L50" s="1">
        <f t="shared" si="77"/>
        <v>1</v>
      </c>
      <c r="M50" s="1">
        <f t="shared" si="77"/>
        <v>1</v>
      </c>
      <c r="N50" s="1">
        <f t="shared" si="77"/>
        <v>1</v>
      </c>
      <c r="O50" s="1">
        <f t="shared" si="77"/>
        <v>1</v>
      </c>
      <c r="P50" s="1">
        <f t="shared" si="77"/>
        <v>1</v>
      </c>
      <c r="Q50" s="1">
        <f t="shared" si="77"/>
        <v>1</v>
      </c>
      <c r="R50" s="1">
        <f t="shared" si="78"/>
        <v>1</v>
      </c>
      <c r="S50" s="1">
        <f t="shared" si="78"/>
        <v>1</v>
      </c>
      <c r="T50" s="1">
        <f t="shared" si="78"/>
        <v>1</v>
      </c>
      <c r="U50" s="1">
        <f t="shared" si="78"/>
        <v>1</v>
      </c>
      <c r="V50" s="1">
        <f t="shared" si="78"/>
        <v>1</v>
      </c>
      <c r="W50" s="1">
        <f t="shared" si="78"/>
        <v>1</v>
      </c>
      <c r="X50" s="1">
        <f t="shared" si="78"/>
        <v>1</v>
      </c>
      <c r="Y50" s="1">
        <f t="shared" si="78"/>
        <v>1</v>
      </c>
      <c r="Z50" s="1">
        <f t="shared" si="78"/>
        <v>1</v>
      </c>
      <c r="AA50" s="1">
        <f t="shared" si="78"/>
        <v>1</v>
      </c>
      <c r="AB50" s="1">
        <f t="shared" si="79"/>
        <v>1</v>
      </c>
      <c r="AC50" s="1">
        <f t="shared" si="79"/>
        <v>1</v>
      </c>
      <c r="AD50" s="1">
        <f t="shared" si="79"/>
        <v>1</v>
      </c>
      <c r="AE50" s="1">
        <f t="shared" si="79"/>
        <v>1</v>
      </c>
      <c r="AF50" s="1">
        <f t="shared" si="79"/>
        <v>1</v>
      </c>
      <c r="AG50" s="1">
        <f t="shared" si="79"/>
        <v>1</v>
      </c>
      <c r="AH50" s="1">
        <f t="shared" si="79"/>
        <v>1</v>
      </c>
    </row>
    <row r="51" spans="4:34" x14ac:dyDescent="0.2">
      <c r="E51" s="3" t="s">
        <v>31</v>
      </c>
      <c r="H51" s="1">
        <f t="shared" si="77"/>
        <v>1</v>
      </c>
      <c r="I51" s="1">
        <f t="shared" si="77"/>
        <v>1</v>
      </c>
      <c r="J51" s="1">
        <f t="shared" si="77"/>
        <v>1</v>
      </c>
      <c r="K51" s="1">
        <f t="shared" si="77"/>
        <v>1</v>
      </c>
      <c r="L51" s="1">
        <f t="shared" si="77"/>
        <v>1</v>
      </c>
      <c r="M51" s="1">
        <f t="shared" si="77"/>
        <v>1</v>
      </c>
      <c r="N51" s="1">
        <f t="shared" si="77"/>
        <v>1</v>
      </c>
      <c r="O51" s="1">
        <f t="shared" si="77"/>
        <v>1</v>
      </c>
      <c r="P51" s="1">
        <f t="shared" si="77"/>
        <v>1</v>
      </c>
      <c r="Q51" s="1">
        <f t="shared" si="77"/>
        <v>1</v>
      </c>
      <c r="R51" s="1">
        <f t="shared" si="78"/>
        <v>1</v>
      </c>
      <c r="S51" s="1">
        <f t="shared" si="78"/>
        <v>1</v>
      </c>
      <c r="T51" s="1">
        <f t="shared" si="78"/>
        <v>1</v>
      </c>
      <c r="U51" s="1">
        <f t="shared" si="78"/>
        <v>1</v>
      </c>
      <c r="V51" s="1">
        <f t="shared" si="78"/>
        <v>1</v>
      </c>
      <c r="W51" s="1">
        <f t="shared" si="78"/>
        <v>1</v>
      </c>
      <c r="X51" s="1">
        <f t="shared" si="78"/>
        <v>1</v>
      </c>
      <c r="Y51" s="1">
        <f t="shared" si="78"/>
        <v>1</v>
      </c>
      <c r="Z51" s="1">
        <f t="shared" si="78"/>
        <v>1</v>
      </c>
      <c r="AA51" s="1">
        <f t="shared" si="78"/>
        <v>1</v>
      </c>
      <c r="AB51" s="1">
        <f t="shared" si="79"/>
        <v>1</v>
      </c>
      <c r="AC51" s="1">
        <f t="shared" si="79"/>
        <v>1</v>
      </c>
      <c r="AD51" s="1">
        <f t="shared" si="79"/>
        <v>1</v>
      </c>
      <c r="AE51" s="1">
        <f t="shared" si="79"/>
        <v>1</v>
      </c>
      <c r="AF51" s="1">
        <f t="shared" si="79"/>
        <v>1</v>
      </c>
      <c r="AG51" s="1">
        <f t="shared" si="79"/>
        <v>1</v>
      </c>
      <c r="AH51" s="1">
        <f t="shared" si="79"/>
        <v>1</v>
      </c>
    </row>
    <row r="52" spans="4:34" x14ac:dyDescent="0.2">
      <c r="E52" s="3" t="s">
        <v>19</v>
      </c>
      <c r="H52" s="1">
        <f t="shared" si="77"/>
        <v>0</v>
      </c>
      <c r="I52" s="1">
        <f t="shared" si="77"/>
        <v>0</v>
      </c>
      <c r="J52" s="1">
        <f t="shared" si="77"/>
        <v>0</v>
      </c>
      <c r="K52" s="1">
        <f t="shared" si="77"/>
        <v>1</v>
      </c>
      <c r="L52" s="1">
        <f t="shared" si="77"/>
        <v>1</v>
      </c>
      <c r="M52" s="1">
        <f t="shared" si="77"/>
        <v>0</v>
      </c>
      <c r="N52" s="1">
        <f t="shared" si="77"/>
        <v>0</v>
      </c>
      <c r="O52" s="1">
        <f t="shared" si="77"/>
        <v>0</v>
      </c>
      <c r="P52" s="1">
        <f t="shared" si="77"/>
        <v>0</v>
      </c>
      <c r="Q52" s="1">
        <f t="shared" si="77"/>
        <v>0</v>
      </c>
      <c r="R52" s="1">
        <f t="shared" si="78"/>
        <v>1</v>
      </c>
      <c r="S52" s="1">
        <f t="shared" si="78"/>
        <v>1</v>
      </c>
      <c r="T52" s="1">
        <f t="shared" si="78"/>
        <v>0</v>
      </c>
      <c r="U52" s="1">
        <f t="shared" si="78"/>
        <v>0</v>
      </c>
      <c r="V52" s="1">
        <f t="shared" si="78"/>
        <v>0</v>
      </c>
      <c r="W52" s="1">
        <f t="shared" si="78"/>
        <v>0</v>
      </c>
      <c r="X52" s="1">
        <f t="shared" si="78"/>
        <v>0</v>
      </c>
      <c r="Y52" s="1">
        <f t="shared" si="78"/>
        <v>1</v>
      </c>
      <c r="Z52" s="1">
        <f t="shared" si="78"/>
        <v>1</v>
      </c>
      <c r="AA52" s="1">
        <f t="shared" si="78"/>
        <v>0</v>
      </c>
      <c r="AB52" s="1">
        <f t="shared" si="79"/>
        <v>0</v>
      </c>
      <c r="AC52" s="1">
        <f t="shared" si="79"/>
        <v>0</v>
      </c>
      <c r="AD52" s="1">
        <f t="shared" si="79"/>
        <v>0</v>
      </c>
      <c r="AE52" s="1">
        <f t="shared" si="79"/>
        <v>0</v>
      </c>
      <c r="AF52" s="1">
        <f t="shared" si="79"/>
        <v>1</v>
      </c>
      <c r="AG52" s="1">
        <f t="shared" si="79"/>
        <v>1</v>
      </c>
      <c r="AH52" s="1">
        <f t="shared" si="79"/>
        <v>0</v>
      </c>
    </row>
    <row r="53" spans="4:34" x14ac:dyDescent="0.2">
      <c r="E53" s="3" t="s">
        <v>57</v>
      </c>
      <c r="H53" s="1">
        <f t="shared" ref="H53:AH53" si="80">COUNTIFS(H$8:H$44,"WR*")</f>
        <v>0</v>
      </c>
      <c r="I53" s="1">
        <f t="shared" si="80"/>
        <v>0</v>
      </c>
      <c r="J53" s="1">
        <f t="shared" si="80"/>
        <v>0</v>
      </c>
      <c r="K53" s="1">
        <f t="shared" si="80"/>
        <v>3</v>
      </c>
      <c r="L53" s="1">
        <f t="shared" si="80"/>
        <v>3</v>
      </c>
      <c r="M53" s="1">
        <f t="shared" si="80"/>
        <v>0</v>
      </c>
      <c r="N53" s="1">
        <f t="shared" si="80"/>
        <v>0</v>
      </c>
      <c r="O53" s="1">
        <f t="shared" si="80"/>
        <v>0</v>
      </c>
      <c r="P53" s="1">
        <f t="shared" si="80"/>
        <v>0</v>
      </c>
      <c r="Q53" s="1">
        <f t="shared" si="80"/>
        <v>0</v>
      </c>
      <c r="R53" s="1">
        <f t="shared" si="80"/>
        <v>3</v>
      </c>
      <c r="S53" s="1">
        <f t="shared" si="80"/>
        <v>3</v>
      </c>
      <c r="T53" s="1">
        <f t="shared" si="80"/>
        <v>0</v>
      </c>
      <c r="U53" s="1">
        <f t="shared" si="80"/>
        <v>0</v>
      </c>
      <c r="V53" s="1">
        <f t="shared" si="80"/>
        <v>0</v>
      </c>
      <c r="W53" s="1">
        <f t="shared" si="80"/>
        <v>0</v>
      </c>
      <c r="X53" s="1">
        <f t="shared" si="80"/>
        <v>0</v>
      </c>
      <c r="Y53" s="1">
        <f t="shared" si="80"/>
        <v>3</v>
      </c>
      <c r="Z53" s="1">
        <f t="shared" si="80"/>
        <v>3</v>
      </c>
      <c r="AA53" s="1">
        <f t="shared" si="80"/>
        <v>0</v>
      </c>
      <c r="AB53" s="1">
        <f t="shared" si="80"/>
        <v>0</v>
      </c>
      <c r="AC53" s="1">
        <f t="shared" si="80"/>
        <v>0</v>
      </c>
      <c r="AD53" s="1">
        <f t="shared" si="80"/>
        <v>0</v>
      </c>
      <c r="AE53" s="1">
        <f t="shared" si="80"/>
        <v>0</v>
      </c>
      <c r="AF53" s="1">
        <f t="shared" si="80"/>
        <v>3</v>
      </c>
      <c r="AG53" s="1">
        <f t="shared" si="80"/>
        <v>3</v>
      </c>
      <c r="AH53" s="1">
        <f t="shared" si="80"/>
        <v>0</v>
      </c>
    </row>
    <row r="54" spans="4:34" x14ac:dyDescent="0.2">
      <c r="E54" s="3" t="s">
        <v>70</v>
      </c>
      <c r="H54" s="1">
        <f>COUNTIFS(H$8:H$44,"SB")</f>
        <v>1</v>
      </c>
      <c r="I54" s="1">
        <f t="shared" ref="I54:AH54" si="81">COUNTIFS(I$8:I$44,"SB")</f>
        <v>1</v>
      </c>
      <c r="J54" s="1">
        <f t="shared" si="81"/>
        <v>1</v>
      </c>
      <c r="K54" s="1">
        <f t="shared" si="81"/>
        <v>1</v>
      </c>
      <c r="L54" s="1">
        <f t="shared" si="81"/>
        <v>1</v>
      </c>
      <c r="M54" s="1">
        <f t="shared" si="81"/>
        <v>1</v>
      </c>
      <c r="N54" s="1">
        <f t="shared" si="81"/>
        <v>1</v>
      </c>
      <c r="O54" s="1">
        <f t="shared" si="81"/>
        <v>1</v>
      </c>
      <c r="P54" s="1">
        <f t="shared" si="81"/>
        <v>1</v>
      </c>
      <c r="Q54" s="1">
        <f t="shared" si="81"/>
        <v>1</v>
      </c>
      <c r="R54" s="1">
        <f t="shared" si="81"/>
        <v>1</v>
      </c>
      <c r="S54" s="1">
        <f t="shared" si="81"/>
        <v>1</v>
      </c>
      <c r="T54" s="1">
        <f t="shared" si="81"/>
        <v>1</v>
      </c>
      <c r="U54" s="1">
        <f t="shared" si="81"/>
        <v>1</v>
      </c>
      <c r="V54" s="1">
        <f t="shared" si="81"/>
        <v>1</v>
      </c>
      <c r="W54" s="1">
        <f t="shared" si="81"/>
        <v>1</v>
      </c>
      <c r="X54" s="1">
        <f t="shared" si="81"/>
        <v>1</v>
      </c>
      <c r="Y54" s="1">
        <f t="shared" si="81"/>
        <v>1</v>
      </c>
      <c r="Z54" s="1">
        <f t="shared" si="81"/>
        <v>1</v>
      </c>
      <c r="AA54" s="1">
        <f t="shared" si="81"/>
        <v>1</v>
      </c>
      <c r="AB54" s="1">
        <f t="shared" si="81"/>
        <v>1</v>
      </c>
      <c r="AC54" s="1">
        <f t="shared" si="81"/>
        <v>1</v>
      </c>
      <c r="AD54" s="1">
        <f t="shared" si="81"/>
        <v>1</v>
      </c>
      <c r="AE54" s="1">
        <f t="shared" si="81"/>
        <v>1</v>
      </c>
      <c r="AF54" s="1">
        <f t="shared" si="81"/>
        <v>1</v>
      </c>
      <c r="AG54" s="1">
        <f t="shared" si="81"/>
        <v>1</v>
      </c>
      <c r="AH54" s="1">
        <f t="shared" si="81"/>
        <v>1</v>
      </c>
    </row>
    <row r="56" spans="4:34" x14ac:dyDescent="0.2">
      <c r="D56" s="3" t="s">
        <v>49</v>
      </c>
    </row>
    <row r="57" spans="4:34" x14ac:dyDescent="0.2">
      <c r="D57" s="333" t="s">
        <v>244</v>
      </c>
      <c r="E57" s="327" t="s">
        <v>213</v>
      </c>
    </row>
    <row r="58" spans="4:34" x14ac:dyDescent="0.2">
      <c r="D58" s="334" t="s">
        <v>245</v>
      </c>
      <c r="E58" s="327" t="s">
        <v>214</v>
      </c>
    </row>
    <row r="59" spans="4:34" x14ac:dyDescent="0.2">
      <c r="D59" s="335" t="s">
        <v>243</v>
      </c>
      <c r="E59" s="327" t="s">
        <v>246</v>
      </c>
    </row>
    <row r="60" spans="4:34" x14ac:dyDescent="0.2">
      <c r="D60" s="337" t="s">
        <v>249</v>
      </c>
      <c r="E60" s="3" t="s">
        <v>248</v>
      </c>
    </row>
    <row r="61" spans="4:34" x14ac:dyDescent="0.2">
      <c r="D61" s="17" t="s">
        <v>247</v>
      </c>
      <c r="E61" s="3" t="s">
        <v>217</v>
      </c>
    </row>
    <row r="62" spans="4:34" x14ac:dyDescent="0.2">
      <c r="D62" s="336" t="s">
        <v>212</v>
      </c>
      <c r="E62" s="327" t="s">
        <v>215</v>
      </c>
    </row>
    <row r="63" spans="4:34" x14ac:dyDescent="0.2">
      <c r="D63" s="336" t="s">
        <v>216</v>
      </c>
      <c r="E63" s="327" t="s">
        <v>70</v>
      </c>
    </row>
    <row r="65" spans="3:5" x14ac:dyDescent="0.2">
      <c r="C65" s="3" t="s">
        <v>252</v>
      </c>
      <c r="D65" s="1"/>
    </row>
    <row r="66" spans="3:5" x14ac:dyDescent="0.2">
      <c r="C66" s="3" t="s">
        <v>30</v>
      </c>
      <c r="D66" s="3" t="s">
        <v>253</v>
      </c>
    </row>
    <row r="67" spans="3:5" x14ac:dyDescent="0.2">
      <c r="C67" s="3" t="s">
        <v>34</v>
      </c>
      <c r="D67" s="3" t="s">
        <v>254</v>
      </c>
    </row>
    <row r="68" spans="3:5" x14ac:dyDescent="0.2">
      <c r="C68" s="3" t="s">
        <v>32</v>
      </c>
      <c r="D68" s="3" t="s">
        <v>255</v>
      </c>
    </row>
    <row r="69" spans="3:5" x14ac:dyDescent="0.2">
      <c r="C69" s="3" t="s">
        <v>29</v>
      </c>
      <c r="D69" s="3" t="s">
        <v>256</v>
      </c>
    </row>
    <row r="70" spans="3:5" x14ac:dyDescent="0.2">
      <c r="C70" s="3" t="s">
        <v>31</v>
      </c>
      <c r="D70" s="3" t="s">
        <v>257</v>
      </c>
    </row>
    <row r="71" spans="3:5" x14ac:dyDescent="0.2">
      <c r="C71" s="3" t="s">
        <v>19</v>
      </c>
      <c r="D71" s="3" t="s">
        <v>258</v>
      </c>
    </row>
    <row r="73" spans="3:5" x14ac:dyDescent="0.2">
      <c r="C73" s="3" t="s">
        <v>172</v>
      </c>
    </row>
    <row r="74" spans="3:5" x14ac:dyDescent="0.2">
      <c r="C74" s="3" t="s">
        <v>169</v>
      </c>
      <c r="E74" s="3">
        <v>1</v>
      </c>
    </row>
    <row r="75" spans="3:5" x14ac:dyDescent="0.2">
      <c r="C75" s="3" t="s">
        <v>177</v>
      </c>
      <c r="E75" s="3">
        <v>1.5</v>
      </c>
    </row>
    <row r="76" spans="3:5" x14ac:dyDescent="0.2">
      <c r="C76" s="3" t="s">
        <v>259</v>
      </c>
      <c r="E76" s="3">
        <v>2.5</v>
      </c>
    </row>
    <row r="77" spans="3:5" x14ac:dyDescent="0.2">
      <c r="C77" s="3" t="s">
        <v>168</v>
      </c>
      <c r="E77" s="3">
        <v>2</v>
      </c>
    </row>
    <row r="78" spans="3:5" x14ac:dyDescent="0.2">
      <c r="C78" s="3" t="s">
        <v>19</v>
      </c>
      <c r="E78" s="3">
        <v>0.5</v>
      </c>
    </row>
  </sheetData>
  <mergeCells count="7">
    <mergeCell ref="AJ3:AM3"/>
    <mergeCell ref="AJ4:AM4"/>
    <mergeCell ref="AN4:BC4"/>
    <mergeCell ref="AJ5:AM6"/>
    <mergeCell ref="AN5:AS6"/>
    <mergeCell ref="AT5:AX6"/>
    <mergeCell ref="AY5:BC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CA8A1-71F5-4B25-AC02-E4E79808C10C}">
  <dimension ref="B2:BX59"/>
  <sheetViews>
    <sheetView showGridLines="0" zoomScale="70" zoomScaleNormal="70" workbookViewId="0">
      <pane xSplit="5" ySplit="7" topLeftCell="F8" activePane="bottomRight" state="frozen"/>
      <selection activeCell="AW11" sqref="AW11"/>
      <selection pane="topRight" activeCell="AW11" sqref="AW11"/>
      <selection pane="bottomLeft" activeCell="AW11" sqref="AW11"/>
      <selection pane="bottomRight" activeCell="AW11" sqref="AW11"/>
    </sheetView>
  </sheetViews>
  <sheetFormatPr baseColWidth="10" defaultColWidth="10.83203125" defaultRowHeight="15" x14ac:dyDescent="0.2"/>
  <cols>
    <col min="1" max="1" width="1.83203125" style="1" customWidth="1"/>
    <col min="2" max="2" width="5.1640625" style="1" customWidth="1"/>
    <col min="3" max="3" width="3.83203125" style="3" bestFit="1" customWidth="1"/>
    <col min="4" max="4" width="23.83203125" style="3" bestFit="1" customWidth="1"/>
    <col min="5" max="5" width="11.83203125" style="3" bestFit="1" customWidth="1"/>
    <col min="6" max="43" width="10.83203125" style="1"/>
    <col min="44" max="44" width="3.1640625" style="1" customWidth="1"/>
    <col min="45" max="46" width="10.83203125" style="1"/>
    <col min="47" max="47" width="14.1640625" style="1" bestFit="1" customWidth="1"/>
    <col min="48" max="48" width="17" style="1" bestFit="1" customWidth="1"/>
    <col min="49" max="49" width="10.83203125" style="1"/>
    <col min="50" max="50" width="13.5" style="1" bestFit="1" customWidth="1"/>
    <col min="51" max="51" width="11.5" style="1" bestFit="1" customWidth="1"/>
    <col min="52" max="56" width="10.83203125" style="1"/>
    <col min="57" max="57" width="14.1640625" style="1" bestFit="1" customWidth="1"/>
    <col min="58" max="58" width="17" style="1" bestFit="1" customWidth="1"/>
    <col min="59" max="59" width="22.83203125" style="1" bestFit="1" customWidth="1"/>
    <col min="60" max="61" width="10.83203125" style="1"/>
    <col min="62" max="62" width="14.1640625" style="1" bestFit="1" customWidth="1"/>
    <col min="63" max="63" width="17" style="1" bestFit="1" customWidth="1"/>
    <col min="64" max="64" width="22.83203125" style="1" bestFit="1" customWidth="1"/>
    <col min="65" max="16384" width="10.83203125" style="1"/>
  </cols>
  <sheetData>
    <row r="2" spans="2:76" x14ac:dyDescent="0.2">
      <c r="C2" s="1"/>
      <c r="D2" s="1">
        <v>1</v>
      </c>
      <c r="E2" s="1">
        <f>D2+1</f>
        <v>2</v>
      </c>
      <c r="F2" s="1">
        <f t="shared" ref="F2:BL2" si="0">E2+1</f>
        <v>3</v>
      </c>
      <c r="G2" s="1">
        <f t="shared" si="0"/>
        <v>4</v>
      </c>
      <c r="H2" s="1">
        <f t="shared" si="0"/>
        <v>5</v>
      </c>
      <c r="I2" s="1">
        <f t="shared" si="0"/>
        <v>6</v>
      </c>
      <c r="J2" s="1">
        <f t="shared" si="0"/>
        <v>7</v>
      </c>
      <c r="K2" s="1">
        <f t="shared" si="0"/>
        <v>8</v>
      </c>
      <c r="L2" s="1">
        <f t="shared" si="0"/>
        <v>9</v>
      </c>
      <c r="M2" s="1">
        <f t="shared" si="0"/>
        <v>10</v>
      </c>
      <c r="N2" s="1">
        <f t="shared" si="0"/>
        <v>11</v>
      </c>
      <c r="O2" s="1">
        <f t="shared" si="0"/>
        <v>12</v>
      </c>
      <c r="P2" s="1">
        <f t="shared" si="0"/>
        <v>13</v>
      </c>
      <c r="Q2" s="1">
        <f t="shared" si="0"/>
        <v>14</v>
      </c>
      <c r="R2" s="1">
        <f t="shared" si="0"/>
        <v>15</v>
      </c>
      <c r="S2" s="1">
        <f t="shared" si="0"/>
        <v>16</v>
      </c>
      <c r="T2" s="1">
        <f t="shared" si="0"/>
        <v>17</v>
      </c>
      <c r="U2" s="1">
        <f t="shared" si="0"/>
        <v>18</v>
      </c>
      <c r="V2" s="1">
        <f t="shared" si="0"/>
        <v>19</v>
      </c>
      <c r="W2" s="1">
        <f t="shared" si="0"/>
        <v>20</v>
      </c>
      <c r="X2" s="1">
        <f t="shared" si="0"/>
        <v>21</v>
      </c>
      <c r="Y2" s="1">
        <f t="shared" si="0"/>
        <v>22</v>
      </c>
      <c r="Z2" s="1">
        <f t="shared" si="0"/>
        <v>23</v>
      </c>
      <c r="AA2" s="1">
        <f t="shared" si="0"/>
        <v>24</v>
      </c>
      <c r="AB2" s="1">
        <f t="shared" si="0"/>
        <v>25</v>
      </c>
      <c r="AC2" s="1">
        <f t="shared" si="0"/>
        <v>26</v>
      </c>
      <c r="AD2" s="1">
        <f t="shared" si="0"/>
        <v>27</v>
      </c>
      <c r="AE2" s="1">
        <f t="shared" si="0"/>
        <v>28</v>
      </c>
      <c r="AF2" s="1">
        <f t="shared" si="0"/>
        <v>29</v>
      </c>
      <c r="AG2" s="1">
        <f t="shared" si="0"/>
        <v>30</v>
      </c>
      <c r="AH2" s="1">
        <f>AG2+1</f>
        <v>31</v>
      </c>
      <c r="AI2" s="1">
        <f t="shared" ref="AI2:AO2" si="1">AH2+1</f>
        <v>32</v>
      </c>
      <c r="AJ2" s="1">
        <f t="shared" si="1"/>
        <v>33</v>
      </c>
      <c r="AK2" s="1">
        <f t="shared" si="1"/>
        <v>34</v>
      </c>
      <c r="AL2" s="1">
        <f t="shared" si="1"/>
        <v>35</v>
      </c>
      <c r="AM2" s="1">
        <f t="shared" si="1"/>
        <v>36</v>
      </c>
      <c r="AN2" s="1">
        <f t="shared" si="1"/>
        <v>37</v>
      </c>
      <c r="AO2" s="1">
        <f t="shared" si="1"/>
        <v>38</v>
      </c>
      <c r="AP2" s="1">
        <f t="shared" ref="AP2:AQ2" si="2">AO2+1</f>
        <v>39</v>
      </c>
      <c r="AQ2" s="1">
        <f t="shared" si="2"/>
        <v>40</v>
      </c>
      <c r="AR2" s="1">
        <f t="shared" si="0"/>
        <v>41</v>
      </c>
      <c r="AS2" s="1">
        <f t="shared" si="0"/>
        <v>42</v>
      </c>
      <c r="AT2" s="1">
        <f t="shared" si="0"/>
        <v>43</v>
      </c>
      <c r="AU2" s="1">
        <f t="shared" si="0"/>
        <v>44</v>
      </c>
      <c r="AV2" s="1">
        <f t="shared" si="0"/>
        <v>45</v>
      </c>
      <c r="AW2" s="1">
        <f t="shared" si="0"/>
        <v>46</v>
      </c>
      <c r="AX2" s="1">
        <f t="shared" si="0"/>
        <v>47</v>
      </c>
      <c r="AY2" s="1">
        <f t="shared" si="0"/>
        <v>48</v>
      </c>
      <c r="AZ2" s="1">
        <f t="shared" si="0"/>
        <v>49</v>
      </c>
      <c r="BA2" s="1">
        <f t="shared" si="0"/>
        <v>50</v>
      </c>
      <c r="BB2" s="1">
        <f t="shared" si="0"/>
        <v>51</v>
      </c>
      <c r="BC2" s="1">
        <f t="shared" si="0"/>
        <v>52</v>
      </c>
      <c r="BD2" s="1">
        <f t="shared" si="0"/>
        <v>53</v>
      </c>
      <c r="BE2" s="1">
        <f t="shared" si="0"/>
        <v>54</v>
      </c>
      <c r="BF2" s="1">
        <f t="shared" si="0"/>
        <v>55</v>
      </c>
      <c r="BG2" s="1">
        <f t="shared" si="0"/>
        <v>56</v>
      </c>
      <c r="BH2" s="1">
        <f t="shared" si="0"/>
        <v>57</v>
      </c>
      <c r="BI2" s="1">
        <f t="shared" si="0"/>
        <v>58</v>
      </c>
      <c r="BJ2" s="1">
        <f t="shared" si="0"/>
        <v>59</v>
      </c>
      <c r="BK2" s="1">
        <f t="shared" si="0"/>
        <v>60</v>
      </c>
      <c r="BL2" s="249">
        <f t="shared" si="0"/>
        <v>61</v>
      </c>
    </row>
    <row r="3" spans="2:76" ht="27" thickBot="1" x14ac:dyDescent="0.25">
      <c r="D3" s="238">
        <v>45992</v>
      </c>
      <c r="E3" s="3" t="s">
        <v>159</v>
      </c>
      <c r="F3" s="242" t="s">
        <v>160</v>
      </c>
      <c r="G3" s="242" t="s">
        <v>160</v>
      </c>
      <c r="H3" s="242" t="s">
        <v>160</v>
      </c>
      <c r="I3" s="242" t="s">
        <v>160</v>
      </c>
      <c r="J3" s="242" t="s">
        <v>160</v>
      </c>
      <c r="K3" s="242" t="s">
        <v>160</v>
      </c>
      <c r="L3" s="242" t="s">
        <v>160</v>
      </c>
      <c r="M3" s="242" t="s">
        <v>160</v>
      </c>
      <c r="N3" s="242" t="s">
        <v>160</v>
      </c>
      <c r="O3" s="242" t="s">
        <v>160</v>
      </c>
      <c r="P3" s="242" t="s">
        <v>160</v>
      </c>
      <c r="Q3" s="242" t="s">
        <v>160</v>
      </c>
      <c r="R3" s="242" t="s">
        <v>160</v>
      </c>
      <c r="S3" s="242" t="s">
        <v>160</v>
      </c>
      <c r="T3" s="242" t="s">
        <v>160</v>
      </c>
      <c r="U3" s="242" t="s">
        <v>160</v>
      </c>
      <c r="V3" s="242" t="s">
        <v>160</v>
      </c>
      <c r="W3" s="242" t="s">
        <v>160</v>
      </c>
      <c r="X3" s="242" t="s">
        <v>160</v>
      </c>
      <c r="Y3" s="242" t="s">
        <v>160</v>
      </c>
      <c r="Z3" s="242" t="s">
        <v>160</v>
      </c>
      <c r="AA3" s="242" t="s">
        <v>160</v>
      </c>
      <c r="AB3" s="242" t="s">
        <v>160</v>
      </c>
      <c r="AC3" s="242" t="s">
        <v>160</v>
      </c>
      <c r="AD3" s="242" t="s">
        <v>160</v>
      </c>
      <c r="AE3" s="242" t="s">
        <v>193</v>
      </c>
      <c r="AF3" s="242" t="s">
        <v>160</v>
      </c>
      <c r="AG3" s="242" t="s">
        <v>160</v>
      </c>
      <c r="AH3" s="242" t="s">
        <v>160</v>
      </c>
      <c r="AI3" s="242" t="s">
        <v>160</v>
      </c>
      <c r="AJ3" s="242" t="s">
        <v>160</v>
      </c>
      <c r="AK3" s="242" t="s">
        <v>160</v>
      </c>
      <c r="AL3" s="242" t="s">
        <v>193</v>
      </c>
      <c r="AM3" s="242" t="s">
        <v>160</v>
      </c>
      <c r="AN3" s="242" t="s">
        <v>160</v>
      </c>
      <c r="AO3" s="242" t="s">
        <v>160</v>
      </c>
      <c r="AP3" s="242" t="s">
        <v>160</v>
      </c>
      <c r="AQ3" s="242" t="s">
        <v>160</v>
      </c>
      <c r="AS3" s="423" t="s">
        <v>120</v>
      </c>
      <c r="AT3" s="423"/>
      <c r="AU3" s="423"/>
      <c r="AV3" s="423"/>
    </row>
    <row r="4" spans="2:76" ht="16" thickBot="1" x14ac:dyDescent="0.25">
      <c r="F4" s="1" t="s">
        <v>133</v>
      </c>
      <c r="H4" s="1" t="s">
        <v>1</v>
      </c>
      <c r="AS4" s="405" t="s">
        <v>133</v>
      </c>
      <c r="AT4" s="406"/>
      <c r="AU4" s="406"/>
      <c r="AV4" s="407"/>
      <c r="AW4" s="408" t="s">
        <v>175</v>
      </c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10"/>
    </row>
    <row r="5" spans="2:76" x14ac:dyDescent="0.2">
      <c r="B5" s="1">
        <v>1</v>
      </c>
      <c r="F5" s="241">
        <v>45991</v>
      </c>
      <c r="G5" s="251">
        <f>F5+1</f>
        <v>45992</v>
      </c>
      <c r="H5" s="57">
        <f>G5+1</f>
        <v>45993</v>
      </c>
      <c r="I5" s="58">
        <f>H5+1</f>
        <v>45994</v>
      </c>
      <c r="J5" s="58">
        <f>I5+1</f>
        <v>45995</v>
      </c>
      <c r="K5" s="58">
        <f>J5+1</f>
        <v>45996</v>
      </c>
      <c r="L5" s="58">
        <f t="shared" ref="L5:AG5" si="3">K5+1</f>
        <v>45997</v>
      </c>
      <c r="M5" s="58">
        <f t="shared" si="3"/>
        <v>45998</v>
      </c>
      <c r="N5" s="58">
        <f t="shared" si="3"/>
        <v>45999</v>
      </c>
      <c r="O5" s="58">
        <f t="shared" si="3"/>
        <v>46000</v>
      </c>
      <c r="P5" s="58">
        <f t="shared" si="3"/>
        <v>46001</v>
      </c>
      <c r="Q5" s="58">
        <f t="shared" si="3"/>
        <v>46002</v>
      </c>
      <c r="R5" s="58">
        <f t="shared" si="3"/>
        <v>46003</v>
      </c>
      <c r="S5" s="58">
        <f t="shared" si="3"/>
        <v>46004</v>
      </c>
      <c r="T5" s="58">
        <f t="shared" si="3"/>
        <v>46005</v>
      </c>
      <c r="U5" s="58">
        <f t="shared" si="3"/>
        <v>46006</v>
      </c>
      <c r="V5" s="58">
        <f t="shared" si="3"/>
        <v>46007</v>
      </c>
      <c r="W5" s="58">
        <f t="shared" si="3"/>
        <v>46008</v>
      </c>
      <c r="X5" s="58">
        <f t="shared" si="3"/>
        <v>46009</v>
      </c>
      <c r="Y5" s="58">
        <f t="shared" si="3"/>
        <v>46010</v>
      </c>
      <c r="Z5" s="58">
        <f t="shared" si="3"/>
        <v>46011</v>
      </c>
      <c r="AA5" s="58">
        <f t="shared" si="3"/>
        <v>46012</v>
      </c>
      <c r="AB5" s="58">
        <f t="shared" si="3"/>
        <v>46013</v>
      </c>
      <c r="AC5" s="58">
        <f t="shared" si="3"/>
        <v>46014</v>
      </c>
      <c r="AD5" s="58">
        <f t="shared" si="3"/>
        <v>46015</v>
      </c>
      <c r="AE5" s="58">
        <f t="shared" si="3"/>
        <v>46016</v>
      </c>
      <c r="AF5" s="58">
        <f t="shared" si="3"/>
        <v>46017</v>
      </c>
      <c r="AG5" s="58">
        <f t="shared" si="3"/>
        <v>46018</v>
      </c>
      <c r="AH5" s="290">
        <f>AG5+1</f>
        <v>46019</v>
      </c>
      <c r="AI5" s="290">
        <f t="shared" ref="AI5:AJ5" si="4">AH5+1</f>
        <v>46020</v>
      </c>
      <c r="AJ5" s="290">
        <f t="shared" si="4"/>
        <v>46021</v>
      </c>
      <c r="AK5" s="290">
        <f t="shared" ref="AK5:AO5" si="5">AJ5+1</f>
        <v>46022</v>
      </c>
      <c r="AL5" s="290">
        <f t="shared" si="5"/>
        <v>46023</v>
      </c>
      <c r="AM5" s="290">
        <f t="shared" si="5"/>
        <v>46024</v>
      </c>
      <c r="AN5" s="290">
        <f t="shared" si="5"/>
        <v>46025</v>
      </c>
      <c r="AO5" s="290">
        <f t="shared" si="5"/>
        <v>46026</v>
      </c>
      <c r="AP5" s="290">
        <f t="shared" ref="AP5:AQ5" si="6">AO5+1</f>
        <v>46027</v>
      </c>
      <c r="AQ5" s="59">
        <f t="shared" si="6"/>
        <v>46028</v>
      </c>
      <c r="AR5" s="5"/>
      <c r="AS5" s="411" t="s">
        <v>170</v>
      </c>
      <c r="AT5" s="412"/>
      <c r="AU5" s="412"/>
      <c r="AV5" s="413"/>
      <c r="AW5" s="417" t="s">
        <v>176</v>
      </c>
      <c r="AX5" s="418"/>
      <c r="AY5" s="418"/>
      <c r="AZ5" s="418"/>
      <c r="BA5" s="418"/>
      <c r="BB5" s="419"/>
      <c r="BC5" s="417" t="s">
        <v>188</v>
      </c>
      <c r="BD5" s="418"/>
      <c r="BE5" s="418"/>
      <c r="BF5" s="418"/>
      <c r="BG5" s="419"/>
      <c r="BH5" s="417" t="s">
        <v>170</v>
      </c>
      <c r="BI5" s="418"/>
      <c r="BJ5" s="418"/>
      <c r="BK5" s="418"/>
      <c r="BL5" s="419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</row>
    <row r="6" spans="2:76" ht="16" thickBot="1" x14ac:dyDescent="0.25">
      <c r="B6" s="1">
        <f>B5+1</f>
        <v>2</v>
      </c>
      <c r="F6" s="60">
        <f>WEEKDAY(F5,2)</f>
        <v>7</v>
      </c>
      <c r="G6" s="252">
        <f>WEEKDAY(G5,2)</f>
        <v>1</v>
      </c>
      <c r="H6" s="60">
        <f t="shared" ref="H6:AH6" si="7">WEEKDAY(H5,2)</f>
        <v>2</v>
      </c>
      <c r="I6" s="51">
        <f t="shared" si="7"/>
        <v>3</v>
      </c>
      <c r="J6" s="51">
        <f t="shared" si="7"/>
        <v>4</v>
      </c>
      <c r="K6" s="51">
        <f t="shared" si="7"/>
        <v>5</v>
      </c>
      <c r="L6" s="51">
        <f t="shared" si="7"/>
        <v>6</v>
      </c>
      <c r="M6" s="51">
        <f t="shared" si="7"/>
        <v>7</v>
      </c>
      <c r="N6" s="51">
        <f t="shared" si="7"/>
        <v>1</v>
      </c>
      <c r="O6" s="51">
        <f t="shared" si="7"/>
        <v>2</v>
      </c>
      <c r="P6" s="51">
        <f t="shared" si="7"/>
        <v>3</v>
      </c>
      <c r="Q6" s="51">
        <f t="shared" si="7"/>
        <v>4</v>
      </c>
      <c r="R6" s="51">
        <f t="shared" si="7"/>
        <v>5</v>
      </c>
      <c r="S6" s="51">
        <f t="shared" si="7"/>
        <v>6</v>
      </c>
      <c r="T6" s="282">
        <f t="shared" si="7"/>
        <v>7</v>
      </c>
      <c r="U6" s="282">
        <f t="shared" si="7"/>
        <v>1</v>
      </c>
      <c r="V6" s="51">
        <f t="shared" si="7"/>
        <v>2</v>
      </c>
      <c r="W6" s="51">
        <f t="shared" si="7"/>
        <v>3</v>
      </c>
      <c r="X6" s="51">
        <f t="shared" si="7"/>
        <v>4</v>
      </c>
      <c r="Y6" s="51">
        <f t="shared" si="7"/>
        <v>5</v>
      </c>
      <c r="Z6" s="51">
        <f t="shared" si="7"/>
        <v>6</v>
      </c>
      <c r="AA6" s="51">
        <f t="shared" si="7"/>
        <v>7</v>
      </c>
      <c r="AB6" s="51">
        <f t="shared" si="7"/>
        <v>1</v>
      </c>
      <c r="AC6" s="51">
        <f t="shared" si="7"/>
        <v>2</v>
      </c>
      <c r="AD6" s="265">
        <v>5</v>
      </c>
      <c r="AE6" s="265">
        <v>6</v>
      </c>
      <c r="AF6" s="51">
        <f t="shared" si="7"/>
        <v>5</v>
      </c>
      <c r="AG6" s="51">
        <f t="shared" si="7"/>
        <v>6</v>
      </c>
      <c r="AH6" s="51">
        <f t="shared" si="7"/>
        <v>7</v>
      </c>
      <c r="AI6" s="303">
        <f t="shared" ref="AI6:AJ6" si="8">WEEKDAY(AI5,2)</f>
        <v>1</v>
      </c>
      <c r="AJ6" s="303">
        <f t="shared" si="8"/>
        <v>2</v>
      </c>
      <c r="AK6" s="306">
        <v>5</v>
      </c>
      <c r="AL6" s="306">
        <v>6</v>
      </c>
      <c r="AM6" s="303">
        <f t="shared" ref="AM6:AO6" si="9">WEEKDAY(AM5,2)</f>
        <v>5</v>
      </c>
      <c r="AN6" s="303">
        <f t="shared" si="9"/>
        <v>6</v>
      </c>
      <c r="AO6" s="303">
        <f t="shared" si="9"/>
        <v>7</v>
      </c>
      <c r="AP6" s="303">
        <f t="shared" ref="AP6:AQ6" si="10">WEEKDAY(AP5,2)</f>
        <v>1</v>
      </c>
      <c r="AQ6" s="61">
        <f t="shared" si="10"/>
        <v>2</v>
      </c>
      <c r="AR6" s="5"/>
      <c r="AS6" s="414"/>
      <c r="AT6" s="415"/>
      <c r="AU6" s="415"/>
      <c r="AV6" s="416"/>
      <c r="AW6" s="420"/>
      <c r="AX6" s="421"/>
      <c r="AY6" s="421"/>
      <c r="AZ6" s="421"/>
      <c r="BA6" s="421"/>
      <c r="BB6" s="422"/>
      <c r="BC6" s="420"/>
      <c r="BD6" s="421"/>
      <c r="BE6" s="421"/>
      <c r="BF6" s="421"/>
      <c r="BG6" s="422"/>
      <c r="BH6" s="420"/>
      <c r="BI6" s="421"/>
      <c r="BJ6" s="421"/>
      <c r="BK6" s="421"/>
      <c r="BL6" s="422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</row>
    <row r="7" spans="2:76" ht="16" thickBot="1" x14ac:dyDescent="0.25">
      <c r="B7" s="1">
        <f t="shared" ref="B7:C22" si="11">B6+1</f>
        <v>3</v>
      </c>
      <c r="C7" s="52" t="s">
        <v>158</v>
      </c>
      <c r="D7" s="285" t="s">
        <v>132</v>
      </c>
      <c r="E7" s="63" t="s">
        <v>4</v>
      </c>
      <c r="F7" s="234" t="str">
        <f>VLOOKUP(WEEKDAY(F5,2),Index!$B$2:$C$8,2,0)</f>
        <v>Sunday</v>
      </c>
      <c r="G7" s="264" t="str">
        <f>VLOOKUP(WEEKDAY(G5,2),Index!$B$2:$C$8,2,0)</f>
        <v>Monday</v>
      </c>
      <c r="H7" s="84" t="str">
        <f>VLOOKUP(WEEKDAY(H5,2),Index!$B$2:$C$8,2,0)</f>
        <v>Tuesday</v>
      </c>
      <c r="I7" s="82" t="str">
        <f>VLOOKUP(WEEKDAY(I5,2),Index!$B$2:$C$8,2,0)</f>
        <v>Wednesday</v>
      </c>
      <c r="J7" s="82" t="str">
        <f>VLOOKUP(WEEKDAY(J5,2),Index!$B$2:$C$8,2,0)</f>
        <v>Thursday</v>
      </c>
      <c r="K7" s="82" t="str">
        <f>VLOOKUP(WEEKDAY(K5,2),Index!$B$2:$C$8,2,0)</f>
        <v>Friday</v>
      </c>
      <c r="L7" s="55" t="str">
        <f>VLOOKUP(WEEKDAY(L5,2),Index!$B$2:$C$8,2,0)</f>
        <v>Saturday</v>
      </c>
      <c r="M7" s="55" t="str">
        <f>VLOOKUP(WEEKDAY(M5,2),Index!$B$2:$C$8,2,0)</f>
        <v>Sunday</v>
      </c>
      <c r="N7" s="82" t="str">
        <f>VLOOKUP(WEEKDAY(N5,2),Index!$B$2:$C$8,2,0)</f>
        <v>Monday</v>
      </c>
      <c r="O7" s="82" t="str">
        <f>VLOOKUP(WEEKDAY(O5,2),Index!$B$2:$C$8,2,0)</f>
        <v>Tuesday</v>
      </c>
      <c r="P7" s="82" t="str">
        <f>VLOOKUP(WEEKDAY(P5,2),Index!$B$2:$C$8,2,0)</f>
        <v>Wednesday</v>
      </c>
      <c r="Q7" s="82" t="str">
        <f>VLOOKUP(WEEKDAY(Q5,2),Index!$B$2:$C$8,2,0)</f>
        <v>Thursday</v>
      </c>
      <c r="R7" s="82" t="str">
        <f>VLOOKUP(WEEKDAY(R5,2),Index!$B$2:$C$8,2,0)</f>
        <v>Friday</v>
      </c>
      <c r="S7" s="55" t="str">
        <f>VLOOKUP(WEEKDAY(S5,2),Index!$B$2:$C$8,2,0)</f>
        <v>Saturday</v>
      </c>
      <c r="T7" s="55" t="str">
        <f>VLOOKUP(WEEKDAY(T5,2),Index!$B$2:$C$8,2,0)</f>
        <v>Sunday</v>
      </c>
      <c r="U7" s="82" t="str">
        <f>VLOOKUP(WEEKDAY(U5,2),Index!$B$2:$C$8,2,0)</f>
        <v>Monday</v>
      </c>
      <c r="V7" s="82" t="str">
        <f>VLOOKUP(WEEKDAY(V5,2),Index!$B$2:$C$8,2,0)</f>
        <v>Tuesday</v>
      </c>
      <c r="W7" s="82" t="str">
        <f>VLOOKUP(WEEKDAY(W5,2),Index!$B$2:$C$8,2,0)</f>
        <v>Wednesday</v>
      </c>
      <c r="X7" s="82" t="str">
        <f>VLOOKUP(WEEKDAY(X5,2),Index!$B$2:$C$8,2,0)</f>
        <v>Thursday</v>
      </c>
      <c r="Y7" s="82" t="str">
        <f>VLOOKUP(WEEKDAY(Y5,2),Index!$B$2:$C$8,2,0)</f>
        <v>Friday</v>
      </c>
      <c r="Z7" s="55" t="str">
        <f>VLOOKUP(WEEKDAY(Z5,2),Index!$B$2:$C$8,2,0)</f>
        <v>Saturday</v>
      </c>
      <c r="AA7" s="55" t="str">
        <f>VLOOKUP(WEEKDAY(AA5,2),Index!$B$2:$C$8,2,0)</f>
        <v>Sunday</v>
      </c>
      <c r="AB7" s="82" t="str">
        <f>VLOOKUP(WEEKDAY(AB5,2),Index!$B$2:$C$8,2,0)</f>
        <v>Monday</v>
      </c>
      <c r="AC7" s="82" t="str">
        <f>VLOOKUP(WEEKDAY(AC5,2),Index!$B$2:$C$8,2,0)</f>
        <v>Tuesday</v>
      </c>
      <c r="AD7" s="82" t="str">
        <f>VLOOKUP(WEEKDAY(AD5,2),Index!$B$2:$C$8,2,0)</f>
        <v>Wednesday</v>
      </c>
      <c r="AE7" s="55" t="str">
        <f>VLOOKUP(WEEKDAY(AE5,2),Index!$B$2:$C$8,2,0)</f>
        <v>Thursday</v>
      </c>
      <c r="AF7" s="82" t="str">
        <f>VLOOKUP(WEEKDAY(AF5,2),Index!$B$2:$C$8,2,0)</f>
        <v>Friday</v>
      </c>
      <c r="AG7" s="55" t="str">
        <f>VLOOKUP(WEEKDAY(AG5,2),Index!$B$2:$C$8,2,0)</f>
        <v>Saturday</v>
      </c>
      <c r="AH7" s="55" t="str">
        <f>VLOOKUP(WEEKDAY(AH5,2),Index!$B$2:$C$8,2,0)</f>
        <v>Sunday</v>
      </c>
      <c r="AI7" s="304" t="str">
        <f>VLOOKUP(WEEKDAY(AI5,2),Index!$B$2:$C$8,2,0)</f>
        <v>Monday</v>
      </c>
      <c r="AJ7" s="304" t="str">
        <f>VLOOKUP(WEEKDAY(AJ5,2),Index!$B$2:$C$8,2,0)</f>
        <v>Tuesday</v>
      </c>
      <c r="AK7" s="304" t="str">
        <f>VLOOKUP(WEEKDAY(AK5,2),Index!$B$2:$C$8,2,0)</f>
        <v>Wednesday</v>
      </c>
      <c r="AL7" s="305" t="str">
        <f>VLOOKUP(WEEKDAY(AL5,2),Index!$B$2:$C$8,2,0)</f>
        <v>Thursday</v>
      </c>
      <c r="AM7" s="304" t="str">
        <f>VLOOKUP(WEEKDAY(AM5,2),Index!$B$2:$C$8,2,0)</f>
        <v>Friday</v>
      </c>
      <c r="AN7" s="305" t="str">
        <f>VLOOKUP(WEEKDAY(AN5,2),Index!$B$2:$C$8,2,0)</f>
        <v>Saturday</v>
      </c>
      <c r="AO7" s="305" t="str">
        <f>VLOOKUP(WEEKDAY(AO5,2),Index!$B$2:$C$8,2,0)</f>
        <v>Sunday</v>
      </c>
      <c r="AP7" s="304" t="str">
        <f>VLOOKUP(WEEKDAY(AP5,2),Index!$B$2:$C$8,2,0)</f>
        <v>Monday</v>
      </c>
      <c r="AQ7" s="83" t="str">
        <f>VLOOKUP(WEEKDAY(AQ5,2),Index!$B$2:$C$8,2,0)</f>
        <v>Tuesday</v>
      </c>
      <c r="AS7" s="272" t="s">
        <v>171</v>
      </c>
      <c r="AT7" s="273" t="s">
        <v>172</v>
      </c>
      <c r="AU7" s="273" t="s">
        <v>173</v>
      </c>
      <c r="AV7" s="274" t="s">
        <v>174</v>
      </c>
      <c r="AW7" s="80" t="s">
        <v>169</v>
      </c>
      <c r="AX7" s="81" t="s">
        <v>177</v>
      </c>
      <c r="AY7" s="81" t="s">
        <v>178</v>
      </c>
      <c r="AZ7" s="81" t="s">
        <v>168</v>
      </c>
      <c r="BA7" s="82" t="s">
        <v>19</v>
      </c>
      <c r="BB7" s="83" t="s">
        <v>77</v>
      </c>
      <c r="BC7" s="234" t="s">
        <v>171</v>
      </c>
      <c r="BD7" s="235" t="s">
        <v>172</v>
      </c>
      <c r="BE7" s="235" t="s">
        <v>173</v>
      </c>
      <c r="BF7" s="235" t="s">
        <v>174</v>
      </c>
      <c r="BG7" s="236" t="s">
        <v>180</v>
      </c>
      <c r="BH7" s="84" t="s">
        <v>171</v>
      </c>
      <c r="BI7" s="82" t="s">
        <v>172</v>
      </c>
      <c r="BJ7" s="82" t="s">
        <v>173</v>
      </c>
      <c r="BK7" s="82" t="s">
        <v>174</v>
      </c>
      <c r="BL7" s="83" t="s">
        <v>180</v>
      </c>
    </row>
    <row r="8" spans="2:76" x14ac:dyDescent="0.2">
      <c r="B8" s="1">
        <f t="shared" si="11"/>
        <v>4</v>
      </c>
      <c r="C8" s="64">
        <v>1</v>
      </c>
      <c r="D8" s="314" t="s">
        <v>154</v>
      </c>
      <c r="E8" s="256">
        <v>31</v>
      </c>
      <c r="F8" s="230" t="str">
        <f>IFERROR(IF(VLOOKUP($D8,'Nov 25'!$D$8:$AI$43,31,0)=0,"",VLOOKUP($D8,'Nov 25'!$D$8:$AI$43,31,0)),"")</f>
        <v/>
      </c>
      <c r="G8" s="70" t="str">
        <f>IFERROR(IF(VLOOKUP($D8,'Nov 25'!$D$8:$AI$43,32,0)=0,"",VLOOKUP($D8,'Nov 25'!$D$8:$AI$43,32,0)),"")</f>
        <v/>
      </c>
      <c r="H8" s="37"/>
      <c r="I8" s="23" t="s">
        <v>77</v>
      </c>
      <c r="J8" s="23"/>
      <c r="K8" s="23"/>
      <c r="L8" s="253"/>
      <c r="M8" s="253" t="s">
        <v>34</v>
      </c>
      <c r="N8" s="23"/>
      <c r="O8" s="23"/>
      <c r="P8" s="23" t="s">
        <v>31</v>
      </c>
      <c r="Q8" s="23"/>
      <c r="R8" s="23"/>
      <c r="S8" s="253"/>
      <c r="T8" s="297" t="s">
        <v>30</v>
      </c>
      <c r="U8" s="23"/>
      <c r="V8" s="23"/>
      <c r="W8" s="23" t="s">
        <v>83</v>
      </c>
      <c r="X8" s="23" t="s">
        <v>83</v>
      </c>
      <c r="Y8" s="23" t="s">
        <v>83</v>
      </c>
      <c r="Z8" s="253" t="s">
        <v>207</v>
      </c>
      <c r="AA8" s="253" t="s">
        <v>207</v>
      </c>
      <c r="AB8" s="23" t="s">
        <v>83</v>
      </c>
      <c r="AC8" s="23" t="s">
        <v>83</v>
      </c>
      <c r="AD8" s="23" t="s">
        <v>83</v>
      </c>
      <c r="AE8" s="298"/>
      <c r="AF8" s="23"/>
      <c r="AG8" s="253"/>
      <c r="AH8" s="291" t="s">
        <v>20</v>
      </c>
      <c r="AI8" s="278"/>
      <c r="AJ8" s="309" t="s">
        <v>30</v>
      </c>
      <c r="AK8" s="310"/>
      <c r="AL8" s="291"/>
      <c r="AM8" s="278"/>
      <c r="AN8" s="291"/>
      <c r="AO8" s="291" t="s">
        <v>20</v>
      </c>
      <c r="AP8" s="278"/>
      <c r="AQ8" s="39"/>
      <c r="AS8" s="266">
        <f>IFERROR(VLOOKUP($D8,'Nov 25'!$D$8:$BD$51,49,0),0)</f>
        <v>13</v>
      </c>
      <c r="AT8" s="267">
        <f>IFERROR(VLOOKUP($D8,'Nov 25'!$D$8:$BD$51,50,0),0)</f>
        <v>21</v>
      </c>
      <c r="AU8" s="267">
        <f>IFERROR(VLOOKUP($D8,'Nov 25'!$D$8:$BD$51,51,0),0)</f>
        <v>18</v>
      </c>
      <c r="AV8" s="268">
        <f>IFERROR(VLOOKUP($D8,'Nov 25'!$D$8:$BD$51,52,0),0)</f>
        <v>1</v>
      </c>
      <c r="AW8" s="86">
        <f t="shared" ref="AW8:AW43" si="12">COUNTIFS(H8:AQ8,"HO*",$H$6:$AQ$6,"&lt;5")</f>
        <v>2</v>
      </c>
      <c r="AX8" s="66">
        <f t="shared" ref="AX8:AX43" si="13">COUNTIFS(H8:AQ8,"HO*",$H$6:$AQ$6,"5")</f>
        <v>0</v>
      </c>
      <c r="AY8" s="66">
        <f t="shared" ref="AY8:AY43" si="14">COUNTIFS(H8:AQ8,"HO*",$H$6:$AQ$6,"6")-COUNTIFS(H8:AQ8,"HO6",$H$6:$AQ$6,"6")</f>
        <v>0</v>
      </c>
      <c r="AZ8" s="66">
        <f t="shared" ref="AZ8:AZ43" si="15">COUNTIFS(H8:AQ8,"HO*",$H$6:$AQ$6,"7")-COUNTIFS(H8:AQ8,"HO6",$H$6:$AQ$6,"7")</f>
        <v>2</v>
      </c>
      <c r="BA8" s="66">
        <f t="shared" ref="BA8:BA43" si="16">COUNTIF(H8:AQ8,"HO6")</f>
        <v>0</v>
      </c>
      <c r="BB8" s="277">
        <f t="shared" ref="BB8:BB43" si="17">COUNTIF(H8:AQ8,"S")</f>
        <v>1</v>
      </c>
      <c r="BC8" s="230">
        <f>SUM(AW8:AZ8)+BA8*0.5</f>
        <v>4</v>
      </c>
      <c r="BD8" s="66">
        <f>AW8*1+AX8*1.5+AY8*2.5+AZ8*2+BA8*0.5</f>
        <v>6</v>
      </c>
      <c r="BE8" s="275">
        <f t="shared" ref="BE8:BE43" si="18">COUNTIFS(H8:AQ8,"",$H$6:$AQ$6,"&gt;5")+COUNTIFS(H8:AQ8,"X",$H$6:$AQ$6,"&gt;5")</f>
        <v>6</v>
      </c>
      <c r="BF8" s="66">
        <f t="shared" ref="BF8:BF43" si="19">COUNTIF(H8:AQ8,"WR*")</f>
        <v>2</v>
      </c>
      <c r="BG8" s="276">
        <f>BD8/BC8</f>
        <v>1.5</v>
      </c>
      <c r="BH8" s="37">
        <f>BC8+AS8</f>
        <v>17</v>
      </c>
      <c r="BI8" s="23">
        <f>BD8+AT8</f>
        <v>27</v>
      </c>
      <c r="BJ8" s="23">
        <f>BE8+AU8</f>
        <v>24</v>
      </c>
      <c r="BK8" s="23">
        <f>BF8+AV8</f>
        <v>3</v>
      </c>
      <c r="BL8" s="47">
        <f>BI8/BH8</f>
        <v>1.588235294117647</v>
      </c>
    </row>
    <row r="9" spans="2:76" x14ac:dyDescent="0.2">
      <c r="B9" s="1">
        <f t="shared" si="11"/>
        <v>5</v>
      </c>
      <c r="C9" s="71">
        <f>C8+1</f>
        <v>2</v>
      </c>
      <c r="D9" s="313" t="s">
        <v>142</v>
      </c>
      <c r="E9" s="257">
        <v>31</v>
      </c>
      <c r="F9" s="25" t="str">
        <f>IFERROR(IF(VLOOKUP($D9,'Nov 25'!$D$8:$AI$43,31,0)=0,"",VLOOKUP($D9,'Nov 25'!$D$8:$AI$43,31,0)),"")</f>
        <v/>
      </c>
      <c r="G9" s="26" t="str">
        <f>IFERROR(IF(VLOOKUP($D9,'Nov 25'!$D$8:$AI$43,32,0)=0,"",VLOOKUP($D9,'Nov 25'!$D$8:$AI$43,32,0)),"")</f>
        <v/>
      </c>
      <c r="H9" s="24"/>
      <c r="I9" s="18"/>
      <c r="J9" s="18"/>
      <c r="K9" s="18"/>
      <c r="L9" s="16"/>
      <c r="M9" s="17" t="s">
        <v>20</v>
      </c>
      <c r="N9" s="15" t="s">
        <v>32</v>
      </c>
      <c r="O9" s="18"/>
      <c r="P9" s="18"/>
      <c r="Q9" s="18"/>
      <c r="R9" s="18"/>
      <c r="S9" s="17" t="s">
        <v>30</v>
      </c>
      <c r="T9" s="17"/>
      <c r="U9" s="15"/>
      <c r="V9" s="18"/>
      <c r="W9" s="18" t="s">
        <v>34</v>
      </c>
      <c r="X9" s="18"/>
      <c r="Y9" s="18"/>
      <c r="Z9" s="17"/>
      <c r="AA9" s="17" t="s">
        <v>29</v>
      </c>
      <c r="AB9" s="18"/>
      <c r="AC9" s="18"/>
      <c r="AD9" s="18"/>
      <c r="AE9" s="16"/>
      <c r="AF9" s="18"/>
      <c r="AG9" s="17" t="s">
        <v>19</v>
      </c>
      <c r="AH9" s="292"/>
      <c r="AI9" s="307"/>
      <c r="AJ9" s="307"/>
      <c r="AK9" s="307"/>
      <c r="AL9" s="292"/>
      <c r="AM9" s="307"/>
      <c r="AN9" s="292" t="s">
        <v>77</v>
      </c>
      <c r="AO9" s="292"/>
      <c r="AP9" s="307"/>
      <c r="AQ9" s="26"/>
      <c r="AS9" s="27">
        <f>IFERROR(VLOOKUP($D9,'Nov 25'!$D$8:$BD$51,49,0),0)</f>
        <v>13</v>
      </c>
      <c r="AT9" s="21">
        <f>IFERROR(VLOOKUP($D9,'Nov 25'!$D$8:$BD$51,50,0),0)</f>
        <v>20</v>
      </c>
      <c r="AU9" s="21">
        <f>IFERROR(VLOOKUP($D9,'Nov 25'!$D$8:$BD$51,51,0),0)</f>
        <v>17</v>
      </c>
      <c r="AV9" s="28">
        <f>IFERROR(VLOOKUP($D9,'Nov 25'!$D$8:$BD$51,52,0),0)</f>
        <v>1</v>
      </c>
      <c r="AW9" s="37">
        <f t="shared" si="12"/>
        <v>2</v>
      </c>
      <c r="AX9" s="23">
        <f t="shared" si="13"/>
        <v>0</v>
      </c>
      <c r="AY9" s="23">
        <f t="shared" si="14"/>
        <v>1</v>
      </c>
      <c r="AZ9" s="23">
        <f t="shared" si="15"/>
        <v>1</v>
      </c>
      <c r="BA9" s="23">
        <f t="shared" si="16"/>
        <v>1</v>
      </c>
      <c r="BB9" s="278">
        <f t="shared" si="17"/>
        <v>1</v>
      </c>
      <c r="BC9" s="25">
        <f t="shared" ref="BC9:BC43" si="20">SUM(AW9:AZ9)+BA9*0.5</f>
        <v>4.5</v>
      </c>
      <c r="BD9" s="18">
        <f t="shared" ref="BD9:BD43" si="21">AW9*1+AX9*1.5+AY9*2.5+AZ9*2+BA9*0.5</f>
        <v>7</v>
      </c>
      <c r="BE9" s="22">
        <f t="shared" si="18"/>
        <v>7</v>
      </c>
      <c r="BF9" s="18">
        <f t="shared" si="19"/>
        <v>1</v>
      </c>
      <c r="BG9" s="32">
        <f t="shared" ref="BG9:BG43" si="22">BD9/BC9</f>
        <v>1.5555555555555556</v>
      </c>
      <c r="BH9" s="24">
        <f t="shared" ref="BH9:BK43" si="23">BC9+AS9</f>
        <v>17.5</v>
      </c>
      <c r="BI9" s="18">
        <f t="shared" si="23"/>
        <v>27</v>
      </c>
      <c r="BJ9" s="18">
        <f t="shared" si="23"/>
        <v>24</v>
      </c>
      <c r="BK9" s="18">
        <f t="shared" si="23"/>
        <v>2</v>
      </c>
      <c r="BL9" s="32">
        <f t="shared" ref="BL9:BL43" si="24">BI9/BH9</f>
        <v>1.5428571428571429</v>
      </c>
    </row>
    <row r="10" spans="2:76" x14ac:dyDescent="0.2">
      <c r="B10" s="1">
        <f t="shared" si="11"/>
        <v>6</v>
      </c>
      <c r="C10" s="71">
        <f t="shared" si="11"/>
        <v>3</v>
      </c>
      <c r="D10" s="313" t="s">
        <v>203</v>
      </c>
      <c r="E10" s="257">
        <v>31</v>
      </c>
      <c r="F10" s="25" t="str">
        <f>IFERROR(IF(VLOOKUP($D10,'Nov 25'!$D$8:$AI$43,31,0)=0,"",VLOOKUP($D10,'Nov 25'!$D$8:$AI$43,31,0)),"")</f>
        <v>HO5</v>
      </c>
      <c r="G10" s="26" t="str">
        <f>IFERROR(IF(VLOOKUP($D10,'Nov 25'!$D$8:$AI$43,32,0)=0,"",VLOOKUP($D10,'Nov 25'!$D$8:$AI$43,32,0)),"")</f>
        <v/>
      </c>
      <c r="H10" s="24"/>
      <c r="I10" s="18" t="s">
        <v>30</v>
      </c>
      <c r="J10" s="18"/>
      <c r="K10" s="18"/>
      <c r="L10" s="17" t="s">
        <v>31</v>
      </c>
      <c r="M10" s="17"/>
      <c r="N10" s="15"/>
      <c r="O10" s="18"/>
      <c r="P10" s="18"/>
      <c r="Q10" s="18"/>
      <c r="R10" s="18"/>
      <c r="S10" s="17"/>
      <c r="T10" s="17" t="s">
        <v>31</v>
      </c>
      <c r="U10" s="18"/>
      <c r="V10" s="18"/>
      <c r="W10" s="18"/>
      <c r="X10" s="18"/>
      <c r="Y10" s="18" t="s">
        <v>77</v>
      </c>
      <c r="Z10" s="17"/>
      <c r="AA10" s="17"/>
      <c r="AB10" s="18" t="s">
        <v>31</v>
      </c>
      <c r="AC10" s="18"/>
      <c r="AD10" s="18"/>
      <c r="AE10" s="15" t="s">
        <v>20</v>
      </c>
      <c r="AF10" s="18"/>
      <c r="AG10" s="16"/>
      <c r="AH10" s="17"/>
      <c r="AJ10" s="307"/>
      <c r="AK10" s="294"/>
      <c r="AL10" s="292"/>
      <c r="AM10" s="307" t="s">
        <v>30</v>
      </c>
      <c r="AN10" s="292"/>
      <c r="AO10" s="292"/>
      <c r="AP10" s="307"/>
      <c r="AQ10" s="26" t="s">
        <v>30</v>
      </c>
      <c r="AS10" s="27">
        <f>IFERROR(VLOOKUP($D10,'Nov 25'!$D$8:$BD$51,49,0),0)</f>
        <v>4</v>
      </c>
      <c r="AT10" s="21">
        <f>IFERROR(VLOOKUP($D10,'Nov 25'!$D$8:$BD$51,50,0),0)</f>
        <v>6</v>
      </c>
      <c r="AU10" s="21">
        <f>IFERROR(VLOOKUP($D10,'Nov 25'!$D$8:$BD$51,51,0),0)</f>
        <v>13</v>
      </c>
      <c r="AV10" s="28">
        <f>IFERROR(VLOOKUP($D10,'Nov 25'!$D$8:$BD$51,52,0),0)</f>
        <v>2</v>
      </c>
      <c r="AW10" s="37">
        <f t="shared" si="12"/>
        <v>3</v>
      </c>
      <c r="AX10" s="23">
        <f t="shared" si="13"/>
        <v>1</v>
      </c>
      <c r="AY10" s="23">
        <f t="shared" si="14"/>
        <v>1</v>
      </c>
      <c r="AZ10" s="23">
        <f t="shared" si="15"/>
        <v>1</v>
      </c>
      <c r="BA10" s="23">
        <f t="shared" si="16"/>
        <v>0</v>
      </c>
      <c r="BB10" s="278">
        <f t="shared" si="17"/>
        <v>1</v>
      </c>
      <c r="BC10" s="25">
        <f t="shared" si="20"/>
        <v>6</v>
      </c>
      <c r="BD10" s="18">
        <f t="shared" si="21"/>
        <v>9</v>
      </c>
      <c r="BE10" s="22">
        <f t="shared" si="18"/>
        <v>9</v>
      </c>
      <c r="BF10" s="18">
        <f t="shared" si="19"/>
        <v>1</v>
      </c>
      <c r="BG10" s="32">
        <f t="shared" si="22"/>
        <v>1.5</v>
      </c>
      <c r="BH10" s="24">
        <f t="shared" si="23"/>
        <v>10</v>
      </c>
      <c r="BI10" s="18">
        <f t="shared" si="23"/>
        <v>15</v>
      </c>
      <c r="BJ10" s="18">
        <f t="shared" si="23"/>
        <v>22</v>
      </c>
      <c r="BK10" s="18">
        <f t="shared" si="23"/>
        <v>3</v>
      </c>
      <c r="BL10" s="32">
        <f t="shared" si="24"/>
        <v>1.5</v>
      </c>
    </row>
    <row r="11" spans="2:76" x14ac:dyDescent="0.2">
      <c r="B11" s="1">
        <f t="shared" si="11"/>
        <v>7</v>
      </c>
      <c r="C11" s="71">
        <f t="shared" si="11"/>
        <v>4</v>
      </c>
      <c r="D11" s="313" t="s">
        <v>150</v>
      </c>
      <c r="E11" s="257">
        <v>55</v>
      </c>
      <c r="F11" s="25" t="str">
        <f>IFERROR(IF(VLOOKUP($D11,'Nov 25'!$D$8:$AI$43,31,0)=0,"",VLOOKUP($D11,'Nov 25'!$D$8:$AI$43,31,0)),"")</f>
        <v>WR3</v>
      </c>
      <c r="G11" s="26" t="str">
        <f>IFERROR(IF(VLOOKUP($D11,'Nov 25'!$D$8:$AI$43,32,0)=0,"",VLOOKUP($D11,'Nov 25'!$D$8:$AI$43,32,0)),"")</f>
        <v/>
      </c>
      <c r="H11" s="24"/>
      <c r="I11" s="18"/>
      <c r="J11" s="15" t="s">
        <v>30</v>
      </c>
      <c r="K11" s="18"/>
      <c r="L11" s="16"/>
      <c r="M11" s="17" t="s">
        <v>77</v>
      </c>
      <c r="N11" s="18"/>
      <c r="O11" s="18" t="s">
        <v>83</v>
      </c>
      <c r="P11" s="18" t="s">
        <v>83</v>
      </c>
      <c r="Q11" s="18" t="s">
        <v>83</v>
      </c>
      <c r="R11" s="18" t="s">
        <v>83</v>
      </c>
      <c r="S11" s="17" t="s">
        <v>207</v>
      </c>
      <c r="T11" s="17" t="s">
        <v>207</v>
      </c>
      <c r="U11" s="18" t="s">
        <v>83</v>
      </c>
      <c r="V11" s="18" t="s">
        <v>83</v>
      </c>
      <c r="W11" s="18" t="s">
        <v>30</v>
      </c>
      <c r="X11" s="18"/>
      <c r="Y11" s="18"/>
      <c r="Z11" s="16"/>
      <c r="AA11" s="17" t="s">
        <v>20</v>
      </c>
      <c r="AB11" s="18"/>
      <c r="AC11" s="15"/>
      <c r="AD11" s="18" t="s">
        <v>34</v>
      </c>
      <c r="AE11" s="17"/>
      <c r="AF11" s="18"/>
      <c r="AG11" s="17" t="s">
        <v>20</v>
      </c>
      <c r="AH11" s="292"/>
      <c r="AI11" s="307" t="s">
        <v>30</v>
      </c>
      <c r="AJ11" s="307"/>
      <c r="AK11" s="307"/>
      <c r="AL11" s="292"/>
      <c r="AM11" s="307"/>
      <c r="AN11" s="292" t="s">
        <v>34</v>
      </c>
      <c r="AO11" s="292"/>
      <c r="AP11" s="307"/>
      <c r="AQ11" s="26"/>
      <c r="AS11" s="27">
        <f>IFERROR(VLOOKUP($D11,'Nov 25'!$D$8:$BD$51,49,0),0)</f>
        <v>13.5</v>
      </c>
      <c r="AT11" s="21">
        <f>IFERROR(VLOOKUP($D11,'Nov 25'!$D$8:$BD$51,50,0),0)</f>
        <v>20</v>
      </c>
      <c r="AU11" s="21">
        <f>IFERROR(VLOOKUP($D11,'Nov 25'!$D$8:$BD$51,51,0),0)</f>
        <v>20</v>
      </c>
      <c r="AV11" s="28">
        <f>IFERROR(VLOOKUP($D11,'Nov 25'!$D$8:$BD$51,52,0),0)</f>
        <v>2</v>
      </c>
      <c r="AW11" s="37">
        <f t="shared" si="12"/>
        <v>3</v>
      </c>
      <c r="AX11" s="23">
        <f t="shared" si="13"/>
        <v>1</v>
      </c>
      <c r="AY11" s="23">
        <f t="shared" si="14"/>
        <v>1</v>
      </c>
      <c r="AZ11" s="23">
        <f t="shared" si="15"/>
        <v>0</v>
      </c>
      <c r="BA11" s="23">
        <f t="shared" si="16"/>
        <v>0</v>
      </c>
      <c r="BB11" s="278">
        <f t="shared" si="17"/>
        <v>1</v>
      </c>
      <c r="BC11" s="25">
        <f t="shared" si="20"/>
        <v>5</v>
      </c>
      <c r="BD11" s="18">
        <f t="shared" si="21"/>
        <v>7</v>
      </c>
      <c r="BE11" s="22">
        <f t="shared" si="18"/>
        <v>6</v>
      </c>
      <c r="BF11" s="18">
        <f t="shared" si="19"/>
        <v>2</v>
      </c>
      <c r="BG11" s="32">
        <f t="shared" si="22"/>
        <v>1.4</v>
      </c>
      <c r="BH11" s="24">
        <f t="shared" si="23"/>
        <v>18.5</v>
      </c>
      <c r="BI11" s="18">
        <f t="shared" si="23"/>
        <v>27</v>
      </c>
      <c r="BJ11" s="18">
        <f t="shared" si="23"/>
        <v>26</v>
      </c>
      <c r="BK11" s="18">
        <f t="shared" si="23"/>
        <v>4</v>
      </c>
      <c r="BL11" s="32">
        <f t="shared" si="24"/>
        <v>1.4594594594594594</v>
      </c>
    </row>
    <row r="12" spans="2:76" x14ac:dyDescent="0.2">
      <c r="B12" s="1">
        <f t="shared" si="11"/>
        <v>8</v>
      </c>
      <c r="C12" s="71">
        <f t="shared" si="11"/>
        <v>5</v>
      </c>
      <c r="D12" s="313" t="s">
        <v>198</v>
      </c>
      <c r="E12" s="257">
        <v>55</v>
      </c>
      <c r="F12" s="25" t="str">
        <f>IFERROR(IF(VLOOKUP($D12,'Nov 25'!$D$8:$AI$43,31,0)=0,"",VLOOKUP($D12,'Nov 25'!$D$8:$AI$43,31,0)),"")</f>
        <v/>
      </c>
      <c r="G12" s="26" t="str">
        <f>IFERROR(IF(VLOOKUP($D12,'Nov 25'!$D$8:$AI$43,32,0)=0,"",VLOOKUP($D12,'Nov 25'!$D$8:$AI$43,32,0)),"")</f>
        <v>HO1</v>
      </c>
      <c r="H12" s="24"/>
      <c r="I12" s="18"/>
      <c r="J12" s="18"/>
      <c r="K12" s="18"/>
      <c r="L12" s="17" t="s">
        <v>21</v>
      </c>
      <c r="M12" s="17"/>
      <c r="N12" s="18"/>
      <c r="O12" s="18"/>
      <c r="P12" s="18"/>
      <c r="Q12" s="18"/>
      <c r="R12" s="18" t="s">
        <v>30</v>
      </c>
      <c r="S12" s="17"/>
      <c r="T12" s="17"/>
      <c r="U12" s="18" t="s">
        <v>77</v>
      </c>
      <c r="V12" s="18"/>
      <c r="W12" s="18"/>
      <c r="X12" s="18"/>
      <c r="Y12" s="18"/>
      <c r="Z12" s="17" t="s">
        <v>20</v>
      </c>
      <c r="AA12" s="17"/>
      <c r="AB12" s="15" t="s">
        <v>30</v>
      </c>
      <c r="AC12" s="18"/>
      <c r="AD12" s="18"/>
      <c r="AE12" s="16"/>
      <c r="AF12" s="16"/>
      <c r="AG12" s="17"/>
      <c r="AH12" s="292" t="s">
        <v>31</v>
      </c>
      <c r="AI12" s="295"/>
      <c r="AJ12" s="307"/>
      <c r="AK12" s="307"/>
      <c r="AL12" s="292" t="s">
        <v>30</v>
      </c>
      <c r="AM12" s="307"/>
      <c r="AN12" s="292"/>
      <c r="AO12" s="292"/>
      <c r="AP12" s="307" t="s">
        <v>83</v>
      </c>
      <c r="AQ12" s="26" t="s">
        <v>83</v>
      </c>
      <c r="AS12" s="27">
        <f>IFERROR(VLOOKUP($D12,'Nov 25'!$D$8:$BD$51,49,0),0)</f>
        <v>5</v>
      </c>
      <c r="AT12" s="21">
        <f>IFERROR(VLOOKUP($D12,'Nov 25'!$D$8:$BD$51,50,0),0)</f>
        <v>7</v>
      </c>
      <c r="AU12" s="21">
        <f>IFERROR(VLOOKUP($D12,'Nov 25'!$D$8:$BD$51,51,0),0)</f>
        <v>15</v>
      </c>
      <c r="AV12" s="28">
        <f>IFERROR(VLOOKUP($D12,'Nov 25'!$D$8:$BD$51,52,0),0)</f>
        <v>1</v>
      </c>
      <c r="AW12" s="37">
        <f t="shared" si="12"/>
        <v>1</v>
      </c>
      <c r="AX12" s="23">
        <f t="shared" si="13"/>
        <v>1</v>
      </c>
      <c r="AY12" s="23">
        <f t="shared" si="14"/>
        <v>1</v>
      </c>
      <c r="AZ12" s="23">
        <f t="shared" si="15"/>
        <v>1</v>
      </c>
      <c r="BA12" s="23">
        <f t="shared" si="16"/>
        <v>0</v>
      </c>
      <c r="BB12" s="278">
        <f t="shared" si="17"/>
        <v>1</v>
      </c>
      <c r="BC12" s="25">
        <f t="shared" si="20"/>
        <v>4</v>
      </c>
      <c r="BD12" s="18">
        <f t="shared" si="21"/>
        <v>7</v>
      </c>
      <c r="BE12" s="22">
        <f t="shared" si="18"/>
        <v>8</v>
      </c>
      <c r="BF12" s="18">
        <f t="shared" si="19"/>
        <v>2</v>
      </c>
      <c r="BG12" s="32">
        <f t="shared" si="22"/>
        <v>1.75</v>
      </c>
      <c r="BH12" s="24">
        <f t="shared" si="23"/>
        <v>9</v>
      </c>
      <c r="BI12" s="18">
        <f t="shared" si="23"/>
        <v>14</v>
      </c>
      <c r="BJ12" s="18">
        <f t="shared" si="23"/>
        <v>23</v>
      </c>
      <c r="BK12" s="18">
        <f t="shared" si="23"/>
        <v>3</v>
      </c>
      <c r="BL12" s="32">
        <f t="shared" si="24"/>
        <v>1.5555555555555556</v>
      </c>
    </row>
    <row r="13" spans="2:76" x14ac:dyDescent="0.2">
      <c r="B13" s="1">
        <f t="shared" si="11"/>
        <v>9</v>
      </c>
      <c r="C13" s="71">
        <f t="shared" si="11"/>
        <v>6</v>
      </c>
      <c r="D13" s="313" t="s">
        <v>156</v>
      </c>
      <c r="E13" s="257">
        <v>51</v>
      </c>
      <c r="F13" s="25" t="str">
        <f>IFERROR(IF(VLOOKUP($D13,'Nov 25'!$D$8:$AI$43,31,0)=0,"",VLOOKUP($D13,'Nov 25'!$D$8:$AI$43,31,0)),"")</f>
        <v/>
      </c>
      <c r="G13" s="26" t="str">
        <f>IFERROR(IF(VLOOKUP($D13,'Nov 25'!$D$8:$AI$43,32,0)=0,"",VLOOKUP($D13,'Nov 25'!$D$8:$AI$43,32,0)),"")</f>
        <v/>
      </c>
      <c r="H13" s="24" t="s">
        <v>32</v>
      </c>
      <c r="I13" s="18"/>
      <c r="J13" s="18"/>
      <c r="K13" s="18"/>
      <c r="L13" s="15" t="s">
        <v>30</v>
      </c>
      <c r="M13" s="17"/>
      <c r="N13" s="18"/>
      <c r="O13" s="18" t="s">
        <v>30</v>
      </c>
      <c r="P13" s="18"/>
      <c r="Q13" s="18"/>
      <c r="R13" s="18"/>
      <c r="S13" s="17" t="s">
        <v>77</v>
      </c>
      <c r="T13" s="17"/>
      <c r="U13" s="18"/>
      <c r="V13" s="18"/>
      <c r="W13" s="18"/>
      <c r="X13" s="15" t="s">
        <v>30</v>
      </c>
      <c r="Y13" s="18"/>
      <c r="Z13" s="17" t="s">
        <v>207</v>
      </c>
      <c r="AA13" s="17" t="s">
        <v>207</v>
      </c>
      <c r="AB13" s="18" t="s">
        <v>83</v>
      </c>
      <c r="AC13" s="18" t="s">
        <v>83</v>
      </c>
      <c r="AD13" s="18" t="s">
        <v>83</v>
      </c>
      <c r="AE13" s="17"/>
      <c r="AF13" s="18" t="s">
        <v>83</v>
      </c>
      <c r="AG13" s="16"/>
      <c r="AH13" s="294"/>
      <c r="AI13" s="307"/>
      <c r="AJ13" s="307" t="s">
        <v>31</v>
      </c>
      <c r="AK13" s="307"/>
      <c r="AL13" s="292"/>
      <c r="AM13" s="307"/>
      <c r="AN13" s="292"/>
      <c r="AO13" s="292" t="s">
        <v>30</v>
      </c>
      <c r="AP13" s="307"/>
      <c r="AQ13" s="26"/>
      <c r="AS13" s="27">
        <f>IFERROR(VLOOKUP($D13,'Nov 25'!$D$8:$BD$51,49,0),0)</f>
        <v>13</v>
      </c>
      <c r="AT13" s="21">
        <f>IFERROR(VLOOKUP($D13,'Nov 25'!$D$8:$BD$51,50,0),0)</f>
        <v>19</v>
      </c>
      <c r="AU13" s="21">
        <f>IFERROR(VLOOKUP($D13,'Nov 25'!$D$8:$BD$51,51,0),0)</f>
        <v>19</v>
      </c>
      <c r="AV13" s="28">
        <f>IFERROR(VLOOKUP($D13,'Nov 25'!$D$8:$BD$51,52,0),0)</f>
        <v>3</v>
      </c>
      <c r="AW13" s="37">
        <f t="shared" si="12"/>
        <v>4</v>
      </c>
      <c r="AX13" s="23">
        <f t="shared" si="13"/>
        <v>0</v>
      </c>
      <c r="AY13" s="23">
        <f t="shared" si="14"/>
        <v>1</v>
      </c>
      <c r="AZ13" s="23">
        <f t="shared" si="15"/>
        <v>1</v>
      </c>
      <c r="BA13" s="23">
        <f t="shared" si="16"/>
        <v>0</v>
      </c>
      <c r="BB13" s="278">
        <f t="shared" si="17"/>
        <v>1</v>
      </c>
      <c r="BC13" s="25">
        <f t="shared" si="20"/>
        <v>6</v>
      </c>
      <c r="BD13" s="18">
        <f t="shared" si="21"/>
        <v>8.5</v>
      </c>
      <c r="BE13" s="22">
        <f t="shared" si="18"/>
        <v>7</v>
      </c>
      <c r="BF13" s="18">
        <f t="shared" si="19"/>
        <v>0</v>
      </c>
      <c r="BG13" s="32">
        <f t="shared" si="22"/>
        <v>1.4166666666666667</v>
      </c>
      <c r="BH13" s="24">
        <f t="shared" si="23"/>
        <v>19</v>
      </c>
      <c r="BI13" s="18">
        <f t="shared" si="23"/>
        <v>27.5</v>
      </c>
      <c r="BJ13" s="18">
        <f t="shared" si="23"/>
        <v>26</v>
      </c>
      <c r="BK13" s="18">
        <f t="shared" si="23"/>
        <v>3</v>
      </c>
      <c r="BL13" s="32">
        <f t="shared" si="24"/>
        <v>1.4473684210526316</v>
      </c>
    </row>
    <row r="14" spans="2:76" x14ac:dyDescent="0.2">
      <c r="B14" s="1">
        <f t="shared" si="11"/>
        <v>10</v>
      </c>
      <c r="C14" s="71">
        <f t="shared" si="11"/>
        <v>7</v>
      </c>
      <c r="D14" s="315" t="s">
        <v>138</v>
      </c>
      <c r="E14" s="258">
        <v>46</v>
      </c>
      <c r="F14" s="25" t="str">
        <f>IFERROR(IF(VLOOKUP($D14,'Nov 25'!$D$8:$AI$43,31,0)=0,"",VLOOKUP($D14,'Nov 25'!$D$8:$AI$43,31,0)),"")</f>
        <v>AB</v>
      </c>
      <c r="G14" s="26" t="str">
        <f>IFERROR(IF(VLOOKUP($D14,'Nov 25'!$D$8:$AI$43,32,0)=0,"",VLOOKUP($D14,'Nov 25'!$D$8:$AI$43,32,0)),"")</f>
        <v>AL</v>
      </c>
      <c r="H14" s="24" t="s">
        <v>83</v>
      </c>
      <c r="I14" s="18"/>
      <c r="J14" s="18"/>
      <c r="K14" s="18" t="s">
        <v>34</v>
      </c>
      <c r="L14" s="17"/>
      <c r="M14" s="17"/>
      <c r="N14" s="18"/>
      <c r="O14" s="18"/>
      <c r="P14" s="15" t="s">
        <v>34</v>
      </c>
      <c r="Q14" s="18"/>
      <c r="R14" s="18" t="s">
        <v>83</v>
      </c>
      <c r="S14" s="16"/>
      <c r="T14" s="16"/>
      <c r="U14" s="18" t="s">
        <v>83</v>
      </c>
      <c r="V14" s="18" t="s">
        <v>77</v>
      </c>
      <c r="W14" s="18"/>
      <c r="X14" s="18"/>
      <c r="Y14" s="18"/>
      <c r="Z14" s="17" t="s">
        <v>30</v>
      </c>
      <c r="AA14" s="17"/>
      <c r="AB14" s="18"/>
      <c r="AC14" s="18" t="s">
        <v>31</v>
      </c>
      <c r="AD14" s="18"/>
      <c r="AE14" s="17"/>
      <c r="AF14" s="18" t="s">
        <v>30</v>
      </c>
      <c r="AG14" s="17"/>
      <c r="AH14" s="292"/>
      <c r="AI14" s="295" t="s">
        <v>34</v>
      </c>
      <c r="AJ14" s="307"/>
      <c r="AK14" s="307"/>
      <c r="AL14" s="292"/>
      <c r="AM14" s="307"/>
      <c r="AN14" s="292" t="s">
        <v>20</v>
      </c>
      <c r="AO14" s="292"/>
      <c r="AP14" s="307"/>
      <c r="AQ14" s="26"/>
      <c r="AS14" s="27">
        <f>IFERROR(VLOOKUP($D14,'Nov 25'!$D$8:$BD$51,49,0),0)</f>
        <v>13.5</v>
      </c>
      <c r="AT14" s="21">
        <f>IFERROR(VLOOKUP($D14,'Nov 25'!$D$8:$BD$51,50,0),0)</f>
        <v>19</v>
      </c>
      <c r="AU14" s="21">
        <f>IFERROR(VLOOKUP($D14,'Nov 25'!$D$8:$BD$51,51,0),0)</f>
        <v>16</v>
      </c>
      <c r="AV14" s="28">
        <f>IFERROR(VLOOKUP($D14,'Nov 25'!$D$8:$BD$51,52,0),0)</f>
        <v>2</v>
      </c>
      <c r="AW14" s="37">
        <f t="shared" si="12"/>
        <v>3</v>
      </c>
      <c r="AX14" s="23">
        <f t="shared" si="13"/>
        <v>2</v>
      </c>
      <c r="AY14" s="23">
        <f t="shared" si="14"/>
        <v>1</v>
      </c>
      <c r="AZ14" s="23">
        <f t="shared" si="15"/>
        <v>0</v>
      </c>
      <c r="BA14" s="23">
        <f t="shared" si="16"/>
        <v>0</v>
      </c>
      <c r="BB14" s="278">
        <f t="shared" si="17"/>
        <v>1</v>
      </c>
      <c r="BC14" s="25">
        <f t="shared" si="20"/>
        <v>6</v>
      </c>
      <c r="BD14" s="18">
        <f t="shared" si="21"/>
        <v>8.5</v>
      </c>
      <c r="BE14" s="22">
        <f t="shared" si="18"/>
        <v>10</v>
      </c>
      <c r="BF14" s="18">
        <f t="shared" si="19"/>
        <v>1</v>
      </c>
      <c r="BG14" s="32">
        <f t="shared" si="22"/>
        <v>1.4166666666666667</v>
      </c>
      <c r="BH14" s="24">
        <f t="shared" si="23"/>
        <v>19.5</v>
      </c>
      <c r="BI14" s="18">
        <f t="shared" si="23"/>
        <v>27.5</v>
      </c>
      <c r="BJ14" s="18">
        <f t="shared" si="23"/>
        <v>26</v>
      </c>
      <c r="BK14" s="18">
        <f t="shared" si="23"/>
        <v>3</v>
      </c>
      <c r="BL14" s="32">
        <f t="shared" si="24"/>
        <v>1.4102564102564104</v>
      </c>
    </row>
    <row r="15" spans="2:76" x14ac:dyDescent="0.2">
      <c r="B15" s="1">
        <f t="shared" si="11"/>
        <v>11</v>
      </c>
      <c r="C15" s="71">
        <f t="shared" si="11"/>
        <v>8</v>
      </c>
      <c r="D15" s="315" t="s">
        <v>136</v>
      </c>
      <c r="E15" s="258">
        <v>56</v>
      </c>
      <c r="F15" s="25" t="str">
        <f>IFERROR(IF(VLOOKUP($D15,'Nov 25'!$D$8:$AI$43,31,0)=0,"",VLOOKUP($D15,'Nov 25'!$D$8:$AI$43,31,0)),"")</f>
        <v>WR2</v>
      </c>
      <c r="G15" s="26" t="str">
        <f>IFERROR(IF(VLOOKUP($D15,'Nov 25'!$D$8:$AI$43,32,0)=0,"",VLOOKUP($D15,'Nov 25'!$D$8:$AI$43,32,0)),"")</f>
        <v/>
      </c>
      <c r="H15" s="24"/>
      <c r="I15" s="18"/>
      <c r="J15" s="18" t="s">
        <v>32</v>
      </c>
      <c r="K15" s="18"/>
      <c r="L15" s="17"/>
      <c r="M15" s="17"/>
      <c r="N15" s="18"/>
      <c r="O15" s="18"/>
      <c r="P15" s="18"/>
      <c r="Q15" s="18"/>
      <c r="R15" s="18"/>
      <c r="S15" s="17" t="s">
        <v>34</v>
      </c>
      <c r="T15" s="17"/>
      <c r="U15" s="18"/>
      <c r="V15" s="15" t="s">
        <v>34</v>
      </c>
      <c r="W15" s="18"/>
      <c r="X15" s="18"/>
      <c r="Y15" s="18" t="s">
        <v>31</v>
      </c>
      <c r="Z15" s="17"/>
      <c r="AA15" s="17"/>
      <c r="AB15" s="18"/>
      <c r="AC15" s="18"/>
      <c r="AD15" s="18"/>
      <c r="AE15" s="15" t="s">
        <v>34</v>
      </c>
      <c r="AF15" s="18"/>
      <c r="AG15" s="16"/>
      <c r="AH15" s="294"/>
      <c r="AI15" s="307" t="s">
        <v>83</v>
      </c>
      <c r="AJ15" s="307" t="s">
        <v>83</v>
      </c>
      <c r="AK15" s="307" t="s">
        <v>83</v>
      </c>
      <c r="AL15" s="292"/>
      <c r="AM15" s="307" t="s">
        <v>83</v>
      </c>
      <c r="AN15" s="292"/>
      <c r="AO15" s="292" t="s">
        <v>77</v>
      </c>
      <c r="AP15" s="307"/>
      <c r="AQ15" s="26"/>
      <c r="AS15" s="27">
        <f>IFERROR(VLOOKUP($D15,'Nov 25'!$D$8:$BD$51,49,0),0)</f>
        <v>13</v>
      </c>
      <c r="AT15" s="21">
        <f>IFERROR(VLOOKUP($D15,'Nov 25'!$D$8:$BD$51,50,0),0)</f>
        <v>19</v>
      </c>
      <c r="AU15" s="21">
        <f>IFERROR(VLOOKUP($D15,'Nov 25'!$D$8:$BD$51,51,0),0)</f>
        <v>18</v>
      </c>
      <c r="AV15" s="28">
        <f>IFERROR(VLOOKUP($D15,'Nov 25'!$D$8:$BD$51,52,0),0)</f>
        <v>3</v>
      </c>
      <c r="AW15" s="37">
        <f t="shared" si="12"/>
        <v>2</v>
      </c>
      <c r="AX15" s="23">
        <f t="shared" si="13"/>
        <v>1</v>
      </c>
      <c r="AY15" s="23">
        <f t="shared" si="14"/>
        <v>2</v>
      </c>
      <c r="AZ15" s="23">
        <f t="shared" si="15"/>
        <v>0</v>
      </c>
      <c r="BA15" s="23">
        <f t="shared" si="16"/>
        <v>0</v>
      </c>
      <c r="BB15" s="278">
        <f t="shared" si="17"/>
        <v>1</v>
      </c>
      <c r="BC15" s="25">
        <f t="shared" si="20"/>
        <v>5</v>
      </c>
      <c r="BD15" s="18">
        <f t="shared" si="21"/>
        <v>8.5</v>
      </c>
      <c r="BE15" s="22">
        <f t="shared" si="18"/>
        <v>9</v>
      </c>
      <c r="BF15" s="18">
        <f t="shared" si="19"/>
        <v>0</v>
      </c>
      <c r="BG15" s="32">
        <f t="shared" si="22"/>
        <v>1.7</v>
      </c>
      <c r="BH15" s="24">
        <f t="shared" si="23"/>
        <v>18</v>
      </c>
      <c r="BI15" s="18">
        <f t="shared" si="23"/>
        <v>27.5</v>
      </c>
      <c r="BJ15" s="18">
        <f t="shared" si="23"/>
        <v>27</v>
      </c>
      <c r="BK15" s="18">
        <f t="shared" si="23"/>
        <v>3</v>
      </c>
      <c r="BL15" s="32">
        <f t="shared" si="24"/>
        <v>1.5277777777777777</v>
      </c>
    </row>
    <row r="16" spans="2:76" x14ac:dyDescent="0.2">
      <c r="B16" s="1">
        <f t="shared" si="11"/>
        <v>12</v>
      </c>
      <c r="C16" s="71">
        <f t="shared" si="11"/>
        <v>9</v>
      </c>
      <c r="D16" s="315" t="s">
        <v>135</v>
      </c>
      <c r="E16" s="258">
        <v>56</v>
      </c>
      <c r="F16" s="25" t="str">
        <f>IFERROR(IF(VLOOKUP($D16,'Nov 25'!$D$8:$AI$43,31,0)=0,"",VLOOKUP($D16,'Nov 25'!$D$8:$AI$43,31,0)),"")</f>
        <v/>
      </c>
      <c r="G16" s="26" t="str">
        <f>IFERROR(IF(VLOOKUP($D16,'Nov 25'!$D$8:$AI$43,32,0)=0,"",VLOOKUP($D16,'Nov 25'!$D$8:$AI$43,32,0)),"")</f>
        <v>AL</v>
      </c>
      <c r="H16" s="24" t="s">
        <v>83</v>
      </c>
      <c r="I16" s="18" t="s">
        <v>83</v>
      </c>
      <c r="J16" s="18" t="s">
        <v>83</v>
      </c>
      <c r="K16" s="18" t="s">
        <v>83</v>
      </c>
      <c r="L16" s="17" t="s">
        <v>207</v>
      </c>
      <c r="M16" s="17" t="s">
        <v>207</v>
      </c>
      <c r="N16" s="18" t="s">
        <v>83</v>
      </c>
      <c r="O16" s="18" t="s">
        <v>83</v>
      </c>
      <c r="P16" s="16"/>
      <c r="Q16" s="18" t="s">
        <v>30</v>
      </c>
      <c r="R16" s="18"/>
      <c r="S16" s="17"/>
      <c r="T16" s="15" t="s">
        <v>34</v>
      </c>
      <c r="U16" s="18"/>
      <c r="V16" s="18"/>
      <c r="W16" s="18" t="s">
        <v>77</v>
      </c>
      <c r="X16" s="16"/>
      <c r="Y16" s="18"/>
      <c r="Z16" s="17"/>
      <c r="AA16" s="15" t="s">
        <v>34</v>
      </c>
      <c r="AB16" s="18"/>
      <c r="AC16" s="18"/>
      <c r="AD16" s="18"/>
      <c r="AE16" s="17" t="s">
        <v>77</v>
      </c>
      <c r="AF16" s="18"/>
      <c r="AG16" s="17"/>
      <c r="AH16" s="292" t="s">
        <v>34</v>
      </c>
      <c r="AI16" s="307"/>
      <c r="AJ16" s="307"/>
      <c r="AK16" s="307" t="s">
        <v>34</v>
      </c>
      <c r="AL16" s="292"/>
      <c r="AM16" s="307"/>
      <c r="AN16" s="292"/>
      <c r="AO16" s="292"/>
      <c r="AP16" s="307" t="s">
        <v>31</v>
      </c>
      <c r="AQ16" s="26"/>
      <c r="AS16" s="27">
        <f>IFERROR(VLOOKUP($D16,'Nov 25'!$D$8:$BD$51,49,0),0)</f>
        <v>13</v>
      </c>
      <c r="AT16" s="21">
        <f>IFERROR(VLOOKUP($D16,'Nov 25'!$D$8:$BD$51,50,0),0)</f>
        <v>18</v>
      </c>
      <c r="AU16" s="21">
        <f>IFERROR(VLOOKUP($D16,'Nov 25'!$D$8:$BD$51,51,0),0)</f>
        <v>20</v>
      </c>
      <c r="AV16" s="28">
        <f>IFERROR(VLOOKUP($D16,'Nov 25'!$D$8:$BD$51,52,0),0)</f>
        <v>3</v>
      </c>
      <c r="AW16" s="37">
        <f t="shared" si="12"/>
        <v>2</v>
      </c>
      <c r="AX16" s="23">
        <f t="shared" si="13"/>
        <v>1</v>
      </c>
      <c r="AY16" s="23">
        <f t="shared" si="14"/>
        <v>0</v>
      </c>
      <c r="AZ16" s="23">
        <f t="shared" si="15"/>
        <v>3</v>
      </c>
      <c r="BA16" s="23">
        <f t="shared" si="16"/>
        <v>0</v>
      </c>
      <c r="BB16" s="278">
        <f t="shared" si="17"/>
        <v>2</v>
      </c>
      <c r="BC16" s="25">
        <f t="shared" si="20"/>
        <v>6</v>
      </c>
      <c r="BD16" s="18">
        <f t="shared" si="21"/>
        <v>9.5</v>
      </c>
      <c r="BE16" s="22">
        <f t="shared" si="18"/>
        <v>6</v>
      </c>
      <c r="BF16" s="18">
        <f t="shared" si="19"/>
        <v>0</v>
      </c>
      <c r="BG16" s="32">
        <f t="shared" si="22"/>
        <v>1.5833333333333333</v>
      </c>
      <c r="BH16" s="24">
        <f t="shared" si="23"/>
        <v>19</v>
      </c>
      <c r="BI16" s="18">
        <f t="shared" si="23"/>
        <v>27.5</v>
      </c>
      <c r="BJ16" s="18">
        <f t="shared" si="23"/>
        <v>26</v>
      </c>
      <c r="BK16" s="18">
        <f t="shared" si="23"/>
        <v>3</v>
      </c>
      <c r="BL16" s="32">
        <f t="shared" si="24"/>
        <v>1.4473684210526316</v>
      </c>
    </row>
    <row r="17" spans="2:64" x14ac:dyDescent="0.2">
      <c r="B17" s="1">
        <f t="shared" si="11"/>
        <v>13</v>
      </c>
      <c r="C17" s="71">
        <f t="shared" si="11"/>
        <v>10</v>
      </c>
      <c r="D17" s="315" t="s">
        <v>204</v>
      </c>
      <c r="E17" s="258">
        <v>56</v>
      </c>
      <c r="F17" s="25" t="str">
        <f>IFERROR(IF(VLOOKUP($D17,'Nov 25'!$D$8:$AI$43,31,0)=0,"",VLOOKUP($D17,'Nov 25'!$D$8:$AI$43,31,0)),"")</f>
        <v/>
      </c>
      <c r="G17" s="26" t="str">
        <f>IFERROR(IF(VLOOKUP($D17,'Nov 25'!$D$8:$AI$43,32,0)=0,"",VLOOKUP($D17,'Nov 25'!$D$8:$AI$43,32,0)),"")</f>
        <v>HO4</v>
      </c>
      <c r="H17" s="24"/>
      <c r="I17" s="18"/>
      <c r="J17" s="18"/>
      <c r="K17" s="18"/>
      <c r="L17" s="17" t="s">
        <v>34</v>
      </c>
      <c r="M17" s="16"/>
      <c r="N17" s="18"/>
      <c r="O17" s="18"/>
      <c r="P17" s="18"/>
      <c r="Q17" s="18"/>
      <c r="R17" s="18" t="s">
        <v>77</v>
      </c>
      <c r="S17" s="17"/>
      <c r="T17" s="16"/>
      <c r="U17" s="18"/>
      <c r="V17" s="18"/>
      <c r="W17" s="18"/>
      <c r="X17" s="18"/>
      <c r="Y17" s="18"/>
      <c r="Z17" s="17" t="s">
        <v>81</v>
      </c>
      <c r="AA17" s="17"/>
      <c r="AB17" s="18"/>
      <c r="AC17" s="15" t="s">
        <v>34</v>
      </c>
      <c r="AD17" s="18"/>
      <c r="AE17" s="17"/>
      <c r="AF17" s="18" t="s">
        <v>34</v>
      </c>
      <c r="AG17" s="17"/>
      <c r="AH17" s="292"/>
      <c r="AI17" s="307"/>
      <c r="AJ17" s="295" t="s">
        <v>34</v>
      </c>
      <c r="AK17" s="307"/>
      <c r="AL17" s="292"/>
      <c r="AM17" s="307" t="s">
        <v>83</v>
      </c>
      <c r="AN17" s="292"/>
      <c r="AO17" s="292" t="s">
        <v>34</v>
      </c>
      <c r="AP17" s="307" t="s">
        <v>83</v>
      </c>
      <c r="AQ17" s="26"/>
      <c r="AS17" s="27">
        <f>IFERROR(VLOOKUP($D17,'Nov 25'!$D$8:$BD$51,49,0),0)</f>
        <v>4.5</v>
      </c>
      <c r="AT17" s="21">
        <f>IFERROR(VLOOKUP($D17,'Nov 25'!$D$8:$BD$51,50,0),0)</f>
        <v>6</v>
      </c>
      <c r="AU17" s="21">
        <f>IFERROR(VLOOKUP($D17,'Nov 25'!$D$8:$BD$51,51,0),0)</f>
        <v>13</v>
      </c>
      <c r="AV17" s="28">
        <f>IFERROR(VLOOKUP($D17,'Nov 25'!$D$8:$BD$51,52,0),0)</f>
        <v>2</v>
      </c>
      <c r="AW17" s="37">
        <f t="shared" si="12"/>
        <v>2</v>
      </c>
      <c r="AX17" s="23">
        <f t="shared" si="13"/>
        <v>1</v>
      </c>
      <c r="AY17" s="23">
        <f t="shared" si="14"/>
        <v>1</v>
      </c>
      <c r="AZ17" s="23">
        <f t="shared" si="15"/>
        <v>1</v>
      </c>
      <c r="BA17" s="23">
        <f t="shared" si="16"/>
        <v>0</v>
      </c>
      <c r="BB17" s="278">
        <f t="shared" si="17"/>
        <v>1</v>
      </c>
      <c r="BC17" s="25">
        <f t="shared" si="20"/>
        <v>5</v>
      </c>
      <c r="BD17" s="18">
        <f t="shared" si="21"/>
        <v>8</v>
      </c>
      <c r="BE17" s="22">
        <f t="shared" si="18"/>
        <v>9</v>
      </c>
      <c r="BF17" s="18">
        <f t="shared" si="19"/>
        <v>1</v>
      </c>
      <c r="BG17" s="32">
        <f t="shared" si="22"/>
        <v>1.6</v>
      </c>
      <c r="BH17" s="24">
        <f t="shared" si="23"/>
        <v>9.5</v>
      </c>
      <c r="BI17" s="18">
        <f t="shared" si="23"/>
        <v>14</v>
      </c>
      <c r="BJ17" s="18">
        <f t="shared" si="23"/>
        <v>22</v>
      </c>
      <c r="BK17" s="18">
        <f t="shared" si="23"/>
        <v>3</v>
      </c>
      <c r="BL17" s="32">
        <f t="shared" si="24"/>
        <v>1.4736842105263157</v>
      </c>
    </row>
    <row r="18" spans="2:64" x14ac:dyDescent="0.2">
      <c r="B18" s="1">
        <f t="shared" si="11"/>
        <v>14</v>
      </c>
      <c r="C18" s="71">
        <f t="shared" si="11"/>
        <v>11</v>
      </c>
      <c r="D18" s="315" t="s">
        <v>206</v>
      </c>
      <c r="E18" s="258">
        <v>85</v>
      </c>
      <c r="F18" s="25" t="str">
        <f>IFERROR(IF(VLOOKUP($D18,'Nov 25'!$D$8:$AI$43,31,0)=0,"",VLOOKUP($D18,'Nov 25'!$D$8:$AI$43,31,0)),"")</f>
        <v>HO1</v>
      </c>
      <c r="G18" s="26" t="str">
        <f>IFERROR(IF(VLOOKUP($D18,'Nov 25'!$D$8:$AI$43,32,0)=0,"",VLOOKUP($D18,'Nov 25'!$D$8:$AI$43,32,0)),"")</f>
        <v/>
      </c>
      <c r="H18" s="24"/>
      <c r="I18" s="15" t="s">
        <v>34</v>
      </c>
      <c r="J18" s="16" t="s">
        <v>83</v>
      </c>
      <c r="K18" s="18" t="s">
        <v>83</v>
      </c>
      <c r="L18" s="17"/>
      <c r="M18" s="17"/>
      <c r="N18" s="18" t="s">
        <v>83</v>
      </c>
      <c r="O18" s="18" t="s">
        <v>34</v>
      </c>
      <c r="P18" s="18"/>
      <c r="Q18" s="18"/>
      <c r="R18" s="18" t="s">
        <v>34</v>
      </c>
      <c r="S18" s="17"/>
      <c r="T18" s="17"/>
      <c r="U18" s="18"/>
      <c r="V18" s="18"/>
      <c r="W18" s="18"/>
      <c r="X18" s="18"/>
      <c r="Y18" s="16"/>
      <c r="Z18" s="17" t="s">
        <v>34</v>
      </c>
      <c r="AA18" s="17"/>
      <c r="AB18" s="18"/>
      <c r="AC18" s="18"/>
      <c r="AD18" s="18"/>
      <c r="AE18" s="15" t="s">
        <v>21</v>
      </c>
      <c r="AF18" s="18"/>
      <c r="AG18" s="17" t="s">
        <v>77</v>
      </c>
      <c r="AH18" s="292"/>
      <c r="AI18" s="307"/>
      <c r="AJ18" s="307"/>
      <c r="AK18" s="307"/>
      <c r="AL18" s="292"/>
      <c r="AM18" s="307"/>
      <c r="AN18" s="292"/>
      <c r="AO18" s="292" t="s">
        <v>19</v>
      </c>
      <c r="AP18" s="307"/>
      <c r="AQ18" s="26"/>
      <c r="AS18" s="27">
        <f>IFERROR(VLOOKUP($D18,'Nov 25'!$D$8:$BD$51,49,0),0)</f>
        <v>5</v>
      </c>
      <c r="AT18" s="21">
        <f>IFERROR(VLOOKUP($D18,'Nov 25'!$D$8:$BD$51,50,0),0)</f>
        <v>7.5</v>
      </c>
      <c r="AU18" s="21">
        <f>IFERROR(VLOOKUP($D18,'Nov 25'!$D$8:$BD$51,51,0),0)</f>
        <v>12</v>
      </c>
      <c r="AV18" s="28">
        <f>IFERROR(VLOOKUP($D18,'Nov 25'!$D$8:$BD$51,52,0),0)</f>
        <v>2</v>
      </c>
      <c r="AW18" s="37">
        <f t="shared" si="12"/>
        <v>2</v>
      </c>
      <c r="AX18" s="23">
        <f t="shared" si="13"/>
        <v>1</v>
      </c>
      <c r="AY18" s="23">
        <f t="shared" si="14"/>
        <v>1</v>
      </c>
      <c r="AZ18" s="23">
        <f t="shared" si="15"/>
        <v>0</v>
      </c>
      <c r="BA18" s="23">
        <f t="shared" si="16"/>
        <v>1</v>
      </c>
      <c r="BB18" s="278">
        <f t="shared" si="17"/>
        <v>1</v>
      </c>
      <c r="BC18" s="25">
        <f t="shared" si="20"/>
        <v>4.5</v>
      </c>
      <c r="BD18" s="18">
        <f t="shared" si="21"/>
        <v>6.5</v>
      </c>
      <c r="BE18" s="22">
        <f t="shared" si="18"/>
        <v>8</v>
      </c>
      <c r="BF18" s="18">
        <f t="shared" si="19"/>
        <v>1</v>
      </c>
      <c r="BG18" s="32">
        <f t="shared" si="22"/>
        <v>1.4444444444444444</v>
      </c>
      <c r="BH18" s="24">
        <f t="shared" si="23"/>
        <v>9.5</v>
      </c>
      <c r="BI18" s="18">
        <f t="shared" si="23"/>
        <v>14</v>
      </c>
      <c r="BJ18" s="18">
        <f t="shared" si="23"/>
        <v>20</v>
      </c>
      <c r="BK18" s="18">
        <f t="shared" si="23"/>
        <v>3</v>
      </c>
      <c r="BL18" s="32">
        <f t="shared" si="24"/>
        <v>1.4736842105263157</v>
      </c>
    </row>
    <row r="19" spans="2:64" x14ac:dyDescent="0.2">
      <c r="B19" s="1">
        <f t="shared" si="11"/>
        <v>15</v>
      </c>
      <c r="C19" s="71">
        <f t="shared" si="11"/>
        <v>12</v>
      </c>
      <c r="D19" s="315" t="s">
        <v>137</v>
      </c>
      <c r="E19" s="258">
        <v>85</v>
      </c>
      <c r="F19" s="25" t="str">
        <f>IFERROR(IF(VLOOKUP($D19,'Nov 25'!$D$8:$AI$43,31,0)=0,"",VLOOKUP($D19,'Nov 25'!$D$8:$AI$43,31,0)),"")</f>
        <v/>
      </c>
      <c r="G19" s="26" t="str">
        <f>IFERROR(IF(VLOOKUP($D19,'Nov 25'!$D$8:$AI$43,32,0)=0,"",VLOOKUP($D19,'Nov 25'!$D$8:$AI$43,32,0)),"")</f>
        <v/>
      </c>
      <c r="H19" s="24" t="s">
        <v>34</v>
      </c>
      <c r="I19" s="18"/>
      <c r="J19" s="18"/>
      <c r="K19" s="18"/>
      <c r="L19" s="17" t="s">
        <v>19</v>
      </c>
      <c r="M19" s="17"/>
      <c r="N19" s="18"/>
      <c r="O19" s="18"/>
      <c r="P19" s="18" t="s">
        <v>83</v>
      </c>
      <c r="Q19" s="18" t="s">
        <v>83</v>
      </c>
      <c r="R19" s="18"/>
      <c r="S19" s="17"/>
      <c r="T19" s="17"/>
      <c r="U19" s="18" t="s">
        <v>32</v>
      </c>
      <c r="V19" s="18"/>
      <c r="W19" s="18"/>
      <c r="X19" s="18"/>
      <c r="Y19" s="18"/>
      <c r="Z19" s="17"/>
      <c r="AA19" s="17" t="s">
        <v>31</v>
      </c>
      <c r="AB19" s="18"/>
      <c r="AC19" s="18"/>
      <c r="AD19" s="18"/>
      <c r="AE19" s="17"/>
      <c r="AF19" s="18"/>
      <c r="AG19" s="17" t="s">
        <v>34</v>
      </c>
      <c r="AH19" s="292"/>
      <c r="AI19" s="307"/>
      <c r="AJ19" s="307"/>
      <c r="AK19" s="307"/>
      <c r="AL19" s="292" t="s">
        <v>77</v>
      </c>
      <c r="AM19" s="307"/>
      <c r="AN19" s="292"/>
      <c r="AO19" s="292"/>
      <c r="AP19" s="307"/>
      <c r="AQ19" s="26"/>
      <c r="AS19" s="27">
        <f>IFERROR(VLOOKUP($D19,'Nov 25'!$D$8:$BD$51,49,0),0)</f>
        <v>13.5</v>
      </c>
      <c r="AT19" s="21">
        <f>IFERROR(VLOOKUP($D19,'Nov 25'!$D$8:$BD$51,50,0),0)</f>
        <v>20</v>
      </c>
      <c r="AU19" s="21">
        <f>IFERROR(VLOOKUP($D19,'Nov 25'!$D$8:$BD$51,51,0),0)</f>
        <v>16</v>
      </c>
      <c r="AV19" s="28">
        <f>IFERROR(VLOOKUP($D19,'Nov 25'!$D$8:$BD$51,52,0),0)</f>
        <v>3</v>
      </c>
      <c r="AW19" s="37">
        <f t="shared" si="12"/>
        <v>2</v>
      </c>
      <c r="AX19" s="23">
        <f t="shared" si="13"/>
        <v>0</v>
      </c>
      <c r="AY19" s="23">
        <f t="shared" si="14"/>
        <v>1</v>
      </c>
      <c r="AZ19" s="23">
        <f t="shared" si="15"/>
        <v>1</v>
      </c>
      <c r="BA19" s="23">
        <f t="shared" si="16"/>
        <v>1</v>
      </c>
      <c r="BB19" s="278">
        <f t="shared" si="17"/>
        <v>1</v>
      </c>
      <c r="BC19" s="25">
        <f t="shared" si="20"/>
        <v>4.5</v>
      </c>
      <c r="BD19" s="18">
        <f t="shared" si="21"/>
        <v>7</v>
      </c>
      <c r="BE19" s="22">
        <f t="shared" si="18"/>
        <v>8</v>
      </c>
      <c r="BF19" s="18">
        <f t="shared" si="19"/>
        <v>0</v>
      </c>
      <c r="BG19" s="32">
        <f t="shared" si="22"/>
        <v>1.5555555555555556</v>
      </c>
      <c r="BH19" s="24">
        <f t="shared" si="23"/>
        <v>18</v>
      </c>
      <c r="BI19" s="18">
        <f t="shared" si="23"/>
        <v>27</v>
      </c>
      <c r="BJ19" s="18">
        <f t="shared" si="23"/>
        <v>24</v>
      </c>
      <c r="BK19" s="18">
        <f t="shared" si="23"/>
        <v>3</v>
      </c>
      <c r="BL19" s="32">
        <f t="shared" si="24"/>
        <v>1.5</v>
      </c>
    </row>
    <row r="20" spans="2:64" x14ac:dyDescent="0.2">
      <c r="B20" s="1">
        <f t="shared" si="11"/>
        <v>16</v>
      </c>
      <c r="C20" s="71">
        <f t="shared" si="11"/>
        <v>13</v>
      </c>
      <c r="D20" s="315" t="s">
        <v>205</v>
      </c>
      <c r="E20" s="258">
        <v>85</v>
      </c>
      <c r="F20" s="25" t="str">
        <f>IFERROR(IF(VLOOKUP($D20,'Nov 25'!$D$8:$AI$43,31,0)=0,"",VLOOKUP($D20,'Nov 25'!$D$8:$AI$43,31,0)),"")</f>
        <v/>
      </c>
      <c r="G20" s="26" t="str">
        <f>IFERROR(IF(VLOOKUP($D20,'Nov 25'!$D$8:$AI$43,32,0)=0,"",VLOOKUP($D20,'Nov 25'!$D$8:$AI$43,32,0)),"")</f>
        <v>HO3</v>
      </c>
      <c r="H20" s="24"/>
      <c r="I20" s="18"/>
      <c r="J20" s="18"/>
      <c r="K20" s="18"/>
      <c r="L20" s="17" t="s">
        <v>20</v>
      </c>
      <c r="M20" s="17"/>
      <c r="N20" s="18" t="s">
        <v>34</v>
      </c>
      <c r="O20" s="18"/>
      <c r="P20" s="18"/>
      <c r="Q20" s="15" t="s">
        <v>34</v>
      </c>
      <c r="R20" s="18"/>
      <c r="S20" s="17"/>
      <c r="T20" s="16"/>
      <c r="U20" s="18" t="s">
        <v>83</v>
      </c>
      <c r="V20" s="18" t="s">
        <v>83</v>
      </c>
      <c r="W20" s="18" t="s">
        <v>83</v>
      </c>
      <c r="X20" s="18" t="s">
        <v>83</v>
      </c>
      <c r="Y20" s="18" t="s">
        <v>83</v>
      </c>
      <c r="Z20" s="17" t="s">
        <v>207</v>
      </c>
      <c r="AA20" s="17" t="s">
        <v>207</v>
      </c>
      <c r="AB20" s="16"/>
      <c r="AC20" s="18" t="s">
        <v>77</v>
      </c>
      <c r="AD20" s="18"/>
      <c r="AE20" s="17"/>
      <c r="AF20" s="18"/>
      <c r="AG20" s="17"/>
      <c r="AH20" s="292" t="s">
        <v>29</v>
      </c>
      <c r="AI20" s="307"/>
      <c r="AJ20" s="295"/>
      <c r="AK20" s="307"/>
      <c r="AL20" s="292" t="s">
        <v>34</v>
      </c>
      <c r="AM20" s="307"/>
      <c r="AN20" s="292"/>
      <c r="AO20" s="292"/>
      <c r="AP20" s="307"/>
      <c r="AQ20" s="26" t="s">
        <v>34</v>
      </c>
      <c r="AS20" s="27">
        <f>IFERROR(VLOOKUP($D20,'Nov 25'!$D$8:$BD$51,49,0),0)</f>
        <v>4</v>
      </c>
      <c r="AT20" s="21">
        <f>IFERROR(VLOOKUP($D20,'Nov 25'!$D$8:$BD$51,50,0),0)</f>
        <v>6.5</v>
      </c>
      <c r="AU20" s="21">
        <f>IFERROR(VLOOKUP($D20,'Nov 25'!$D$8:$BD$51,51,0),0)</f>
        <v>14</v>
      </c>
      <c r="AV20" s="28">
        <f>IFERROR(VLOOKUP($D20,'Nov 25'!$D$8:$BD$51,52,0),0)</f>
        <v>1</v>
      </c>
      <c r="AW20" s="37">
        <f t="shared" si="12"/>
        <v>3</v>
      </c>
      <c r="AX20" s="23">
        <f t="shared" si="13"/>
        <v>0</v>
      </c>
      <c r="AY20" s="23">
        <f t="shared" si="14"/>
        <v>1</v>
      </c>
      <c r="AZ20" s="23">
        <f t="shared" si="15"/>
        <v>1</v>
      </c>
      <c r="BA20" s="23">
        <f t="shared" si="16"/>
        <v>0</v>
      </c>
      <c r="BB20" s="278">
        <f t="shared" si="17"/>
        <v>1</v>
      </c>
      <c r="BC20" s="25">
        <f t="shared" si="20"/>
        <v>5</v>
      </c>
      <c r="BD20" s="18">
        <f t="shared" si="21"/>
        <v>7.5</v>
      </c>
      <c r="BE20" s="22">
        <f t="shared" si="18"/>
        <v>7</v>
      </c>
      <c r="BF20" s="18">
        <f t="shared" si="19"/>
        <v>1</v>
      </c>
      <c r="BG20" s="32">
        <f t="shared" si="22"/>
        <v>1.5</v>
      </c>
      <c r="BH20" s="24">
        <f t="shared" si="23"/>
        <v>9</v>
      </c>
      <c r="BI20" s="18">
        <f t="shared" si="23"/>
        <v>14</v>
      </c>
      <c r="BJ20" s="18">
        <f t="shared" si="23"/>
        <v>21</v>
      </c>
      <c r="BK20" s="18">
        <f t="shared" si="23"/>
        <v>2</v>
      </c>
      <c r="BL20" s="32">
        <f t="shared" si="24"/>
        <v>1.5555555555555556</v>
      </c>
    </row>
    <row r="21" spans="2:64" x14ac:dyDescent="0.2">
      <c r="B21" s="1">
        <f t="shared" si="11"/>
        <v>17</v>
      </c>
      <c r="C21" s="71">
        <f t="shared" si="11"/>
        <v>14</v>
      </c>
      <c r="D21" s="312" t="s">
        <v>139</v>
      </c>
      <c r="E21" s="259">
        <v>66</v>
      </c>
      <c r="F21" s="25" t="str">
        <f>IFERROR(IF(VLOOKUP($D21,'Nov 25'!$D$8:$AI$43,31,0)=0,"",VLOOKUP($D21,'Nov 25'!$D$8:$AI$43,31,0)),"")</f>
        <v/>
      </c>
      <c r="G21" s="26" t="str">
        <f>IFERROR(IF(VLOOKUP($D21,'Nov 25'!$D$8:$AI$43,32,0)=0,"",VLOOKUP($D21,'Nov 25'!$D$8:$AI$43,32,0)),"")</f>
        <v>AL</v>
      </c>
      <c r="H21" s="24"/>
      <c r="I21" s="15" t="s">
        <v>32</v>
      </c>
      <c r="J21" s="18"/>
      <c r="K21" s="18"/>
      <c r="L21" s="17" t="s">
        <v>32</v>
      </c>
      <c r="M21" s="17"/>
      <c r="N21" s="18"/>
      <c r="O21" s="18"/>
      <c r="P21" s="18" t="s">
        <v>32</v>
      </c>
      <c r="Q21" s="18"/>
      <c r="R21" s="18"/>
      <c r="S21" s="16"/>
      <c r="T21" s="17" t="s">
        <v>19</v>
      </c>
      <c r="U21" s="18" t="s">
        <v>83</v>
      </c>
      <c r="V21" s="18"/>
      <c r="W21" s="18"/>
      <c r="X21" s="18"/>
      <c r="Y21" s="15" t="s">
        <v>34</v>
      </c>
      <c r="Z21" s="17"/>
      <c r="AA21" s="17"/>
      <c r="AB21" s="18"/>
      <c r="AC21" s="18"/>
      <c r="AD21" s="18" t="s">
        <v>77</v>
      </c>
      <c r="AE21" s="17"/>
      <c r="AF21" s="18"/>
      <c r="AG21" s="16"/>
      <c r="AH21" s="292" t="s">
        <v>32</v>
      </c>
      <c r="AI21" s="307"/>
      <c r="AJ21" s="307" t="s">
        <v>83</v>
      </c>
      <c r="AK21" s="307" t="s">
        <v>83</v>
      </c>
      <c r="AL21" s="292"/>
      <c r="AM21" s="307" t="s">
        <v>83</v>
      </c>
      <c r="AN21" s="292" t="s">
        <v>207</v>
      </c>
      <c r="AO21" s="292" t="s">
        <v>207</v>
      </c>
      <c r="AP21" s="307" t="s">
        <v>83</v>
      </c>
      <c r="AQ21" s="26" t="s">
        <v>83</v>
      </c>
      <c r="AS21" s="27">
        <f>IFERROR(VLOOKUP($D21,'Nov 25'!$D$8:$BD$51,49,0),0)</f>
        <v>15</v>
      </c>
      <c r="AT21" s="21">
        <f>IFERROR(VLOOKUP($D21,'Nov 25'!$D$8:$BD$51,50,0),0)</f>
        <v>19</v>
      </c>
      <c r="AU21" s="21">
        <f>IFERROR(VLOOKUP($D21,'Nov 25'!$D$8:$BD$51,51,0),0)</f>
        <v>19</v>
      </c>
      <c r="AV21" s="28">
        <f>IFERROR(VLOOKUP($D21,'Nov 25'!$D$8:$BD$51,52,0),0)</f>
        <v>2</v>
      </c>
      <c r="AW21" s="37">
        <f t="shared" si="12"/>
        <v>2</v>
      </c>
      <c r="AX21" s="23">
        <f t="shared" si="13"/>
        <v>1</v>
      </c>
      <c r="AY21" s="23">
        <f t="shared" si="14"/>
        <v>1</v>
      </c>
      <c r="AZ21" s="23">
        <f t="shared" si="15"/>
        <v>1</v>
      </c>
      <c r="BA21" s="23">
        <f t="shared" si="16"/>
        <v>1</v>
      </c>
      <c r="BB21" s="278">
        <f t="shared" si="17"/>
        <v>1</v>
      </c>
      <c r="BC21" s="25">
        <f t="shared" si="20"/>
        <v>5.5</v>
      </c>
      <c r="BD21" s="18">
        <f t="shared" si="21"/>
        <v>8.5</v>
      </c>
      <c r="BE21" s="22">
        <f t="shared" si="18"/>
        <v>7</v>
      </c>
      <c r="BF21" s="18">
        <f t="shared" si="19"/>
        <v>0</v>
      </c>
      <c r="BG21" s="32">
        <f t="shared" si="22"/>
        <v>1.5454545454545454</v>
      </c>
      <c r="BH21" s="24">
        <f t="shared" si="23"/>
        <v>20.5</v>
      </c>
      <c r="BI21" s="18">
        <f t="shared" si="23"/>
        <v>27.5</v>
      </c>
      <c r="BJ21" s="18">
        <f t="shared" si="23"/>
        <v>26</v>
      </c>
      <c r="BK21" s="18">
        <f t="shared" si="23"/>
        <v>2</v>
      </c>
      <c r="BL21" s="32">
        <f t="shared" si="24"/>
        <v>1.3414634146341464</v>
      </c>
    </row>
    <row r="22" spans="2:64" x14ac:dyDescent="0.2">
      <c r="B22" s="1">
        <f t="shared" si="11"/>
        <v>18</v>
      </c>
      <c r="C22" s="71">
        <f t="shared" si="11"/>
        <v>15</v>
      </c>
      <c r="D22" s="312" t="s">
        <v>144</v>
      </c>
      <c r="E22" s="259">
        <v>66</v>
      </c>
      <c r="F22" s="25" t="str">
        <f>IFERROR(IF(VLOOKUP($D22,'Nov 25'!$D$8:$AI$43,31,0)=0,"",VLOOKUP($D22,'Nov 25'!$D$8:$AI$43,31,0)),"")</f>
        <v/>
      </c>
      <c r="G22" s="26" t="str">
        <f>IFERROR(IF(VLOOKUP($D22,'Nov 25'!$D$8:$AI$43,32,0)=0,"",VLOOKUP($D22,'Nov 25'!$D$8:$AI$43,32,0)),"")</f>
        <v/>
      </c>
      <c r="H22" s="24"/>
      <c r="I22" s="18"/>
      <c r="J22" s="18"/>
      <c r="K22" s="18" t="s">
        <v>32</v>
      </c>
      <c r="L22" s="17"/>
      <c r="M22" s="17"/>
      <c r="N22" s="18"/>
      <c r="O22" s="18"/>
      <c r="P22" s="18"/>
      <c r="Q22" s="15" t="s">
        <v>31</v>
      </c>
      <c r="R22" s="18"/>
      <c r="S22" s="17"/>
      <c r="T22" s="17"/>
      <c r="U22" s="18" t="s">
        <v>31</v>
      </c>
      <c r="V22" s="18"/>
      <c r="W22" s="18"/>
      <c r="X22" s="15"/>
      <c r="Y22" s="18"/>
      <c r="Z22" s="17" t="s">
        <v>19</v>
      </c>
      <c r="AA22" s="17"/>
      <c r="AB22" s="18"/>
      <c r="AC22" s="16"/>
      <c r="AD22" s="18" t="s">
        <v>83</v>
      </c>
      <c r="AE22" s="16"/>
      <c r="AF22" s="18" t="s">
        <v>83</v>
      </c>
      <c r="AG22" s="17" t="s">
        <v>32</v>
      </c>
      <c r="AH22" s="292"/>
      <c r="AI22" s="307"/>
      <c r="AJ22" s="307" t="s">
        <v>77</v>
      </c>
      <c r="AK22" s="307"/>
      <c r="AL22" s="292" t="s">
        <v>21</v>
      </c>
      <c r="AM22" s="307"/>
      <c r="AN22" s="292"/>
      <c r="AO22" s="292" t="s">
        <v>32</v>
      </c>
      <c r="AP22" s="307"/>
      <c r="AQ22" s="26"/>
      <c r="AS22" s="27">
        <f>IFERROR(VLOOKUP($D22,'Nov 25'!$D$8:$BD$51,49,0),0)</f>
        <v>13.5</v>
      </c>
      <c r="AT22" s="21">
        <f>IFERROR(VLOOKUP($D22,'Nov 25'!$D$8:$BD$51,50,0),0)</f>
        <v>18.5</v>
      </c>
      <c r="AU22" s="21">
        <f>IFERROR(VLOOKUP($D22,'Nov 25'!$D$8:$BD$51,51,0),0)</f>
        <v>20</v>
      </c>
      <c r="AV22" s="28">
        <f>IFERROR(VLOOKUP($D22,'Nov 25'!$D$8:$BD$51,52,0),0)</f>
        <v>1</v>
      </c>
      <c r="AW22" s="37">
        <f t="shared" si="12"/>
        <v>2</v>
      </c>
      <c r="AX22" s="23">
        <f t="shared" si="13"/>
        <v>1</v>
      </c>
      <c r="AY22" s="23">
        <f t="shared" si="14"/>
        <v>1</v>
      </c>
      <c r="AZ22" s="23">
        <f t="shared" si="15"/>
        <v>1</v>
      </c>
      <c r="BA22" s="23">
        <f t="shared" si="16"/>
        <v>1</v>
      </c>
      <c r="BB22" s="278">
        <f t="shared" si="17"/>
        <v>1</v>
      </c>
      <c r="BC22" s="25">
        <f t="shared" si="20"/>
        <v>5.5</v>
      </c>
      <c r="BD22" s="18">
        <f t="shared" si="21"/>
        <v>8.5</v>
      </c>
      <c r="BE22" s="22">
        <f t="shared" si="18"/>
        <v>8</v>
      </c>
      <c r="BF22" s="18">
        <f t="shared" si="19"/>
        <v>1</v>
      </c>
      <c r="BG22" s="32">
        <f t="shared" si="22"/>
        <v>1.5454545454545454</v>
      </c>
      <c r="BH22" s="24">
        <f t="shared" si="23"/>
        <v>19</v>
      </c>
      <c r="BI22" s="18">
        <f t="shared" si="23"/>
        <v>27</v>
      </c>
      <c r="BJ22" s="18">
        <f t="shared" si="23"/>
        <v>28</v>
      </c>
      <c r="BK22" s="18">
        <f t="shared" si="23"/>
        <v>2</v>
      </c>
      <c r="BL22" s="32">
        <f t="shared" si="24"/>
        <v>1.4210526315789473</v>
      </c>
    </row>
    <row r="23" spans="2:64" x14ac:dyDescent="0.2">
      <c r="B23" s="1">
        <f t="shared" ref="B23:C38" si="25">B22+1</f>
        <v>19</v>
      </c>
      <c r="C23" s="71">
        <f t="shared" si="25"/>
        <v>16</v>
      </c>
      <c r="D23" s="312" t="s">
        <v>197</v>
      </c>
      <c r="E23" s="259">
        <v>66</v>
      </c>
      <c r="F23" s="25" t="str">
        <f>IFERROR(IF(VLOOKUP($D23,'Nov 25'!$D$8:$AI$43,31,0)=0,"",VLOOKUP($D23,'Nov 25'!$D$8:$AI$43,31,0)),"")</f>
        <v/>
      </c>
      <c r="G23" s="26" t="str">
        <f>IFERROR(IF(VLOOKUP($D23,'Nov 25'!$D$8:$AI$43,32,0)=0,"",VLOOKUP($D23,'Nov 25'!$D$8:$AI$43,32,0)),"")</f>
        <v/>
      </c>
      <c r="H23" s="24"/>
      <c r="I23" s="18"/>
      <c r="J23" s="18"/>
      <c r="K23" s="18"/>
      <c r="L23" s="17" t="s">
        <v>81</v>
      </c>
      <c r="M23" s="17"/>
      <c r="N23" s="18"/>
      <c r="O23" s="18"/>
      <c r="P23" s="18"/>
      <c r="Q23" s="15"/>
      <c r="R23" s="18" t="s">
        <v>32</v>
      </c>
      <c r="S23" s="16"/>
      <c r="T23" s="17"/>
      <c r="U23" s="18"/>
      <c r="V23" s="18" t="s">
        <v>32</v>
      </c>
      <c r="W23" s="18"/>
      <c r="X23" s="18"/>
      <c r="Y23" s="18"/>
      <c r="Z23" s="16"/>
      <c r="AA23" s="17" t="s">
        <v>81</v>
      </c>
      <c r="AB23" s="18"/>
      <c r="AC23" s="18"/>
      <c r="AD23" s="18"/>
      <c r="AE23" s="15" t="s">
        <v>32</v>
      </c>
      <c r="AF23" s="18"/>
      <c r="AG23" s="17"/>
      <c r="AH23" s="292" t="s">
        <v>77</v>
      </c>
      <c r="AI23" s="307"/>
      <c r="AJ23" s="307"/>
      <c r="AK23" s="307"/>
      <c r="AL23" s="292"/>
      <c r="AM23" s="307" t="s">
        <v>31</v>
      </c>
      <c r="AN23" s="292"/>
      <c r="AO23" s="292"/>
      <c r="AP23" s="307"/>
      <c r="AQ23" s="26"/>
      <c r="AS23" s="27">
        <f>IFERROR(VLOOKUP($D23,'Nov 25'!$D$8:$BD$51,49,0),0)</f>
        <v>5</v>
      </c>
      <c r="AT23" s="21">
        <f>IFERROR(VLOOKUP($D23,'Nov 25'!$D$8:$BD$51,50,0),0)</f>
        <v>8</v>
      </c>
      <c r="AU23" s="21">
        <f>IFERROR(VLOOKUP($D23,'Nov 25'!$D$8:$BD$51,51,0),0)</f>
        <v>14</v>
      </c>
      <c r="AV23" s="28">
        <f>IFERROR(VLOOKUP($D23,'Nov 25'!$D$8:$BD$51,52,0),0)</f>
        <v>1</v>
      </c>
      <c r="AW23" s="37">
        <f t="shared" si="12"/>
        <v>1</v>
      </c>
      <c r="AX23" s="23">
        <f t="shared" si="13"/>
        <v>2</v>
      </c>
      <c r="AY23" s="23">
        <f t="shared" si="14"/>
        <v>1</v>
      </c>
      <c r="AZ23" s="23">
        <f t="shared" si="15"/>
        <v>0</v>
      </c>
      <c r="BA23" s="23">
        <f t="shared" si="16"/>
        <v>0</v>
      </c>
      <c r="BB23" s="278">
        <f t="shared" si="17"/>
        <v>1</v>
      </c>
      <c r="BC23" s="25">
        <f t="shared" si="20"/>
        <v>4</v>
      </c>
      <c r="BD23" s="18">
        <f t="shared" si="21"/>
        <v>6.5</v>
      </c>
      <c r="BE23" s="22">
        <f t="shared" si="18"/>
        <v>8</v>
      </c>
      <c r="BF23" s="18">
        <f t="shared" si="19"/>
        <v>2</v>
      </c>
      <c r="BG23" s="32">
        <f t="shared" si="22"/>
        <v>1.625</v>
      </c>
      <c r="BH23" s="24">
        <f t="shared" si="23"/>
        <v>9</v>
      </c>
      <c r="BI23" s="18">
        <f t="shared" si="23"/>
        <v>14.5</v>
      </c>
      <c r="BJ23" s="18">
        <f t="shared" si="23"/>
        <v>22</v>
      </c>
      <c r="BK23" s="18">
        <f t="shared" si="23"/>
        <v>3</v>
      </c>
      <c r="BL23" s="32">
        <f t="shared" si="24"/>
        <v>1.6111111111111112</v>
      </c>
    </row>
    <row r="24" spans="2:64" x14ac:dyDescent="0.2">
      <c r="B24" s="1">
        <f t="shared" si="25"/>
        <v>20</v>
      </c>
      <c r="C24" s="71">
        <f t="shared" si="25"/>
        <v>17</v>
      </c>
      <c r="D24" s="312" t="s">
        <v>201</v>
      </c>
      <c r="E24" s="259">
        <v>66</v>
      </c>
      <c r="F24" s="25" t="str">
        <f>IFERROR(IF(VLOOKUP($D24,'Nov 25'!$D$8:$AI$43,31,0)=0,"",VLOOKUP($D24,'Nov 25'!$D$8:$AI$43,31,0)),"")</f>
        <v>HO3</v>
      </c>
      <c r="G24" s="26" t="str">
        <f>IFERROR(IF(VLOOKUP($D24,'Nov 25'!$D$8:$AI$43,32,0)=0,"",VLOOKUP($D24,'Nov 25'!$D$8:$AI$43,32,0)),"")</f>
        <v/>
      </c>
      <c r="H24" s="24"/>
      <c r="I24" s="15" t="s">
        <v>31</v>
      </c>
      <c r="J24" s="18"/>
      <c r="K24" s="18" t="s">
        <v>83</v>
      </c>
      <c r="L24" s="17"/>
      <c r="M24" s="17"/>
      <c r="N24" s="18"/>
      <c r="O24" s="15" t="s">
        <v>32</v>
      </c>
      <c r="P24" s="18"/>
      <c r="Q24" s="18"/>
      <c r="R24" s="18"/>
      <c r="S24" s="17" t="s">
        <v>32</v>
      </c>
      <c r="T24" s="17"/>
      <c r="U24" s="18"/>
      <c r="V24" s="18"/>
      <c r="W24" s="18" t="s">
        <v>32</v>
      </c>
      <c r="X24" s="18"/>
      <c r="Y24" s="18"/>
      <c r="Z24" s="17"/>
      <c r="AA24" s="17" t="s">
        <v>77</v>
      </c>
      <c r="AB24" s="18"/>
      <c r="AC24" s="18"/>
      <c r="AD24" s="18"/>
      <c r="AE24" s="17"/>
      <c r="AF24" s="18"/>
      <c r="AG24" s="16"/>
      <c r="AH24" s="294"/>
      <c r="AI24" s="307" t="s">
        <v>83</v>
      </c>
      <c r="AJ24" s="307" t="s">
        <v>83</v>
      </c>
      <c r="AK24" s="307" t="s">
        <v>83</v>
      </c>
      <c r="AL24" s="292"/>
      <c r="AM24" s="307" t="s">
        <v>32</v>
      </c>
      <c r="AN24" s="292"/>
      <c r="AO24" s="292"/>
      <c r="AP24" s="307"/>
      <c r="AQ24" s="26" t="s">
        <v>32</v>
      </c>
      <c r="AS24" s="27">
        <f>IFERROR(VLOOKUP($D24,'Nov 25'!$D$8:$BD$51,49,0),0)</f>
        <v>4</v>
      </c>
      <c r="AT24" s="21">
        <f>IFERROR(VLOOKUP($D24,'Nov 25'!$D$8:$BD$51,50,0),0)</f>
        <v>6.5</v>
      </c>
      <c r="AU24" s="21">
        <f>IFERROR(VLOOKUP($D24,'Nov 25'!$D$8:$BD$51,51,0),0)</f>
        <v>12</v>
      </c>
      <c r="AV24" s="28">
        <f>IFERROR(VLOOKUP($D24,'Nov 25'!$D$8:$BD$51,52,0),0)</f>
        <v>3</v>
      </c>
      <c r="AW24" s="37">
        <f t="shared" si="12"/>
        <v>4</v>
      </c>
      <c r="AX24" s="23">
        <f t="shared" si="13"/>
        <v>1</v>
      </c>
      <c r="AY24" s="23">
        <f t="shared" si="14"/>
        <v>1</v>
      </c>
      <c r="AZ24" s="23">
        <f t="shared" si="15"/>
        <v>0</v>
      </c>
      <c r="BA24" s="23">
        <f t="shared" si="16"/>
        <v>0</v>
      </c>
      <c r="BB24" s="278">
        <f t="shared" si="17"/>
        <v>1</v>
      </c>
      <c r="BC24" s="25">
        <f t="shared" si="20"/>
        <v>6</v>
      </c>
      <c r="BD24" s="18">
        <f t="shared" si="21"/>
        <v>8</v>
      </c>
      <c r="BE24" s="22">
        <f t="shared" si="18"/>
        <v>10</v>
      </c>
      <c r="BF24" s="18">
        <f t="shared" si="19"/>
        <v>0</v>
      </c>
      <c r="BG24" s="32">
        <f t="shared" si="22"/>
        <v>1.3333333333333333</v>
      </c>
      <c r="BH24" s="24">
        <f t="shared" si="23"/>
        <v>10</v>
      </c>
      <c r="BI24" s="18">
        <f t="shared" si="23"/>
        <v>14.5</v>
      </c>
      <c r="BJ24" s="18">
        <f t="shared" si="23"/>
        <v>22</v>
      </c>
      <c r="BK24" s="18">
        <f t="shared" si="23"/>
        <v>3</v>
      </c>
      <c r="BL24" s="32">
        <f t="shared" si="24"/>
        <v>1.45</v>
      </c>
    </row>
    <row r="25" spans="2:64" x14ac:dyDescent="0.2">
      <c r="B25" s="1">
        <f t="shared" si="25"/>
        <v>21</v>
      </c>
      <c r="C25" s="71">
        <f t="shared" si="25"/>
        <v>18</v>
      </c>
      <c r="D25" s="312" t="s">
        <v>194</v>
      </c>
      <c r="E25" s="259">
        <v>86</v>
      </c>
      <c r="F25" s="25" t="str">
        <f>IFERROR(IF(VLOOKUP($D25,'Nov 25'!$D$8:$AI$43,31,0)=0,"",VLOOKUP($D25,'Nov 25'!$D$8:$AI$43,31,0)),"")</f>
        <v/>
      </c>
      <c r="G25" s="26" t="str">
        <f>IFERROR(IF(VLOOKUP($D25,'Nov 25'!$D$8:$AI$43,32,0)=0,"",VLOOKUP($D25,'Nov 25'!$D$8:$AI$43,32,0)),"")</f>
        <v/>
      </c>
      <c r="H25" s="24" t="s">
        <v>31</v>
      </c>
      <c r="I25" s="18"/>
      <c r="J25" s="18"/>
      <c r="K25" s="18"/>
      <c r="L25" s="17" t="s">
        <v>29</v>
      </c>
      <c r="M25" s="17"/>
      <c r="N25" s="18"/>
      <c r="O25" s="18"/>
      <c r="P25" s="18" t="s">
        <v>77</v>
      </c>
      <c r="Q25" s="18"/>
      <c r="R25" s="18"/>
      <c r="S25" s="17"/>
      <c r="T25" s="17" t="s">
        <v>32</v>
      </c>
      <c r="U25" s="15"/>
      <c r="V25" s="18"/>
      <c r="W25" s="18"/>
      <c r="X25" s="18"/>
      <c r="Y25" s="18" t="s">
        <v>83</v>
      </c>
      <c r="Z25" s="17"/>
      <c r="AA25" s="17"/>
      <c r="AB25" s="18" t="s">
        <v>83</v>
      </c>
      <c r="AC25" s="18" t="s">
        <v>83</v>
      </c>
      <c r="AD25" s="18" t="s">
        <v>83</v>
      </c>
      <c r="AE25" s="17"/>
      <c r="AF25" s="18" t="s">
        <v>83</v>
      </c>
      <c r="AG25" s="17"/>
      <c r="AH25" s="292"/>
      <c r="AI25" s="307"/>
      <c r="AJ25" s="307"/>
      <c r="AK25" s="295" t="s">
        <v>31</v>
      </c>
      <c r="AL25" s="292"/>
      <c r="AM25" s="307"/>
      <c r="AN25" s="292"/>
      <c r="AO25" s="292"/>
      <c r="AP25" s="307" t="s">
        <v>30</v>
      </c>
      <c r="AQ25" s="26"/>
      <c r="AS25" s="27">
        <f>IFERROR(VLOOKUP($D25,'Nov 25'!$D$8:$BD$51,49,0),0)</f>
        <v>13</v>
      </c>
      <c r="AT25" s="21">
        <f>IFERROR(VLOOKUP($D25,'Nov 25'!$D$8:$BD$51,50,0),0)</f>
        <v>19.5</v>
      </c>
      <c r="AU25" s="21">
        <f>IFERROR(VLOOKUP($D25,'Nov 25'!$D$8:$BD$51,51,0),0)</f>
        <v>16</v>
      </c>
      <c r="AV25" s="28">
        <f>IFERROR(VLOOKUP($D25,'Nov 25'!$D$8:$BD$51,52,0),0)</f>
        <v>4</v>
      </c>
      <c r="AW25" s="37">
        <f t="shared" si="12"/>
        <v>2</v>
      </c>
      <c r="AX25" s="23">
        <f t="shared" si="13"/>
        <v>1</v>
      </c>
      <c r="AY25" s="23">
        <f t="shared" si="14"/>
        <v>1</v>
      </c>
      <c r="AZ25" s="23">
        <f t="shared" si="15"/>
        <v>1</v>
      </c>
      <c r="BA25" s="23">
        <f t="shared" si="16"/>
        <v>0</v>
      </c>
      <c r="BB25" s="278">
        <f t="shared" si="17"/>
        <v>1</v>
      </c>
      <c r="BC25" s="25">
        <f t="shared" si="20"/>
        <v>5</v>
      </c>
      <c r="BD25" s="18">
        <f t="shared" si="21"/>
        <v>8</v>
      </c>
      <c r="BE25" s="22">
        <f t="shared" si="18"/>
        <v>10</v>
      </c>
      <c r="BF25" s="18">
        <f t="shared" si="19"/>
        <v>0</v>
      </c>
      <c r="BG25" s="32">
        <f t="shared" si="22"/>
        <v>1.6</v>
      </c>
      <c r="BH25" s="24">
        <f t="shared" si="23"/>
        <v>18</v>
      </c>
      <c r="BI25" s="18">
        <f t="shared" si="23"/>
        <v>27.5</v>
      </c>
      <c r="BJ25" s="18">
        <f t="shared" si="23"/>
        <v>26</v>
      </c>
      <c r="BK25" s="18">
        <f t="shared" si="23"/>
        <v>4</v>
      </c>
      <c r="BL25" s="32">
        <f t="shared" si="24"/>
        <v>1.5277777777777777</v>
      </c>
    </row>
    <row r="26" spans="2:64" x14ac:dyDescent="0.2">
      <c r="B26" s="1">
        <f t="shared" si="25"/>
        <v>22</v>
      </c>
      <c r="C26" s="71">
        <f t="shared" si="25"/>
        <v>19</v>
      </c>
      <c r="D26" s="312" t="s">
        <v>143</v>
      </c>
      <c r="E26" s="259">
        <v>86</v>
      </c>
      <c r="F26" s="25" t="str">
        <f>IFERROR(IF(VLOOKUP($D26,'Nov 25'!$D$8:$AI$43,31,0)=0,"",VLOOKUP($D26,'Nov 25'!$D$8:$AI$43,31,0)),"")</f>
        <v>HO4</v>
      </c>
      <c r="G26" s="26" t="str">
        <f>IFERROR(IF(VLOOKUP($D26,'Nov 25'!$D$8:$AI$43,32,0)=0,"",VLOOKUP($D26,'Nov 25'!$D$8:$AI$43,32,0)),"")</f>
        <v/>
      </c>
      <c r="H26" s="24"/>
      <c r="I26" s="18"/>
      <c r="J26" s="15" t="s">
        <v>31</v>
      </c>
      <c r="K26" s="18"/>
      <c r="L26" s="17"/>
      <c r="M26" s="16"/>
      <c r="N26" s="18" t="s">
        <v>83</v>
      </c>
      <c r="O26" s="18" t="s">
        <v>83</v>
      </c>
      <c r="P26" s="18" t="s">
        <v>83</v>
      </c>
      <c r="Q26" s="18" t="s">
        <v>83</v>
      </c>
      <c r="R26" s="18" t="s">
        <v>83</v>
      </c>
      <c r="S26" s="17" t="s">
        <v>207</v>
      </c>
      <c r="T26" s="17" t="s">
        <v>207</v>
      </c>
      <c r="U26" s="16"/>
      <c r="V26" s="18" t="s">
        <v>29</v>
      </c>
      <c r="W26" s="18"/>
      <c r="X26" s="18"/>
      <c r="Y26" s="18"/>
      <c r="Z26" s="17" t="s">
        <v>31</v>
      </c>
      <c r="AA26" s="17"/>
      <c r="AB26" s="18"/>
      <c r="AC26" s="18" t="s">
        <v>29</v>
      </c>
      <c r="AD26" s="18"/>
      <c r="AE26" s="17"/>
      <c r="AF26" s="15" t="s">
        <v>31</v>
      </c>
      <c r="AG26" s="17"/>
      <c r="AH26" s="292"/>
      <c r="AI26" s="307"/>
      <c r="AJ26" s="307"/>
      <c r="AK26" s="307" t="s">
        <v>32</v>
      </c>
      <c r="AL26" s="292"/>
      <c r="AM26" s="307"/>
      <c r="AN26" s="292"/>
      <c r="AO26" s="292" t="s">
        <v>21</v>
      </c>
      <c r="AP26" s="307" t="s">
        <v>77</v>
      </c>
      <c r="AQ26" s="26"/>
      <c r="AS26" s="27">
        <f>IFERROR(VLOOKUP($D26,'Nov 25'!$D$8:$BD$51,49,0),0)</f>
        <v>13</v>
      </c>
      <c r="AT26" s="21">
        <f>IFERROR(VLOOKUP($D26,'Nov 25'!$D$8:$BD$51,50,0),0)</f>
        <v>19</v>
      </c>
      <c r="AU26" s="21">
        <f>IFERROR(VLOOKUP($D26,'Nov 25'!$D$8:$BD$51,51,0),0)</f>
        <v>18</v>
      </c>
      <c r="AV26" s="28">
        <f>IFERROR(VLOOKUP($D26,'Nov 25'!$D$8:$BD$51,52,0),0)</f>
        <v>1</v>
      </c>
      <c r="AW26" s="37">
        <f t="shared" si="12"/>
        <v>3</v>
      </c>
      <c r="AX26" s="23">
        <f t="shared" si="13"/>
        <v>2</v>
      </c>
      <c r="AY26" s="23">
        <f t="shared" si="14"/>
        <v>1</v>
      </c>
      <c r="AZ26" s="23">
        <f t="shared" si="15"/>
        <v>0</v>
      </c>
      <c r="BA26" s="23">
        <f t="shared" si="16"/>
        <v>0</v>
      </c>
      <c r="BB26" s="278">
        <f t="shared" si="17"/>
        <v>1</v>
      </c>
      <c r="BC26" s="25">
        <f t="shared" si="20"/>
        <v>6</v>
      </c>
      <c r="BD26" s="18">
        <f t="shared" si="21"/>
        <v>8.5</v>
      </c>
      <c r="BE26" s="22">
        <f t="shared" si="18"/>
        <v>8</v>
      </c>
      <c r="BF26" s="18">
        <f t="shared" si="19"/>
        <v>1</v>
      </c>
      <c r="BG26" s="32">
        <f t="shared" si="22"/>
        <v>1.4166666666666667</v>
      </c>
      <c r="BH26" s="24">
        <f t="shared" si="23"/>
        <v>19</v>
      </c>
      <c r="BI26" s="18">
        <f t="shared" si="23"/>
        <v>27.5</v>
      </c>
      <c r="BJ26" s="18">
        <f t="shared" si="23"/>
        <v>26</v>
      </c>
      <c r="BK26" s="18">
        <f t="shared" si="23"/>
        <v>2</v>
      </c>
      <c r="BL26" s="32">
        <f t="shared" si="24"/>
        <v>1.4473684210526316</v>
      </c>
    </row>
    <row r="27" spans="2:64" x14ac:dyDescent="0.2">
      <c r="B27" s="1">
        <f t="shared" si="25"/>
        <v>23</v>
      </c>
      <c r="C27" s="71">
        <f t="shared" si="25"/>
        <v>20</v>
      </c>
      <c r="D27" s="312" t="s">
        <v>195</v>
      </c>
      <c r="E27" s="259">
        <v>86</v>
      </c>
      <c r="F27" s="25" t="str">
        <f>IFERROR(IF(VLOOKUP($D27,'Nov 25'!$D$8:$AI$43,31,0)=0,"",VLOOKUP($D27,'Nov 25'!$D$8:$AI$43,31,0)),"")</f>
        <v/>
      </c>
      <c r="G27" s="26" t="str">
        <f>IFERROR(IF(VLOOKUP($D27,'Nov 25'!$D$8:$AI$43,32,0)=0,"",VLOOKUP($D27,'Nov 25'!$D$8:$AI$43,32,0)),"")</f>
        <v>S</v>
      </c>
      <c r="H27" s="24"/>
      <c r="I27" s="18"/>
      <c r="J27" s="18"/>
      <c r="K27" s="18"/>
      <c r="L27" s="17"/>
      <c r="M27" s="17" t="s">
        <v>31</v>
      </c>
      <c r="N27" s="18"/>
      <c r="O27" s="18"/>
      <c r="P27" s="18"/>
      <c r="Q27" s="15"/>
      <c r="R27" s="18" t="s">
        <v>31</v>
      </c>
      <c r="S27" s="17"/>
      <c r="T27" s="17"/>
      <c r="U27" s="18"/>
      <c r="V27" s="18"/>
      <c r="W27" s="18"/>
      <c r="X27" s="18"/>
      <c r="Y27" s="18"/>
      <c r="Z27" s="17" t="s">
        <v>21</v>
      </c>
      <c r="AA27" s="17"/>
      <c r="AB27" s="18" t="s">
        <v>77</v>
      </c>
      <c r="AC27" s="18"/>
      <c r="AD27" s="18"/>
      <c r="AE27" s="15" t="s">
        <v>31</v>
      </c>
      <c r="AF27" s="18"/>
      <c r="AG27" s="16"/>
      <c r="AH27" s="294"/>
      <c r="AI27" s="307"/>
      <c r="AJ27" s="307" t="s">
        <v>32</v>
      </c>
      <c r="AK27" s="307"/>
      <c r="AL27" s="292"/>
      <c r="AM27" s="307"/>
      <c r="AN27" s="292" t="s">
        <v>21</v>
      </c>
      <c r="AO27" s="292"/>
      <c r="AP27" s="307"/>
      <c r="AQ27" s="26"/>
      <c r="AS27" s="27">
        <f>IFERROR(VLOOKUP($D27,'Nov 25'!$D$8:$BD$51,49,0),0)</f>
        <v>11.5</v>
      </c>
      <c r="AT27" s="21">
        <f>IFERROR(VLOOKUP($D27,'Nov 25'!$D$8:$BD$51,50,0),0)</f>
        <v>16</v>
      </c>
      <c r="AU27" s="21">
        <f>IFERROR(VLOOKUP($D27,'Nov 25'!$D$8:$BD$51,51,0),0)</f>
        <v>12</v>
      </c>
      <c r="AV27" s="28">
        <f>IFERROR(VLOOKUP($D27,'Nov 25'!$D$8:$BD$51,52,0),0)</f>
        <v>1</v>
      </c>
      <c r="AW27" s="37">
        <f t="shared" si="12"/>
        <v>1</v>
      </c>
      <c r="AX27" s="23">
        <f t="shared" si="13"/>
        <v>1</v>
      </c>
      <c r="AY27" s="23">
        <f t="shared" si="14"/>
        <v>1</v>
      </c>
      <c r="AZ27" s="23">
        <f t="shared" si="15"/>
        <v>1</v>
      </c>
      <c r="BA27" s="23">
        <f t="shared" si="16"/>
        <v>0</v>
      </c>
      <c r="BB27" s="278">
        <f t="shared" si="17"/>
        <v>1</v>
      </c>
      <c r="BC27" s="25">
        <f t="shared" si="20"/>
        <v>4</v>
      </c>
      <c r="BD27" s="18">
        <f t="shared" si="21"/>
        <v>7</v>
      </c>
      <c r="BE27" s="22">
        <f t="shared" si="18"/>
        <v>8</v>
      </c>
      <c r="BF27" s="18">
        <f t="shared" si="19"/>
        <v>2</v>
      </c>
      <c r="BG27" s="32">
        <f t="shared" si="22"/>
        <v>1.75</v>
      </c>
      <c r="BH27" s="24">
        <f t="shared" si="23"/>
        <v>15.5</v>
      </c>
      <c r="BI27" s="18">
        <f t="shared" si="23"/>
        <v>23</v>
      </c>
      <c r="BJ27" s="18">
        <f t="shared" si="23"/>
        <v>20</v>
      </c>
      <c r="BK27" s="18">
        <f t="shared" si="23"/>
        <v>3</v>
      </c>
      <c r="BL27" s="32">
        <f t="shared" si="24"/>
        <v>1.4838709677419355</v>
      </c>
    </row>
    <row r="28" spans="2:64" x14ac:dyDescent="0.2">
      <c r="B28" s="1">
        <f t="shared" si="25"/>
        <v>24</v>
      </c>
      <c r="C28" s="71">
        <f t="shared" si="25"/>
        <v>21</v>
      </c>
      <c r="D28" s="312" t="s">
        <v>200</v>
      </c>
      <c r="E28" s="259">
        <v>86</v>
      </c>
      <c r="F28" s="25" t="str">
        <f>IFERROR(IF(VLOOKUP($D28,'Nov 25'!$D$8:$AI$43,31,0)=0,"",VLOOKUP($D28,'Nov 25'!$D$8:$AI$43,31,0)),"")</f>
        <v/>
      </c>
      <c r="G28" s="26" t="str">
        <f>IFERROR(IF(VLOOKUP($D28,'Nov 25'!$D$8:$AI$43,32,0)=0,"",VLOOKUP($D28,'Nov 25'!$D$8:$AI$43,32,0)),"")</f>
        <v/>
      </c>
      <c r="H28" s="24"/>
      <c r="I28" s="18"/>
      <c r="J28" s="18"/>
      <c r="K28" s="18" t="s">
        <v>77</v>
      </c>
      <c r="L28" s="16"/>
      <c r="M28" s="17"/>
      <c r="N28" s="18" t="s">
        <v>31</v>
      </c>
      <c r="O28" s="18"/>
      <c r="P28" s="18"/>
      <c r="Q28" s="18"/>
      <c r="R28" s="18"/>
      <c r="S28" s="16"/>
      <c r="T28" s="17" t="s">
        <v>21</v>
      </c>
      <c r="U28" s="18"/>
      <c r="V28" s="18" t="s">
        <v>31</v>
      </c>
      <c r="W28" s="18"/>
      <c r="X28" s="18"/>
      <c r="Y28" s="18" t="s">
        <v>32</v>
      </c>
      <c r="Z28" s="17"/>
      <c r="AA28" s="17"/>
      <c r="AB28" s="18"/>
      <c r="AC28" s="18"/>
      <c r="AD28" s="18"/>
      <c r="AE28" s="15" t="s">
        <v>29</v>
      </c>
      <c r="AF28" s="18"/>
      <c r="AG28" s="17"/>
      <c r="AH28" s="292"/>
      <c r="AI28" s="307" t="s">
        <v>31</v>
      </c>
      <c r="AJ28" s="307"/>
      <c r="AK28" s="307"/>
      <c r="AL28" s="292" t="s">
        <v>20</v>
      </c>
      <c r="AM28" s="307"/>
      <c r="AN28" s="292" t="s">
        <v>81</v>
      </c>
      <c r="AO28" s="292"/>
      <c r="AP28" s="307"/>
      <c r="AQ28" s="26" t="s">
        <v>31</v>
      </c>
      <c r="AS28" s="27">
        <f>IFERROR(VLOOKUP($D28,'Nov 25'!$D$8:$BD$51,49,0),0)</f>
        <v>4.5</v>
      </c>
      <c r="AT28" s="21">
        <f>IFERROR(VLOOKUP($D28,'Nov 25'!$D$8:$BD$51,50,0),0)</f>
        <v>7</v>
      </c>
      <c r="AU28" s="21">
        <f>IFERROR(VLOOKUP($D28,'Nov 25'!$D$8:$BD$51,51,0),0)</f>
        <v>14</v>
      </c>
      <c r="AV28" s="28">
        <f>IFERROR(VLOOKUP($D28,'Nov 25'!$D$8:$BD$51,52,0),0)</f>
        <v>0</v>
      </c>
      <c r="AW28" s="37">
        <f t="shared" si="12"/>
        <v>4</v>
      </c>
      <c r="AX28" s="23">
        <f t="shared" si="13"/>
        <v>1</v>
      </c>
      <c r="AY28" s="23">
        <f t="shared" si="14"/>
        <v>1</v>
      </c>
      <c r="AZ28" s="23">
        <f t="shared" si="15"/>
        <v>0</v>
      </c>
      <c r="BA28" s="23">
        <f t="shared" si="16"/>
        <v>0</v>
      </c>
      <c r="BB28" s="278">
        <f t="shared" si="17"/>
        <v>1</v>
      </c>
      <c r="BC28" s="25">
        <f t="shared" si="20"/>
        <v>6</v>
      </c>
      <c r="BD28" s="18">
        <f t="shared" si="21"/>
        <v>8</v>
      </c>
      <c r="BE28" s="22">
        <f t="shared" si="18"/>
        <v>8</v>
      </c>
      <c r="BF28" s="18">
        <f t="shared" si="19"/>
        <v>3</v>
      </c>
      <c r="BG28" s="32">
        <f t="shared" si="22"/>
        <v>1.3333333333333333</v>
      </c>
      <c r="BH28" s="24">
        <f t="shared" si="23"/>
        <v>10.5</v>
      </c>
      <c r="BI28" s="18">
        <f t="shared" si="23"/>
        <v>15</v>
      </c>
      <c r="BJ28" s="18">
        <f t="shared" si="23"/>
        <v>22</v>
      </c>
      <c r="BK28" s="18">
        <f t="shared" si="23"/>
        <v>3</v>
      </c>
      <c r="BL28" s="32">
        <f t="shared" si="24"/>
        <v>1.4285714285714286</v>
      </c>
    </row>
    <row r="29" spans="2:64" x14ac:dyDescent="0.2">
      <c r="B29" s="1">
        <f t="shared" si="25"/>
        <v>25</v>
      </c>
      <c r="C29" s="71">
        <f t="shared" si="25"/>
        <v>22</v>
      </c>
      <c r="D29" s="312" t="s">
        <v>147</v>
      </c>
      <c r="E29" s="259">
        <v>41</v>
      </c>
      <c r="F29" s="25" t="str">
        <f>IFERROR(IF(VLOOKUP($D29,'Nov 25'!$D$8:$AI$43,31,0)=0,"",VLOOKUP($D29,'Nov 25'!$D$8:$AI$43,31,0)),"")</f>
        <v/>
      </c>
      <c r="G29" s="26" t="str">
        <f>IFERROR(IF(VLOOKUP($D29,'Nov 25'!$D$8:$AI$43,32,0)=0,"",VLOOKUP($D29,'Nov 25'!$D$8:$AI$43,32,0)),"")</f>
        <v/>
      </c>
      <c r="H29" s="24"/>
      <c r="I29" s="18" t="s">
        <v>83</v>
      </c>
      <c r="J29" s="18" t="s">
        <v>83</v>
      </c>
      <c r="K29" s="18" t="s">
        <v>83</v>
      </c>
      <c r="L29" s="17" t="s">
        <v>77</v>
      </c>
      <c r="M29" s="17"/>
      <c r="N29" s="18"/>
      <c r="O29" s="18"/>
      <c r="P29" s="18"/>
      <c r="Q29" s="15" t="s">
        <v>32</v>
      </c>
      <c r="R29" s="18"/>
      <c r="S29" s="17"/>
      <c r="T29" s="17"/>
      <c r="U29" s="18"/>
      <c r="V29" s="18"/>
      <c r="W29" s="18"/>
      <c r="X29" s="18" t="s">
        <v>34</v>
      </c>
      <c r="Y29" s="18"/>
      <c r="Z29" s="16"/>
      <c r="AA29" s="17"/>
      <c r="AB29" s="18"/>
      <c r="AC29" s="15"/>
      <c r="AD29" s="18" t="s">
        <v>32</v>
      </c>
      <c r="AE29" s="17"/>
      <c r="AF29" s="18"/>
      <c r="AG29" s="16"/>
      <c r="AH29" s="292" t="s">
        <v>30</v>
      </c>
      <c r="AI29" s="307"/>
      <c r="AJ29" s="307"/>
      <c r="AK29" s="307"/>
      <c r="AL29" s="292" t="s">
        <v>32</v>
      </c>
      <c r="AM29" s="307"/>
      <c r="AN29" s="292"/>
      <c r="AO29" s="292"/>
      <c r="AP29" s="307" t="s">
        <v>83</v>
      </c>
      <c r="AQ29" s="26" t="s">
        <v>83</v>
      </c>
      <c r="AS29" s="27">
        <f>IFERROR(VLOOKUP($D29,'Nov 25'!$D$8:$BD$51,49,0),0)</f>
        <v>13.5</v>
      </c>
      <c r="AT29" s="21">
        <f>IFERROR(VLOOKUP($D29,'Nov 25'!$D$8:$BD$51,50,0),0)</f>
        <v>19</v>
      </c>
      <c r="AU29" s="21">
        <f>IFERROR(VLOOKUP($D29,'Nov 25'!$D$8:$BD$51,51,0),0)</f>
        <v>19</v>
      </c>
      <c r="AV29" s="28">
        <f>IFERROR(VLOOKUP($D29,'Nov 25'!$D$8:$BD$51,52,0),0)</f>
        <v>3</v>
      </c>
      <c r="AW29" s="37">
        <f t="shared" si="12"/>
        <v>2</v>
      </c>
      <c r="AX29" s="23">
        <f t="shared" si="13"/>
        <v>1</v>
      </c>
      <c r="AY29" s="23">
        <f t="shared" si="14"/>
        <v>1</v>
      </c>
      <c r="AZ29" s="23">
        <f t="shared" si="15"/>
        <v>1</v>
      </c>
      <c r="BA29" s="23">
        <f t="shared" si="16"/>
        <v>0</v>
      </c>
      <c r="BB29" s="278">
        <f t="shared" si="17"/>
        <v>1</v>
      </c>
      <c r="BC29" s="25">
        <f t="shared" si="20"/>
        <v>5</v>
      </c>
      <c r="BD29" s="18">
        <f t="shared" si="21"/>
        <v>8</v>
      </c>
      <c r="BE29" s="22">
        <f t="shared" si="18"/>
        <v>9</v>
      </c>
      <c r="BF29" s="18">
        <f t="shared" si="19"/>
        <v>0</v>
      </c>
      <c r="BG29" s="32">
        <f t="shared" si="22"/>
        <v>1.6</v>
      </c>
      <c r="BH29" s="24">
        <f t="shared" si="23"/>
        <v>18.5</v>
      </c>
      <c r="BI29" s="18">
        <f t="shared" si="23"/>
        <v>27</v>
      </c>
      <c r="BJ29" s="18">
        <f t="shared" si="23"/>
        <v>28</v>
      </c>
      <c r="BK29" s="18">
        <f t="shared" si="23"/>
        <v>3</v>
      </c>
      <c r="BL29" s="32">
        <f t="shared" si="24"/>
        <v>1.4594594594594594</v>
      </c>
    </row>
    <row r="30" spans="2:64" x14ac:dyDescent="0.2">
      <c r="B30" s="1">
        <f t="shared" si="25"/>
        <v>26</v>
      </c>
      <c r="C30" s="71">
        <f t="shared" si="25"/>
        <v>23</v>
      </c>
      <c r="D30" s="311" t="s">
        <v>140</v>
      </c>
      <c r="E30" s="260">
        <v>62</v>
      </c>
      <c r="F30" s="25" t="str">
        <f>IFERROR(IF(VLOOKUP($D30,'Nov 25'!$D$8:$AI$43,31,0)=0,"",VLOOKUP($D30,'Nov 25'!$D$8:$AI$43,31,0)),"")</f>
        <v>S</v>
      </c>
      <c r="G30" s="26" t="str">
        <f>IFERROR(IF(VLOOKUP($D30,'Nov 25'!$D$8:$AI$43,32,0)=0,"",VLOOKUP($D30,'Nov 25'!$D$8:$AI$43,32,0)),"")</f>
        <v/>
      </c>
      <c r="H30" s="24"/>
      <c r="I30" s="18"/>
      <c r="J30" s="18"/>
      <c r="K30" s="18"/>
      <c r="L30" s="17"/>
      <c r="M30" s="17" t="s">
        <v>32</v>
      </c>
      <c r="N30" s="18"/>
      <c r="O30" s="18"/>
      <c r="P30" s="18"/>
      <c r="Q30" s="18"/>
      <c r="R30" s="18"/>
      <c r="S30" s="17" t="s">
        <v>31</v>
      </c>
      <c r="T30" s="17"/>
      <c r="U30" s="18"/>
      <c r="V30" s="18"/>
      <c r="W30" s="18"/>
      <c r="X30" s="18" t="s">
        <v>77</v>
      </c>
      <c r="Y30" s="18"/>
      <c r="Z30" s="16"/>
      <c r="AA30" s="17" t="s">
        <v>21</v>
      </c>
      <c r="AB30" s="18"/>
      <c r="AC30" s="15" t="s">
        <v>32</v>
      </c>
      <c r="AD30" s="18"/>
      <c r="AE30" s="17"/>
      <c r="AF30" s="18"/>
      <c r="AG30" s="17" t="s">
        <v>21</v>
      </c>
      <c r="AH30" s="292"/>
      <c r="AI30" s="307"/>
      <c r="AJ30" s="295"/>
      <c r="AK30" s="307" t="s">
        <v>29</v>
      </c>
      <c r="AL30" s="292"/>
      <c r="AM30" s="307"/>
      <c r="AN30" s="294"/>
      <c r="AO30" s="292"/>
      <c r="AP30" s="307" t="s">
        <v>32</v>
      </c>
      <c r="AQ30" s="26"/>
      <c r="AS30" s="27">
        <f>IFERROR(VLOOKUP($D30,'Nov 25'!$D$8:$BD$51,49,0),0)</f>
        <v>13.5</v>
      </c>
      <c r="AT30" s="21">
        <f>IFERROR(VLOOKUP($D30,'Nov 25'!$D$8:$BD$51,50,0),0)</f>
        <v>19.5</v>
      </c>
      <c r="AU30" s="21">
        <f>IFERROR(VLOOKUP($D30,'Nov 25'!$D$8:$BD$51,51,0),0)</f>
        <v>19</v>
      </c>
      <c r="AV30" s="28">
        <f>IFERROR(VLOOKUP($D30,'Nov 25'!$D$8:$BD$51,52,0),0)</f>
        <v>1</v>
      </c>
      <c r="AW30" s="37">
        <f t="shared" si="12"/>
        <v>2</v>
      </c>
      <c r="AX30" s="23">
        <f t="shared" si="13"/>
        <v>1</v>
      </c>
      <c r="AY30" s="23">
        <f t="shared" si="14"/>
        <v>1</v>
      </c>
      <c r="AZ30" s="23">
        <f t="shared" si="15"/>
        <v>1</v>
      </c>
      <c r="BA30" s="23">
        <f t="shared" si="16"/>
        <v>0</v>
      </c>
      <c r="BB30" s="278">
        <f t="shared" si="17"/>
        <v>1</v>
      </c>
      <c r="BC30" s="25">
        <f t="shared" si="20"/>
        <v>5</v>
      </c>
      <c r="BD30" s="18">
        <f t="shared" si="21"/>
        <v>8</v>
      </c>
      <c r="BE30" s="22">
        <f t="shared" si="18"/>
        <v>8</v>
      </c>
      <c r="BF30" s="18">
        <f t="shared" si="19"/>
        <v>2</v>
      </c>
      <c r="BG30" s="32">
        <f t="shared" si="22"/>
        <v>1.6</v>
      </c>
      <c r="BH30" s="24">
        <f t="shared" si="23"/>
        <v>18.5</v>
      </c>
      <c r="BI30" s="18">
        <f t="shared" si="23"/>
        <v>27.5</v>
      </c>
      <c r="BJ30" s="18">
        <f t="shared" si="23"/>
        <v>27</v>
      </c>
      <c r="BK30" s="18">
        <f t="shared" si="23"/>
        <v>3</v>
      </c>
      <c r="BL30" s="32">
        <f t="shared" si="24"/>
        <v>1.4864864864864864</v>
      </c>
    </row>
    <row r="31" spans="2:64" x14ac:dyDescent="0.2">
      <c r="B31" s="1">
        <f t="shared" si="25"/>
        <v>27</v>
      </c>
      <c r="C31" s="71">
        <f t="shared" si="25"/>
        <v>24</v>
      </c>
      <c r="D31" s="311" t="s">
        <v>148</v>
      </c>
      <c r="E31" s="260">
        <v>62</v>
      </c>
      <c r="F31" s="25" t="str">
        <f>IFERROR(IF(VLOOKUP($D31,'Nov 25'!$D$8:$AI$43,31,0)=0,"",VLOOKUP($D31,'Nov 25'!$D$8:$AI$43,31,0)),"")</f>
        <v>AB</v>
      </c>
      <c r="G31" s="26" t="str">
        <f>IFERROR(IF(VLOOKUP($D31,'Nov 25'!$D$8:$AI$43,32,0)=0,"",VLOOKUP($D31,'Nov 25'!$D$8:$AI$43,32,0)),"")</f>
        <v>AL</v>
      </c>
      <c r="H31" s="24" t="s">
        <v>83</v>
      </c>
      <c r="I31" s="18" t="s">
        <v>83</v>
      </c>
      <c r="J31" s="18" t="s">
        <v>83</v>
      </c>
      <c r="K31" s="18" t="s">
        <v>83</v>
      </c>
      <c r="L31" s="16"/>
      <c r="M31" s="16"/>
      <c r="N31" s="18"/>
      <c r="O31" s="15" t="s">
        <v>29</v>
      </c>
      <c r="P31" s="18"/>
      <c r="Q31" s="18"/>
      <c r="R31" s="18"/>
      <c r="S31" s="17" t="s">
        <v>19</v>
      </c>
      <c r="T31" s="17"/>
      <c r="U31" s="18"/>
      <c r="V31" s="18"/>
      <c r="W31" s="18"/>
      <c r="X31" s="18"/>
      <c r="Y31" s="18" t="s">
        <v>29</v>
      </c>
      <c r="Z31" s="17"/>
      <c r="AA31" s="17"/>
      <c r="AB31" s="18" t="s">
        <v>29</v>
      </c>
      <c r="AC31" s="18"/>
      <c r="AD31" s="18"/>
      <c r="AE31" s="17"/>
      <c r="AF31" s="18"/>
      <c r="AG31" s="17" t="s">
        <v>29</v>
      </c>
      <c r="AH31" s="292"/>
      <c r="AI31" s="295"/>
      <c r="AJ31" s="307"/>
      <c r="AK31" s="307" t="s">
        <v>77</v>
      </c>
      <c r="AL31" s="292"/>
      <c r="AM31" s="307"/>
      <c r="AN31" s="292" t="s">
        <v>31</v>
      </c>
      <c r="AO31" s="292"/>
      <c r="AP31" s="307"/>
      <c r="AQ31" s="26"/>
      <c r="AS31" s="27">
        <f>IFERROR(VLOOKUP($D31,'Nov 25'!$D$8:$BD$51,49,0),0)</f>
        <v>13.5</v>
      </c>
      <c r="AT31" s="21">
        <f>IFERROR(VLOOKUP($D31,'Nov 25'!$D$8:$BD$51,50,0),0)</f>
        <v>18</v>
      </c>
      <c r="AU31" s="21">
        <f>IFERROR(VLOOKUP($D31,'Nov 25'!$D$8:$BD$51,51,0),0)</f>
        <v>17</v>
      </c>
      <c r="AV31" s="28">
        <f>IFERROR(VLOOKUP($D31,'Nov 25'!$D$8:$BD$51,52,0),0)</f>
        <v>4</v>
      </c>
      <c r="AW31" s="37">
        <f t="shared" si="12"/>
        <v>2</v>
      </c>
      <c r="AX31" s="23">
        <f t="shared" si="13"/>
        <v>1</v>
      </c>
      <c r="AY31" s="23">
        <f t="shared" si="14"/>
        <v>2</v>
      </c>
      <c r="AZ31" s="23">
        <f t="shared" si="15"/>
        <v>0</v>
      </c>
      <c r="BA31" s="23">
        <f t="shared" si="16"/>
        <v>1</v>
      </c>
      <c r="BB31" s="278">
        <f t="shared" si="17"/>
        <v>1</v>
      </c>
      <c r="BC31" s="25">
        <f t="shared" si="20"/>
        <v>5.5</v>
      </c>
      <c r="BD31" s="18">
        <f t="shared" si="21"/>
        <v>9</v>
      </c>
      <c r="BE31" s="22">
        <f t="shared" si="18"/>
        <v>9</v>
      </c>
      <c r="BF31" s="18">
        <f t="shared" si="19"/>
        <v>0</v>
      </c>
      <c r="BG31" s="32">
        <f t="shared" si="22"/>
        <v>1.6363636363636365</v>
      </c>
      <c r="BH31" s="24">
        <f t="shared" si="23"/>
        <v>19</v>
      </c>
      <c r="BI31" s="18">
        <f t="shared" si="23"/>
        <v>27</v>
      </c>
      <c r="BJ31" s="18">
        <f t="shared" si="23"/>
        <v>26</v>
      </c>
      <c r="BK31" s="18">
        <f t="shared" si="23"/>
        <v>4</v>
      </c>
      <c r="BL31" s="32">
        <f t="shared" si="24"/>
        <v>1.4210526315789473</v>
      </c>
    </row>
    <row r="32" spans="2:64" x14ac:dyDescent="0.2">
      <c r="B32" s="1">
        <f t="shared" si="25"/>
        <v>28</v>
      </c>
      <c r="C32" s="71">
        <f t="shared" si="25"/>
        <v>25</v>
      </c>
      <c r="D32" s="311" t="s">
        <v>141</v>
      </c>
      <c r="E32" s="260">
        <v>62</v>
      </c>
      <c r="F32" s="25" t="str">
        <f>IFERROR(IF(VLOOKUP($D32,'Nov 25'!$D$8:$AI$43,31,0)=0,"",VLOOKUP($D32,'Nov 25'!$D$8:$AI$43,31,0)),"")</f>
        <v/>
      </c>
      <c r="G32" s="26" t="str">
        <f>IFERROR(IF(VLOOKUP($D32,'Nov 25'!$D$8:$AI$43,32,0)=0,"",VLOOKUP($D32,'Nov 25'!$D$8:$AI$43,32,0)),"")</f>
        <v/>
      </c>
      <c r="H32" s="24" t="s">
        <v>29</v>
      </c>
      <c r="I32" s="18"/>
      <c r="J32" s="18"/>
      <c r="K32" s="18" t="s">
        <v>31</v>
      </c>
      <c r="L32" s="17"/>
      <c r="M32" s="17"/>
      <c r="N32" s="18"/>
      <c r="O32" s="18" t="s">
        <v>77</v>
      </c>
      <c r="P32" s="18"/>
      <c r="Q32" s="18"/>
      <c r="R32" s="18" t="s">
        <v>29</v>
      </c>
      <c r="S32" s="17"/>
      <c r="T32" s="17"/>
      <c r="U32" s="18"/>
      <c r="V32" s="18"/>
      <c r="W32" s="18"/>
      <c r="X32" s="18"/>
      <c r="Y32" s="15"/>
      <c r="Z32" s="17" t="s">
        <v>29</v>
      </c>
      <c r="AA32" s="17"/>
      <c r="AB32" s="18"/>
      <c r="AC32" s="18" t="s">
        <v>30</v>
      </c>
      <c r="AD32" s="18"/>
      <c r="AE32" s="17"/>
      <c r="AF32" s="18" t="s">
        <v>83</v>
      </c>
      <c r="AG32" s="16"/>
      <c r="AH32" s="294"/>
      <c r="AI32" s="307" t="s">
        <v>83</v>
      </c>
      <c r="AJ32" s="307" t="s">
        <v>83</v>
      </c>
      <c r="AK32" s="307" t="s">
        <v>83</v>
      </c>
      <c r="AL32" s="292"/>
      <c r="AM32" s="307" t="s">
        <v>83</v>
      </c>
      <c r="AN32" s="292"/>
      <c r="AO32" s="292"/>
      <c r="AP32" s="307"/>
      <c r="AQ32" s="26"/>
      <c r="AS32" s="27">
        <f>IFERROR(VLOOKUP($D32,'Nov 25'!$D$8:$BD$51,49,0),0)</f>
        <v>13</v>
      </c>
      <c r="AT32" s="21">
        <f>IFERROR(VLOOKUP($D32,'Nov 25'!$D$8:$BD$51,50,0),0)</f>
        <v>20</v>
      </c>
      <c r="AU32" s="21">
        <f>IFERROR(VLOOKUP($D32,'Nov 25'!$D$8:$BD$51,51,0),0)</f>
        <v>18</v>
      </c>
      <c r="AV32" s="28">
        <f>IFERROR(VLOOKUP($D32,'Nov 25'!$D$8:$BD$51,52,0),0)</f>
        <v>2</v>
      </c>
      <c r="AW32" s="37">
        <f t="shared" si="12"/>
        <v>2</v>
      </c>
      <c r="AX32" s="23">
        <f t="shared" si="13"/>
        <v>2</v>
      </c>
      <c r="AY32" s="23">
        <f t="shared" si="14"/>
        <v>1</v>
      </c>
      <c r="AZ32" s="23">
        <f t="shared" si="15"/>
        <v>0</v>
      </c>
      <c r="BA32" s="23">
        <f t="shared" si="16"/>
        <v>0</v>
      </c>
      <c r="BB32" s="278">
        <f t="shared" si="17"/>
        <v>1</v>
      </c>
      <c r="BC32" s="25">
        <f t="shared" si="20"/>
        <v>5</v>
      </c>
      <c r="BD32" s="18">
        <f t="shared" si="21"/>
        <v>7.5</v>
      </c>
      <c r="BE32" s="22">
        <f t="shared" si="18"/>
        <v>11</v>
      </c>
      <c r="BF32" s="18">
        <f t="shared" si="19"/>
        <v>0</v>
      </c>
      <c r="BG32" s="32">
        <f t="shared" si="22"/>
        <v>1.5</v>
      </c>
      <c r="BH32" s="24">
        <f t="shared" si="23"/>
        <v>18</v>
      </c>
      <c r="BI32" s="18">
        <f t="shared" si="23"/>
        <v>27.5</v>
      </c>
      <c r="BJ32" s="18">
        <f t="shared" si="23"/>
        <v>29</v>
      </c>
      <c r="BK32" s="18">
        <f t="shared" si="23"/>
        <v>2</v>
      </c>
      <c r="BL32" s="32">
        <f t="shared" si="24"/>
        <v>1.5277777777777777</v>
      </c>
    </row>
    <row r="33" spans="2:64" x14ac:dyDescent="0.2">
      <c r="B33" s="1">
        <f t="shared" si="25"/>
        <v>29</v>
      </c>
      <c r="C33" s="71">
        <f t="shared" si="25"/>
        <v>26</v>
      </c>
      <c r="D33" s="311" t="s">
        <v>202</v>
      </c>
      <c r="E33" s="260">
        <v>62</v>
      </c>
      <c r="F33" s="25" t="str">
        <f>IFERROR(IF(VLOOKUP($D33,'Nov 25'!$D$8:$AI$43,31,0)=0,"",VLOOKUP($D33,'Nov 25'!$D$8:$AI$43,31,0)),"")</f>
        <v>AB</v>
      </c>
      <c r="G33" s="26" t="str">
        <f>IFERROR(IF(VLOOKUP($D33,'Nov 25'!$D$8:$AI$43,32,0)=0,"",VLOOKUP($D33,'Nov 25'!$D$8:$AI$43,32,0)),"")</f>
        <v>HO5</v>
      </c>
      <c r="H33" s="24"/>
      <c r="I33" s="18"/>
      <c r="J33" s="18"/>
      <c r="K33" s="18"/>
      <c r="L33" s="16"/>
      <c r="M33" s="16"/>
      <c r="N33" s="18" t="s">
        <v>77</v>
      </c>
      <c r="O33" s="18"/>
      <c r="P33" s="18"/>
      <c r="Q33" s="18"/>
      <c r="R33" s="18"/>
      <c r="S33" s="17" t="s">
        <v>29</v>
      </c>
      <c r="T33" s="17"/>
      <c r="U33" s="18"/>
      <c r="V33" s="18"/>
      <c r="W33" s="18"/>
      <c r="X33" s="15" t="s">
        <v>32</v>
      </c>
      <c r="Y33" s="18"/>
      <c r="Z33" s="17"/>
      <c r="AA33" s="17" t="s">
        <v>32</v>
      </c>
      <c r="AB33" s="18"/>
      <c r="AC33" s="18"/>
      <c r="AD33" s="18"/>
      <c r="AE33" s="15" t="s">
        <v>19</v>
      </c>
      <c r="AF33" s="18"/>
      <c r="AG33" s="17"/>
      <c r="AH33" s="292" t="s">
        <v>81</v>
      </c>
      <c r="AI33" s="307"/>
      <c r="AJ33" s="307"/>
      <c r="AK33" s="307"/>
      <c r="AL33" s="292"/>
      <c r="AM33" s="307" t="s">
        <v>29</v>
      </c>
      <c r="AN33" s="292"/>
      <c r="AO33" s="292"/>
      <c r="AP33" s="307"/>
      <c r="AQ33" s="26" t="s">
        <v>29</v>
      </c>
      <c r="AS33" s="27">
        <f>IFERROR(VLOOKUP($D33,'Nov 25'!$D$8:$BD$51,49,0),0)</f>
        <v>4</v>
      </c>
      <c r="AT33" s="21">
        <f>IFERROR(VLOOKUP($D33,'Nov 25'!$D$8:$BD$51,50,0),0)</f>
        <v>5.5</v>
      </c>
      <c r="AU33" s="21">
        <f>IFERROR(VLOOKUP($D33,'Nov 25'!$D$8:$BD$51,51,0),0)</f>
        <v>11</v>
      </c>
      <c r="AV33" s="28">
        <f>IFERROR(VLOOKUP($D33,'Nov 25'!$D$8:$BD$51,52,0),0)</f>
        <v>2</v>
      </c>
      <c r="AW33" s="37">
        <f t="shared" si="12"/>
        <v>2</v>
      </c>
      <c r="AX33" s="23">
        <f t="shared" si="13"/>
        <v>1</v>
      </c>
      <c r="AY33" s="23">
        <f t="shared" si="14"/>
        <v>1</v>
      </c>
      <c r="AZ33" s="23">
        <f t="shared" si="15"/>
        <v>1</v>
      </c>
      <c r="BA33" s="23">
        <f t="shared" si="16"/>
        <v>1</v>
      </c>
      <c r="BB33" s="278">
        <f t="shared" si="17"/>
        <v>1</v>
      </c>
      <c r="BC33" s="25">
        <f t="shared" si="20"/>
        <v>5.5</v>
      </c>
      <c r="BD33" s="18">
        <f t="shared" si="21"/>
        <v>8.5</v>
      </c>
      <c r="BE33" s="22">
        <f t="shared" si="18"/>
        <v>8</v>
      </c>
      <c r="BF33" s="18">
        <f t="shared" si="19"/>
        <v>1</v>
      </c>
      <c r="BG33" s="32">
        <f t="shared" si="22"/>
        <v>1.5454545454545454</v>
      </c>
      <c r="BH33" s="24">
        <f t="shared" si="23"/>
        <v>9.5</v>
      </c>
      <c r="BI33" s="18">
        <f t="shared" si="23"/>
        <v>14</v>
      </c>
      <c r="BJ33" s="18">
        <f t="shared" si="23"/>
        <v>19</v>
      </c>
      <c r="BK33" s="18">
        <f t="shared" si="23"/>
        <v>3</v>
      </c>
      <c r="BL33" s="32">
        <f t="shared" si="24"/>
        <v>1.4736842105263157</v>
      </c>
    </row>
    <row r="34" spans="2:64" x14ac:dyDescent="0.2">
      <c r="B34" s="1">
        <f t="shared" si="25"/>
        <v>30</v>
      </c>
      <c r="C34" s="71">
        <f t="shared" si="25"/>
        <v>27</v>
      </c>
      <c r="D34" s="311" t="s">
        <v>199</v>
      </c>
      <c r="E34" s="260">
        <v>62</v>
      </c>
      <c r="F34" s="25" t="str">
        <f>IFERROR(IF(VLOOKUP($D34,'Nov 25'!$D$8:$AI$43,31,0)=0,"",VLOOKUP($D34,'Nov 25'!$D$8:$AI$43,31,0)),"")</f>
        <v>WR1</v>
      </c>
      <c r="G34" s="26" t="str">
        <f>IFERROR(IF(VLOOKUP($D34,'Nov 25'!$D$8:$AI$43,32,0)=0,"",VLOOKUP($D34,'Nov 25'!$D$8:$AI$43,32,0)),"")</f>
        <v>HO2</v>
      </c>
      <c r="H34" s="24"/>
      <c r="I34" s="16"/>
      <c r="J34" s="18"/>
      <c r="K34" s="18"/>
      <c r="L34" s="17"/>
      <c r="M34" s="17" t="s">
        <v>81</v>
      </c>
      <c r="N34" s="18" t="s">
        <v>29</v>
      </c>
      <c r="O34" s="18"/>
      <c r="P34" s="18"/>
      <c r="Q34" s="18"/>
      <c r="R34" s="18"/>
      <c r="S34" s="17"/>
      <c r="T34" s="15" t="s">
        <v>29</v>
      </c>
      <c r="U34" s="18"/>
      <c r="V34" s="18"/>
      <c r="W34" s="18"/>
      <c r="X34" s="15" t="s">
        <v>31</v>
      </c>
      <c r="Y34" s="18"/>
      <c r="Z34" s="16"/>
      <c r="AA34" s="17"/>
      <c r="AB34" s="18" t="s">
        <v>32</v>
      </c>
      <c r="AC34" s="18"/>
      <c r="AD34" s="18"/>
      <c r="AE34" s="17"/>
      <c r="AF34" s="18"/>
      <c r="AG34" s="17" t="s">
        <v>31</v>
      </c>
      <c r="AH34" s="292"/>
      <c r="AI34" s="307"/>
      <c r="AJ34" s="307"/>
      <c r="AK34" s="307"/>
      <c r="AL34" s="292" t="s">
        <v>19</v>
      </c>
      <c r="AM34" s="307"/>
      <c r="AN34" s="292"/>
      <c r="AO34" s="292" t="s">
        <v>81</v>
      </c>
      <c r="AP34" s="307"/>
      <c r="AQ34" s="26" t="s">
        <v>77</v>
      </c>
      <c r="AS34" s="27">
        <f>IFERROR(VLOOKUP($D34,'Nov 25'!$D$8:$BD$51,49,0),0)</f>
        <v>4</v>
      </c>
      <c r="AT34" s="21">
        <f>IFERROR(VLOOKUP($D34,'Nov 25'!$D$8:$BD$51,50,0),0)</f>
        <v>6.5</v>
      </c>
      <c r="AU34" s="21">
        <f>IFERROR(VLOOKUP($D34,'Nov 25'!$D$8:$BD$51,51,0),0)</f>
        <v>14</v>
      </c>
      <c r="AV34" s="28">
        <f>IFERROR(VLOOKUP($D34,'Nov 25'!$D$8:$BD$51,52,0),0)</f>
        <v>1</v>
      </c>
      <c r="AW34" s="37">
        <f t="shared" si="12"/>
        <v>3</v>
      </c>
      <c r="AX34" s="23">
        <f t="shared" si="13"/>
        <v>0</v>
      </c>
      <c r="AY34" s="23">
        <f t="shared" si="14"/>
        <v>1</v>
      </c>
      <c r="AZ34" s="23">
        <f t="shared" si="15"/>
        <v>1</v>
      </c>
      <c r="BA34" s="23">
        <f t="shared" si="16"/>
        <v>1</v>
      </c>
      <c r="BB34" s="278">
        <f t="shared" si="17"/>
        <v>1</v>
      </c>
      <c r="BC34" s="25">
        <f t="shared" si="20"/>
        <v>5.5</v>
      </c>
      <c r="BD34" s="18">
        <f t="shared" si="21"/>
        <v>8</v>
      </c>
      <c r="BE34" s="22">
        <f t="shared" si="18"/>
        <v>7</v>
      </c>
      <c r="BF34" s="18">
        <f t="shared" si="19"/>
        <v>2</v>
      </c>
      <c r="BG34" s="32">
        <f t="shared" si="22"/>
        <v>1.4545454545454546</v>
      </c>
      <c r="BH34" s="24">
        <f t="shared" si="23"/>
        <v>9.5</v>
      </c>
      <c r="BI34" s="18">
        <f t="shared" si="23"/>
        <v>14.5</v>
      </c>
      <c r="BJ34" s="18">
        <f t="shared" si="23"/>
        <v>21</v>
      </c>
      <c r="BK34" s="18">
        <f t="shared" si="23"/>
        <v>3</v>
      </c>
      <c r="BL34" s="32">
        <f t="shared" si="24"/>
        <v>1.5263157894736843</v>
      </c>
    </row>
    <row r="35" spans="2:64" x14ac:dyDescent="0.2">
      <c r="B35" s="1">
        <f t="shared" si="25"/>
        <v>31</v>
      </c>
      <c r="C35" s="71">
        <f t="shared" si="25"/>
        <v>28</v>
      </c>
      <c r="D35" s="311" t="s">
        <v>149</v>
      </c>
      <c r="E35" s="260">
        <v>75</v>
      </c>
      <c r="F35" s="25" t="str">
        <f>IFERROR(IF(VLOOKUP($D35,'Nov 25'!$D$8:$AI$43,31,0)=0,"",VLOOKUP($D35,'Nov 25'!$D$8:$AI$43,31,0)),"")</f>
        <v/>
      </c>
      <c r="G35" s="26" t="str">
        <f>IFERROR(IF(VLOOKUP($D35,'Nov 25'!$D$8:$AI$43,32,0)=0,"",VLOOKUP($D35,'Nov 25'!$D$8:$AI$43,32,0)),"")</f>
        <v/>
      </c>
      <c r="H35" s="24" t="s">
        <v>77</v>
      </c>
      <c r="I35" s="18"/>
      <c r="J35" s="18"/>
      <c r="K35" s="18"/>
      <c r="L35" s="17"/>
      <c r="M35" s="17" t="s">
        <v>19</v>
      </c>
      <c r="N35" s="18"/>
      <c r="O35" s="18"/>
      <c r="P35" s="15" t="s">
        <v>29</v>
      </c>
      <c r="Q35" s="18"/>
      <c r="R35" s="18" t="s">
        <v>83</v>
      </c>
      <c r="S35" s="17" t="s">
        <v>207</v>
      </c>
      <c r="T35" s="17" t="s">
        <v>207</v>
      </c>
      <c r="U35" s="18" t="s">
        <v>83</v>
      </c>
      <c r="V35" s="18" t="s">
        <v>83</v>
      </c>
      <c r="W35" s="18" t="s">
        <v>83</v>
      </c>
      <c r="X35" s="18" t="s">
        <v>83</v>
      </c>
      <c r="Y35" s="18" t="s">
        <v>83</v>
      </c>
      <c r="Z35" s="16"/>
      <c r="AA35" s="16"/>
      <c r="AB35" s="18" t="s">
        <v>83</v>
      </c>
      <c r="AC35" s="18" t="s">
        <v>83</v>
      </c>
      <c r="AD35" s="18"/>
      <c r="AE35" s="17"/>
      <c r="AF35" s="15" t="s">
        <v>29</v>
      </c>
      <c r="AG35" s="17"/>
      <c r="AH35" s="292"/>
      <c r="AI35" s="307" t="s">
        <v>32</v>
      </c>
      <c r="AJ35" s="307"/>
      <c r="AK35" s="307"/>
      <c r="AL35" s="292" t="s">
        <v>81</v>
      </c>
      <c r="AM35" s="307"/>
      <c r="AN35" s="292" t="s">
        <v>29</v>
      </c>
      <c r="AO35" s="292"/>
      <c r="AP35" s="307"/>
      <c r="AQ35" s="26"/>
      <c r="AS35" s="27">
        <f>IFERROR(VLOOKUP($D35,'Nov 25'!$D$8:$BD$51,49,0),0)</f>
        <v>14</v>
      </c>
      <c r="AT35" s="21">
        <f>IFERROR(VLOOKUP($D35,'Nov 25'!$D$8:$BD$51,50,0),0)</f>
        <v>20.5</v>
      </c>
      <c r="AU35" s="21">
        <f>IFERROR(VLOOKUP($D35,'Nov 25'!$D$8:$BD$51,51,0),0)</f>
        <v>22</v>
      </c>
      <c r="AV35" s="28">
        <f>IFERROR(VLOOKUP($D35,'Nov 25'!$D$8:$BD$51,52,0),0)</f>
        <v>1</v>
      </c>
      <c r="AW35" s="37">
        <f t="shared" si="12"/>
        <v>2</v>
      </c>
      <c r="AX35" s="23">
        <f t="shared" si="13"/>
        <v>1</v>
      </c>
      <c r="AY35" s="23">
        <f t="shared" si="14"/>
        <v>1</v>
      </c>
      <c r="AZ35" s="23">
        <f t="shared" si="15"/>
        <v>0</v>
      </c>
      <c r="BA35" s="23">
        <f t="shared" si="16"/>
        <v>1</v>
      </c>
      <c r="BB35" s="278">
        <f t="shared" si="17"/>
        <v>1</v>
      </c>
      <c r="BC35" s="25">
        <f t="shared" si="20"/>
        <v>4.5</v>
      </c>
      <c r="BD35" s="18">
        <f t="shared" si="21"/>
        <v>6.5</v>
      </c>
      <c r="BE35" s="22">
        <f t="shared" si="18"/>
        <v>7</v>
      </c>
      <c r="BF35" s="18">
        <f t="shared" si="19"/>
        <v>1</v>
      </c>
      <c r="BG35" s="32">
        <f t="shared" si="22"/>
        <v>1.4444444444444444</v>
      </c>
      <c r="BH35" s="24">
        <f t="shared" si="23"/>
        <v>18.5</v>
      </c>
      <c r="BI35" s="18">
        <f t="shared" si="23"/>
        <v>27</v>
      </c>
      <c r="BJ35" s="18">
        <f t="shared" si="23"/>
        <v>29</v>
      </c>
      <c r="BK35" s="18">
        <f t="shared" si="23"/>
        <v>2</v>
      </c>
      <c r="BL35" s="32">
        <f t="shared" si="24"/>
        <v>1.4594594594594594</v>
      </c>
    </row>
    <row r="36" spans="2:64" x14ac:dyDescent="0.2">
      <c r="B36" s="1">
        <f t="shared" si="25"/>
        <v>32</v>
      </c>
      <c r="C36" s="71">
        <f t="shared" si="25"/>
        <v>29</v>
      </c>
      <c r="D36" s="311" t="s">
        <v>146</v>
      </c>
      <c r="E36" s="260">
        <v>75</v>
      </c>
      <c r="F36" s="25" t="str">
        <f>IFERROR(IF(VLOOKUP($D36,'Nov 25'!$D$8:$AI$43,31,0)=0,"",VLOOKUP($D36,'Nov 25'!$D$8:$AI$43,31,0)),"")</f>
        <v/>
      </c>
      <c r="G36" s="26" t="str">
        <f>IFERROR(IF(VLOOKUP($D36,'Nov 25'!$D$8:$AI$43,32,0)=0,"",VLOOKUP($D36,'Nov 25'!$D$8:$AI$43,32,0)),"")</f>
        <v/>
      </c>
      <c r="H36" s="24"/>
      <c r="I36" s="15" t="s">
        <v>29</v>
      </c>
      <c r="J36" s="18"/>
      <c r="K36" s="18"/>
      <c r="L36" s="16"/>
      <c r="M36" s="17"/>
      <c r="N36" s="18" t="s">
        <v>83</v>
      </c>
      <c r="O36" s="18" t="s">
        <v>83</v>
      </c>
      <c r="P36" s="18" t="s">
        <v>83</v>
      </c>
      <c r="Q36" s="18" t="s">
        <v>83</v>
      </c>
      <c r="R36" s="18"/>
      <c r="S36" s="16"/>
      <c r="T36" s="17"/>
      <c r="U36" s="18"/>
      <c r="V36" s="18"/>
      <c r="W36" s="18" t="s">
        <v>31</v>
      </c>
      <c r="X36" s="18"/>
      <c r="Y36" s="18"/>
      <c r="Z36" s="17" t="s">
        <v>77</v>
      </c>
      <c r="AA36" s="17"/>
      <c r="AB36" s="18"/>
      <c r="AC36" s="18"/>
      <c r="AD36" s="15" t="s">
        <v>31</v>
      </c>
      <c r="AE36" s="17"/>
      <c r="AF36" s="18"/>
      <c r="AG36" s="17" t="s">
        <v>81</v>
      </c>
      <c r="AH36" s="292"/>
      <c r="AI36" s="307"/>
      <c r="AJ36" s="307"/>
      <c r="AK36" s="307"/>
      <c r="AL36" s="292" t="s">
        <v>31</v>
      </c>
      <c r="AM36" s="307"/>
      <c r="AN36" s="292"/>
      <c r="AO36" s="292" t="s">
        <v>29</v>
      </c>
      <c r="AP36" s="307"/>
      <c r="AQ36" s="26"/>
      <c r="AS36" s="27">
        <f>IFERROR(VLOOKUP($D36,'Nov 25'!$D$8:$BD$51,49,0),0)</f>
        <v>13.5</v>
      </c>
      <c r="AT36" s="21">
        <f>IFERROR(VLOOKUP($D36,'Nov 25'!$D$8:$BD$51,50,0),0)</f>
        <v>19</v>
      </c>
      <c r="AU36" s="21">
        <f>IFERROR(VLOOKUP($D36,'Nov 25'!$D$8:$BD$51,51,0),0)</f>
        <v>18</v>
      </c>
      <c r="AV36" s="28">
        <f>IFERROR(VLOOKUP($D36,'Nov 25'!$D$8:$BD$51,52,0),0)</f>
        <v>2</v>
      </c>
      <c r="AW36" s="37">
        <f t="shared" si="12"/>
        <v>2</v>
      </c>
      <c r="AX36" s="23">
        <f t="shared" si="13"/>
        <v>1</v>
      </c>
      <c r="AY36" s="23">
        <f t="shared" si="14"/>
        <v>1</v>
      </c>
      <c r="AZ36" s="23">
        <f t="shared" si="15"/>
        <v>1</v>
      </c>
      <c r="BA36" s="23">
        <f t="shared" si="16"/>
        <v>0</v>
      </c>
      <c r="BB36" s="278">
        <f t="shared" si="17"/>
        <v>1</v>
      </c>
      <c r="BC36" s="25">
        <f t="shared" si="20"/>
        <v>5</v>
      </c>
      <c r="BD36" s="18">
        <f t="shared" si="21"/>
        <v>8</v>
      </c>
      <c r="BE36" s="22">
        <f t="shared" si="18"/>
        <v>8</v>
      </c>
      <c r="BF36" s="18">
        <f t="shared" si="19"/>
        <v>1</v>
      </c>
      <c r="BG36" s="32">
        <f t="shared" si="22"/>
        <v>1.6</v>
      </c>
      <c r="BH36" s="24">
        <f t="shared" si="23"/>
        <v>18.5</v>
      </c>
      <c r="BI36" s="18">
        <f t="shared" si="23"/>
        <v>27</v>
      </c>
      <c r="BJ36" s="18">
        <f t="shared" si="23"/>
        <v>26</v>
      </c>
      <c r="BK36" s="18">
        <f t="shared" si="23"/>
        <v>3</v>
      </c>
      <c r="BL36" s="32">
        <f t="shared" si="24"/>
        <v>1.4594594594594594</v>
      </c>
    </row>
    <row r="37" spans="2:64" x14ac:dyDescent="0.2">
      <c r="B37" s="1">
        <f t="shared" si="25"/>
        <v>33</v>
      </c>
      <c r="C37" s="71">
        <f t="shared" si="25"/>
        <v>30</v>
      </c>
      <c r="D37" s="311" t="s">
        <v>155</v>
      </c>
      <c r="E37" s="260" t="s">
        <v>72</v>
      </c>
      <c r="F37" s="25" t="str">
        <f>IFERROR(IF(VLOOKUP($D37,'Nov 25'!$D$8:$AI$43,31,0)=0,"",VLOOKUP($D37,'Nov 25'!$D$8:$AI$43,31,0)),"")</f>
        <v/>
      </c>
      <c r="G37" s="26" t="str">
        <f>IFERROR(IF(VLOOKUP($D37,'Nov 25'!$D$8:$AI$43,32,0)=0,"",VLOOKUP($D37,'Nov 25'!$D$8:$AI$43,32,0)),"")</f>
        <v/>
      </c>
      <c r="H37" s="24"/>
      <c r="I37" s="18"/>
      <c r="J37" s="15" t="s">
        <v>34</v>
      </c>
      <c r="K37" s="18"/>
      <c r="L37" s="16"/>
      <c r="M37" s="17"/>
      <c r="N37" s="18"/>
      <c r="O37" s="18"/>
      <c r="P37" s="18"/>
      <c r="Q37" s="15" t="s">
        <v>29</v>
      </c>
      <c r="R37" s="18"/>
      <c r="S37" s="17"/>
      <c r="T37" s="17" t="s">
        <v>77</v>
      </c>
      <c r="U37" s="18"/>
      <c r="V37" s="18" t="s">
        <v>83</v>
      </c>
      <c r="W37" s="18"/>
      <c r="X37" s="18" t="s">
        <v>83</v>
      </c>
      <c r="Y37" s="18"/>
      <c r="Z37" s="17" t="s">
        <v>32</v>
      </c>
      <c r="AA37" s="17"/>
      <c r="AB37" s="18"/>
      <c r="AC37" s="18"/>
      <c r="AD37" s="18"/>
      <c r="AE37" s="17"/>
      <c r="AF37" s="18"/>
      <c r="AG37" s="17"/>
      <c r="AH37" s="292" t="s">
        <v>21</v>
      </c>
      <c r="AI37" s="307"/>
      <c r="AJ37" s="307"/>
      <c r="AK37" s="307" t="s">
        <v>30</v>
      </c>
      <c r="AL37" s="292"/>
      <c r="AM37" s="307"/>
      <c r="AN37" s="292" t="s">
        <v>19</v>
      </c>
      <c r="AO37" s="292"/>
      <c r="AP37" s="307"/>
      <c r="AQ37" s="73"/>
      <c r="AS37" s="27">
        <f>IFERROR(VLOOKUP($D37,'Nov 25'!$D$8:$BD$51,49,0),0)</f>
        <v>13.5</v>
      </c>
      <c r="AT37" s="21">
        <f>IFERROR(VLOOKUP($D37,'Nov 25'!$D$8:$BD$51,50,0),0)</f>
        <v>20.5</v>
      </c>
      <c r="AU37" s="21">
        <f>IFERROR(VLOOKUP($D37,'Nov 25'!$D$8:$BD$51,51,0),0)</f>
        <v>14</v>
      </c>
      <c r="AV37" s="28">
        <f>IFERROR(VLOOKUP($D37,'Nov 25'!$D$8:$BD$51,52,0),0)</f>
        <v>2</v>
      </c>
      <c r="AW37" s="37">
        <f t="shared" si="12"/>
        <v>2</v>
      </c>
      <c r="AX37" s="23">
        <f t="shared" si="13"/>
        <v>1</v>
      </c>
      <c r="AY37" s="23">
        <f t="shared" si="14"/>
        <v>1</v>
      </c>
      <c r="AZ37" s="23">
        <f t="shared" si="15"/>
        <v>0</v>
      </c>
      <c r="BA37" s="23">
        <f t="shared" si="16"/>
        <v>1</v>
      </c>
      <c r="BB37" s="278">
        <f t="shared" si="17"/>
        <v>1</v>
      </c>
      <c r="BC37" s="25">
        <f t="shared" si="20"/>
        <v>4.5</v>
      </c>
      <c r="BD37" s="18">
        <f t="shared" si="21"/>
        <v>6.5</v>
      </c>
      <c r="BE37" s="22">
        <f t="shared" si="18"/>
        <v>8</v>
      </c>
      <c r="BF37" s="18">
        <f t="shared" si="19"/>
        <v>1</v>
      </c>
      <c r="BG37" s="32">
        <f t="shared" si="22"/>
        <v>1.4444444444444444</v>
      </c>
      <c r="BH37" s="24">
        <f t="shared" si="23"/>
        <v>18</v>
      </c>
      <c r="BI37" s="18">
        <f t="shared" si="23"/>
        <v>27</v>
      </c>
      <c r="BJ37" s="18">
        <f t="shared" si="23"/>
        <v>22</v>
      </c>
      <c r="BK37" s="18">
        <f t="shared" si="23"/>
        <v>3</v>
      </c>
      <c r="BL37" s="32">
        <f t="shared" si="24"/>
        <v>1.5</v>
      </c>
    </row>
    <row r="38" spans="2:64" x14ac:dyDescent="0.2">
      <c r="B38" s="1">
        <f t="shared" si="25"/>
        <v>34</v>
      </c>
      <c r="C38" s="71">
        <f t="shared" si="25"/>
        <v>31</v>
      </c>
      <c r="D38" s="311" t="s">
        <v>153</v>
      </c>
      <c r="E38" s="260" t="s">
        <v>73</v>
      </c>
      <c r="F38" s="25" t="str">
        <f>IFERROR(IF(VLOOKUP($D38,'Nov 25'!$D$8:$AI$43,31,0)=0,"",VLOOKUP($D38,'Nov 25'!$D$8:$AI$43,31,0)),"")</f>
        <v/>
      </c>
      <c r="G38" s="26" t="str">
        <f>IFERROR(IF(VLOOKUP($D38,'Nov 25'!$D$8:$AI$43,32,0)=0,"",VLOOKUP($D38,'Nov 25'!$D$8:$AI$43,32,0)),"")</f>
        <v>AL</v>
      </c>
      <c r="H38" s="24" t="s">
        <v>83</v>
      </c>
      <c r="I38" s="18"/>
      <c r="J38" s="18"/>
      <c r="K38" s="18"/>
      <c r="L38" s="17"/>
      <c r="M38" s="17" t="s">
        <v>21</v>
      </c>
      <c r="N38" s="18"/>
      <c r="O38" s="18" t="s">
        <v>31</v>
      </c>
      <c r="P38" s="18"/>
      <c r="Q38" s="18"/>
      <c r="R38" s="18"/>
      <c r="S38" s="17"/>
      <c r="T38" s="17" t="s">
        <v>20</v>
      </c>
      <c r="U38" s="18"/>
      <c r="V38" s="18"/>
      <c r="W38" s="18"/>
      <c r="X38" s="15" t="s">
        <v>29</v>
      </c>
      <c r="Y38" s="18"/>
      <c r="Z38" s="16"/>
      <c r="AA38" s="16"/>
      <c r="AB38" s="18"/>
      <c r="AC38" s="15"/>
      <c r="AD38" s="18"/>
      <c r="AE38" s="17" t="s">
        <v>81</v>
      </c>
      <c r="AF38" s="18" t="s">
        <v>32</v>
      </c>
      <c r="AG38" s="17"/>
      <c r="AH38" s="292"/>
      <c r="AI38" s="307" t="s">
        <v>77</v>
      </c>
      <c r="AJ38" s="307"/>
      <c r="AK38" s="307"/>
      <c r="AL38" s="292"/>
      <c r="AM38" s="307"/>
      <c r="AN38" s="292" t="s">
        <v>32</v>
      </c>
      <c r="AO38" s="292"/>
      <c r="AP38" s="307"/>
      <c r="AQ38" s="26" t="s">
        <v>83</v>
      </c>
      <c r="AS38" s="27">
        <f>IFERROR(VLOOKUP($D38,'Nov 25'!$D$8:$BD$51,49,0),0)</f>
        <v>13</v>
      </c>
      <c r="AT38" s="21">
        <f>IFERROR(VLOOKUP($D38,'Nov 25'!$D$8:$BD$51,50,0),0)</f>
        <v>21</v>
      </c>
      <c r="AU38" s="21">
        <f>IFERROR(VLOOKUP($D38,'Nov 25'!$D$8:$BD$51,51,0),0)</f>
        <v>21</v>
      </c>
      <c r="AV38" s="28">
        <f>IFERROR(VLOOKUP($D38,'Nov 25'!$D$8:$BD$51,52,0),0)</f>
        <v>0</v>
      </c>
      <c r="AW38" s="37">
        <f t="shared" si="12"/>
        <v>2</v>
      </c>
      <c r="AX38" s="23">
        <f t="shared" si="13"/>
        <v>1</v>
      </c>
      <c r="AY38" s="23">
        <f t="shared" si="14"/>
        <v>1</v>
      </c>
      <c r="AZ38" s="23">
        <f t="shared" si="15"/>
        <v>0</v>
      </c>
      <c r="BA38" s="23">
        <f t="shared" si="16"/>
        <v>0</v>
      </c>
      <c r="BB38" s="278">
        <f t="shared" si="17"/>
        <v>1</v>
      </c>
      <c r="BC38" s="25">
        <f t="shared" si="20"/>
        <v>4</v>
      </c>
      <c r="BD38" s="18">
        <f t="shared" si="21"/>
        <v>6</v>
      </c>
      <c r="BE38" s="22">
        <f t="shared" si="18"/>
        <v>8</v>
      </c>
      <c r="BF38" s="18">
        <f t="shared" si="19"/>
        <v>3</v>
      </c>
      <c r="BG38" s="32">
        <f t="shared" si="22"/>
        <v>1.5</v>
      </c>
      <c r="BH38" s="24">
        <f t="shared" si="23"/>
        <v>17</v>
      </c>
      <c r="BI38" s="18">
        <f t="shared" si="23"/>
        <v>27</v>
      </c>
      <c r="BJ38" s="18">
        <f t="shared" si="23"/>
        <v>29</v>
      </c>
      <c r="BK38" s="18">
        <f t="shared" si="23"/>
        <v>3</v>
      </c>
      <c r="BL38" s="32">
        <f t="shared" si="24"/>
        <v>1.588235294117647</v>
      </c>
    </row>
    <row r="39" spans="2:64" x14ac:dyDescent="0.2">
      <c r="B39" s="1">
        <f>B38+1</f>
        <v>35</v>
      </c>
      <c r="C39" s="71">
        <f>C38+1</f>
        <v>32</v>
      </c>
      <c r="D39" s="311" t="s">
        <v>157</v>
      </c>
      <c r="E39" s="260" t="s">
        <v>73</v>
      </c>
      <c r="F39" s="25" t="str">
        <f>IFERROR(IF(VLOOKUP($D39,'Nov 25'!$D$8:$AI$43,31,0)=0,"",VLOOKUP($D39,'Nov 25'!$D$8:$AI$43,31,0)),"")</f>
        <v/>
      </c>
      <c r="G39" s="26" t="str">
        <f>IFERROR(IF(VLOOKUP($D39,'Nov 25'!$D$8:$AI$43,32,0)=0,"",VLOOKUP($D39,'Nov 25'!$D$8:$AI$43,32,0)),"")</f>
        <v/>
      </c>
      <c r="H39" s="24"/>
      <c r="I39" s="18"/>
      <c r="J39" s="15" t="s">
        <v>29</v>
      </c>
      <c r="K39" s="18"/>
      <c r="L39" s="17"/>
      <c r="M39" s="17"/>
      <c r="N39" s="18" t="s">
        <v>83</v>
      </c>
      <c r="O39" s="18" t="s">
        <v>83</v>
      </c>
      <c r="P39" s="18" t="s">
        <v>83</v>
      </c>
      <c r="Q39" s="18" t="s">
        <v>83</v>
      </c>
      <c r="R39" s="18" t="s">
        <v>83</v>
      </c>
      <c r="S39" s="17" t="s">
        <v>207</v>
      </c>
      <c r="T39" s="17" t="s">
        <v>207</v>
      </c>
      <c r="U39" s="18"/>
      <c r="V39" s="18"/>
      <c r="W39" s="15" t="s">
        <v>29</v>
      </c>
      <c r="X39" s="18"/>
      <c r="Y39" s="18"/>
      <c r="Z39" s="16"/>
      <c r="AA39" s="16"/>
      <c r="AB39" s="18"/>
      <c r="AC39" s="18"/>
      <c r="AD39" s="18" t="s">
        <v>29</v>
      </c>
      <c r="AE39" s="17"/>
      <c r="AF39" s="18"/>
      <c r="AG39" s="17" t="s">
        <v>30</v>
      </c>
      <c r="AH39" s="292"/>
      <c r="AI39" s="307"/>
      <c r="AJ39" s="307" t="s">
        <v>29</v>
      </c>
      <c r="AK39" s="307"/>
      <c r="AL39" s="292"/>
      <c r="AM39" s="307" t="s">
        <v>34</v>
      </c>
      <c r="AN39" s="292"/>
      <c r="AO39" s="292"/>
      <c r="AP39" s="307" t="s">
        <v>29</v>
      </c>
      <c r="AQ39" s="26"/>
      <c r="AS39" s="27">
        <f>IFERROR(VLOOKUP($D39,'Nov 25'!$D$8:$BD$51,49,0),0)</f>
        <v>13.5</v>
      </c>
      <c r="AT39" s="21">
        <f>IFERROR(VLOOKUP($D39,'Nov 25'!$D$8:$BD$51,50,0),0)</f>
        <v>18</v>
      </c>
      <c r="AU39" s="21">
        <f>IFERROR(VLOOKUP($D39,'Nov 25'!$D$8:$BD$51,51,0),0)</f>
        <v>19</v>
      </c>
      <c r="AV39" s="28">
        <f>IFERROR(VLOOKUP($D39,'Nov 25'!$D$8:$BD$51,52,0),0)</f>
        <v>2</v>
      </c>
      <c r="AW39" s="37">
        <f>COUNTIFS(H39:AQ39,"HO*",$H$6:$AQ$6,"&lt;5")</f>
        <v>4</v>
      </c>
      <c r="AX39" s="23">
        <f>COUNTIFS(H39:AQ39,"HO*",$H$6:$AQ$6,"5")</f>
        <v>2</v>
      </c>
      <c r="AY39" s="23">
        <f>COUNTIFS(H39:AQ39,"HO*",$H$6:$AQ$6,"6")-COUNTIFS(H39:AQ39,"HO6",$H$6:$AQ$6,"6")</f>
        <v>1</v>
      </c>
      <c r="AZ39" s="23">
        <f>COUNTIFS(H39:AQ39,"HO*",$H$6:$AQ$6,"7")-COUNTIFS(H39:AQ39,"HO6",$H$6:$AQ$6,"7")</f>
        <v>0</v>
      </c>
      <c r="BA39" s="23">
        <f>COUNTIF(H39:AQ39,"HO6")</f>
        <v>0</v>
      </c>
      <c r="BB39" s="278">
        <f>COUNTIF(H39:AQ39,"S")</f>
        <v>0</v>
      </c>
      <c r="BC39" s="25">
        <f>SUM(AW39:AZ39)+BA39*0.5</f>
        <v>7</v>
      </c>
      <c r="BD39" s="18">
        <f>AW39*1+AX39*1.5+AY39*2.5+AZ39*2+BA39*0.5</f>
        <v>9.5</v>
      </c>
      <c r="BE39" s="22">
        <f>COUNTIFS(H39:AQ39,"",$H$6:$AQ$6,"&gt;5")+COUNTIFS(H39:AQ39,"X",$H$6:$AQ$6,"&gt;5")</f>
        <v>9</v>
      </c>
      <c r="BF39" s="18">
        <f>COUNTIF(H39:AQ39,"WR*")</f>
        <v>0</v>
      </c>
      <c r="BG39" s="32">
        <f>BD39/BC39</f>
        <v>1.3571428571428572</v>
      </c>
      <c r="BH39" s="24">
        <f>BC39+AS39</f>
        <v>20.5</v>
      </c>
      <c r="BI39" s="18">
        <f>BD39+AT39</f>
        <v>27.5</v>
      </c>
      <c r="BJ39" s="18">
        <f>BE39+AU39</f>
        <v>28</v>
      </c>
      <c r="BK39" s="18">
        <f>BF39+AV39</f>
        <v>2</v>
      </c>
      <c r="BL39" s="32">
        <f>BI39/BH39</f>
        <v>1.3414634146341464</v>
      </c>
    </row>
    <row r="40" spans="2:64" x14ac:dyDescent="0.2">
      <c r="B40" s="1">
        <f t="shared" ref="B40:C43" si="26">B39+1</f>
        <v>36</v>
      </c>
      <c r="C40" s="71">
        <f t="shared" si="26"/>
        <v>33</v>
      </c>
      <c r="D40" s="311" t="s">
        <v>152</v>
      </c>
      <c r="E40" s="260" t="s">
        <v>73</v>
      </c>
      <c r="F40" s="25" t="str">
        <f>IFERROR(IF(VLOOKUP($D40,'Nov 25'!$D$8:$AI$43,31,0)=0,"",VLOOKUP($D40,'Nov 25'!$D$8:$AI$43,31,0)),"")</f>
        <v/>
      </c>
      <c r="G40" s="26" t="str">
        <f>IFERROR(IF(VLOOKUP($D40,'Nov 25'!$D$8:$AI$43,32,0)=0,"",VLOOKUP($D40,'Nov 25'!$D$8:$AI$43,32,0)),"")</f>
        <v/>
      </c>
      <c r="H40" s="24"/>
      <c r="I40" s="18"/>
      <c r="J40" s="18"/>
      <c r="K40" s="18" t="s">
        <v>29</v>
      </c>
      <c r="L40" s="17"/>
      <c r="M40" s="17"/>
      <c r="N40" s="18"/>
      <c r="O40" s="18"/>
      <c r="P40" s="18"/>
      <c r="Q40" s="18"/>
      <c r="R40" s="18"/>
      <c r="S40" s="17" t="s">
        <v>81</v>
      </c>
      <c r="T40" s="17"/>
      <c r="U40" s="15" t="s">
        <v>29</v>
      </c>
      <c r="V40" s="18"/>
      <c r="W40" s="18" t="s">
        <v>83</v>
      </c>
      <c r="X40" s="18" t="s">
        <v>179</v>
      </c>
      <c r="Y40" s="18"/>
      <c r="Z40" s="16"/>
      <c r="AA40" s="17" t="s">
        <v>19</v>
      </c>
      <c r="AB40" s="18"/>
      <c r="AC40" s="15"/>
      <c r="AD40" s="18"/>
      <c r="AE40" s="17"/>
      <c r="AF40" s="18" t="s">
        <v>77</v>
      </c>
      <c r="AG40" s="16"/>
      <c r="AH40" s="292"/>
      <c r="AI40" s="307" t="s">
        <v>29</v>
      </c>
      <c r="AJ40" s="307"/>
      <c r="AK40" s="307"/>
      <c r="AL40" s="292" t="s">
        <v>29</v>
      </c>
      <c r="AM40" s="307"/>
      <c r="AN40" s="292"/>
      <c r="AO40" s="292" t="s">
        <v>31</v>
      </c>
      <c r="AP40" s="307"/>
      <c r="AQ40" s="26"/>
      <c r="AS40" s="27">
        <f>IFERROR(VLOOKUP($D40,'Nov 25'!$D$8:$BD$51,49,0),0)</f>
        <v>13</v>
      </c>
      <c r="AT40" s="21">
        <f>IFERROR(VLOOKUP($D40,'Nov 25'!$D$8:$BD$51,50,0),0)</f>
        <v>18.5</v>
      </c>
      <c r="AU40" s="21">
        <f>IFERROR(VLOOKUP($D40,'Nov 25'!$D$8:$BD$51,51,0),0)</f>
        <v>18</v>
      </c>
      <c r="AV40" s="28">
        <f>IFERROR(VLOOKUP($D40,'Nov 25'!$D$8:$BD$51,52,0),0)</f>
        <v>2</v>
      </c>
      <c r="AW40" s="37">
        <f t="shared" si="12"/>
        <v>2</v>
      </c>
      <c r="AX40" s="23">
        <f t="shared" si="13"/>
        <v>1</v>
      </c>
      <c r="AY40" s="23">
        <f t="shared" si="14"/>
        <v>1</v>
      </c>
      <c r="AZ40" s="23">
        <f t="shared" si="15"/>
        <v>1</v>
      </c>
      <c r="BA40" s="23">
        <f t="shared" si="16"/>
        <v>1</v>
      </c>
      <c r="BB40" s="278">
        <f t="shared" si="17"/>
        <v>1</v>
      </c>
      <c r="BC40" s="25">
        <f t="shared" si="20"/>
        <v>5.5</v>
      </c>
      <c r="BD40" s="18">
        <f t="shared" si="21"/>
        <v>8.5</v>
      </c>
      <c r="BE40" s="22">
        <f t="shared" si="18"/>
        <v>8</v>
      </c>
      <c r="BF40" s="18">
        <f t="shared" si="19"/>
        <v>1</v>
      </c>
      <c r="BG40" s="32">
        <f t="shared" si="22"/>
        <v>1.5454545454545454</v>
      </c>
      <c r="BH40" s="24">
        <f t="shared" si="23"/>
        <v>18.5</v>
      </c>
      <c r="BI40" s="18">
        <f t="shared" si="23"/>
        <v>27</v>
      </c>
      <c r="BJ40" s="18">
        <f t="shared" si="23"/>
        <v>26</v>
      </c>
      <c r="BK40" s="18">
        <f t="shared" si="23"/>
        <v>3</v>
      </c>
      <c r="BL40" s="32">
        <f t="shared" si="24"/>
        <v>1.4594594594594594</v>
      </c>
    </row>
    <row r="41" spans="2:64" x14ac:dyDescent="0.2">
      <c r="B41" s="1">
        <f>B40+1</f>
        <v>37</v>
      </c>
      <c r="C41" s="71">
        <f>C40+1</f>
        <v>34</v>
      </c>
      <c r="D41" s="316" t="s">
        <v>151</v>
      </c>
      <c r="E41" s="261" t="s">
        <v>89</v>
      </c>
      <c r="F41" s="25" t="str">
        <f>IFERROR(IF(VLOOKUP($D41,'Nov 25'!$D$8:$AI$43,31,0)=0,"",VLOOKUP($D41,'Nov 25'!$D$8:$AI$43,31,0)),"")</f>
        <v>HO6</v>
      </c>
      <c r="G41" s="26" t="str">
        <f>IFERROR(IF(VLOOKUP($D41,'Nov 25'!$D$8:$AI$43,32,0)=0,"",VLOOKUP($D41,'Nov 25'!$D$8:$AI$43,32,0)),"")</f>
        <v/>
      </c>
      <c r="H41" s="24"/>
      <c r="I41" s="18" t="s">
        <v>85</v>
      </c>
      <c r="J41" s="18" t="s">
        <v>77</v>
      </c>
      <c r="K41" s="15"/>
      <c r="L41" s="17"/>
      <c r="M41" s="17" t="s">
        <v>29</v>
      </c>
      <c r="N41" s="18"/>
      <c r="O41" s="18"/>
      <c r="P41" s="18" t="s">
        <v>85</v>
      </c>
      <c r="Q41" s="18"/>
      <c r="R41" s="18"/>
      <c r="S41" s="17" t="s">
        <v>20</v>
      </c>
      <c r="T41" s="17"/>
      <c r="U41" s="18" t="s">
        <v>30</v>
      </c>
      <c r="V41" s="18"/>
      <c r="W41" s="18" t="s">
        <v>85</v>
      </c>
      <c r="X41" s="18"/>
      <c r="Y41" s="18" t="s">
        <v>30</v>
      </c>
      <c r="Z41" s="17"/>
      <c r="AA41" s="17"/>
      <c r="AB41" s="18" t="s">
        <v>34</v>
      </c>
      <c r="AC41" s="18"/>
      <c r="AD41" s="18" t="s">
        <v>85</v>
      </c>
      <c r="AE41" s="15" t="s">
        <v>30</v>
      </c>
      <c r="AF41" s="18"/>
      <c r="AG41" s="17" t="s">
        <v>207</v>
      </c>
      <c r="AH41" s="292" t="s">
        <v>207</v>
      </c>
      <c r="AI41" s="307" t="s">
        <v>83</v>
      </c>
      <c r="AJ41" s="307" t="s">
        <v>83</v>
      </c>
      <c r="AK41" s="307" t="s">
        <v>83</v>
      </c>
      <c r="AL41" s="292"/>
      <c r="AM41" s="307" t="s">
        <v>83</v>
      </c>
      <c r="AN41" s="294"/>
      <c r="AO41" s="294"/>
      <c r="AP41" s="307" t="s">
        <v>34</v>
      </c>
      <c r="AQ41" s="26"/>
      <c r="AS41" s="27">
        <f>IFERROR(VLOOKUP($D41,'Nov 25'!$D$8:$BD$51,49,0),0)</f>
        <v>13.5</v>
      </c>
      <c r="AT41" s="21">
        <f>IFERROR(VLOOKUP($D41,'Nov 25'!$D$8:$BD$51,50,0),0)</f>
        <v>18.5</v>
      </c>
      <c r="AU41" s="21">
        <f>IFERROR(VLOOKUP($D41,'Nov 25'!$D$8:$BD$51,51,0),0)</f>
        <v>19</v>
      </c>
      <c r="AV41" s="28">
        <f>IFERROR(VLOOKUP($D41,'Nov 25'!$D$8:$BD$51,52,0),0)</f>
        <v>1</v>
      </c>
      <c r="AW41" s="37">
        <f t="shared" si="12"/>
        <v>3</v>
      </c>
      <c r="AX41" s="23">
        <f t="shared" si="13"/>
        <v>1</v>
      </c>
      <c r="AY41" s="23">
        <f t="shared" si="14"/>
        <v>1</v>
      </c>
      <c r="AZ41" s="23">
        <f t="shared" si="15"/>
        <v>1</v>
      </c>
      <c r="BA41" s="23">
        <f t="shared" si="16"/>
        <v>0</v>
      </c>
      <c r="BB41" s="278">
        <f t="shared" si="17"/>
        <v>1</v>
      </c>
      <c r="BC41" s="25">
        <f t="shared" si="20"/>
        <v>6</v>
      </c>
      <c r="BD41" s="18">
        <f t="shared" si="21"/>
        <v>9</v>
      </c>
      <c r="BE41" s="22">
        <f t="shared" si="18"/>
        <v>7</v>
      </c>
      <c r="BF41" s="18">
        <f t="shared" si="19"/>
        <v>1</v>
      </c>
      <c r="BG41" s="32">
        <f t="shared" si="22"/>
        <v>1.5</v>
      </c>
      <c r="BH41" s="24">
        <f t="shared" si="23"/>
        <v>19.5</v>
      </c>
      <c r="BI41" s="18">
        <f t="shared" si="23"/>
        <v>27.5</v>
      </c>
      <c r="BJ41" s="18">
        <f t="shared" si="23"/>
        <v>26</v>
      </c>
      <c r="BK41" s="18">
        <f t="shared" si="23"/>
        <v>2</v>
      </c>
      <c r="BL41" s="32">
        <f t="shared" si="24"/>
        <v>1.4102564102564104</v>
      </c>
    </row>
    <row r="42" spans="2:64" x14ac:dyDescent="0.2">
      <c r="B42" s="1">
        <f t="shared" si="26"/>
        <v>38</v>
      </c>
      <c r="C42" s="71">
        <f t="shared" si="26"/>
        <v>35</v>
      </c>
      <c r="D42" s="316" t="s">
        <v>134</v>
      </c>
      <c r="E42" s="261" t="s">
        <v>74</v>
      </c>
      <c r="F42" s="25" t="str">
        <f>IFERROR(IF(VLOOKUP($D42,'Nov 25'!$D$8:$AI$43,31,0)=0,"",VLOOKUP($D42,'Nov 25'!$D$8:$AI$43,31,0)),"")</f>
        <v/>
      </c>
      <c r="G42" s="26" t="str">
        <f>IFERROR(IF(VLOOKUP($D42,'Nov 25'!$D$8:$AI$43,32,0)=0,"",VLOOKUP($D42,'Nov 25'!$D$8:$AI$43,32,0)),"")</f>
        <v/>
      </c>
      <c r="H42" s="24" t="s">
        <v>30</v>
      </c>
      <c r="I42" s="18"/>
      <c r="J42" s="18"/>
      <c r="K42" s="18"/>
      <c r="L42" s="17"/>
      <c r="M42" s="17" t="s">
        <v>30</v>
      </c>
      <c r="N42" s="18"/>
      <c r="O42" s="18"/>
      <c r="P42" s="18" t="s">
        <v>30</v>
      </c>
      <c r="Q42" s="18"/>
      <c r="R42" s="18"/>
      <c r="S42" s="17" t="s">
        <v>21</v>
      </c>
      <c r="T42" s="17"/>
      <c r="U42" s="18" t="s">
        <v>34</v>
      </c>
      <c r="V42" s="18"/>
      <c r="W42" s="18"/>
      <c r="X42" s="18"/>
      <c r="Y42" s="18"/>
      <c r="Z42" s="17"/>
      <c r="AA42" s="17" t="s">
        <v>30</v>
      </c>
      <c r="AB42" s="18"/>
      <c r="AC42" s="18"/>
      <c r="AD42" s="18" t="s">
        <v>30</v>
      </c>
      <c r="AE42" s="17"/>
      <c r="AF42" s="18" t="s">
        <v>83</v>
      </c>
      <c r="AG42" s="17"/>
      <c r="AH42" s="292"/>
      <c r="AI42" s="307" t="s">
        <v>83</v>
      </c>
      <c r="AJ42" s="294"/>
      <c r="AK42" s="307"/>
      <c r="AL42" s="292"/>
      <c r="AM42" s="307" t="s">
        <v>77</v>
      </c>
      <c r="AN42" s="292"/>
      <c r="AO42" s="292"/>
      <c r="AP42" s="307" t="s">
        <v>83</v>
      </c>
      <c r="AQ42" s="26"/>
      <c r="AS42" s="27">
        <f>IFERROR(VLOOKUP($D42,'Nov 25'!$D$8:$BD$51,49,0),0)</f>
        <v>12</v>
      </c>
      <c r="AT42" s="21">
        <f>IFERROR(VLOOKUP($D42,'Nov 25'!$D$8:$BD$51,50,0),0)</f>
        <v>18.5</v>
      </c>
      <c r="AU42" s="21">
        <f>IFERROR(VLOOKUP($D42,'Nov 25'!$D$8:$BD$51,51,0),0)</f>
        <v>20</v>
      </c>
      <c r="AV42" s="28">
        <f>IFERROR(VLOOKUP($D42,'Nov 25'!$D$8:$BD$51,52,0),0)</f>
        <v>2</v>
      </c>
      <c r="AW42" s="37">
        <f t="shared" si="12"/>
        <v>3</v>
      </c>
      <c r="AX42" s="23">
        <f t="shared" si="13"/>
        <v>1</v>
      </c>
      <c r="AY42" s="23">
        <f t="shared" si="14"/>
        <v>0</v>
      </c>
      <c r="AZ42" s="23">
        <f t="shared" si="15"/>
        <v>2</v>
      </c>
      <c r="BA42" s="23">
        <f t="shared" si="16"/>
        <v>0</v>
      </c>
      <c r="BB42" s="278">
        <f t="shared" si="17"/>
        <v>1</v>
      </c>
      <c r="BC42" s="25">
        <f t="shared" si="20"/>
        <v>6</v>
      </c>
      <c r="BD42" s="18">
        <f t="shared" si="21"/>
        <v>8.5</v>
      </c>
      <c r="BE42" s="22">
        <f t="shared" si="18"/>
        <v>9</v>
      </c>
      <c r="BF42" s="18">
        <f t="shared" si="19"/>
        <v>1</v>
      </c>
      <c r="BG42" s="32">
        <f t="shared" si="22"/>
        <v>1.4166666666666667</v>
      </c>
      <c r="BH42" s="24">
        <f t="shared" si="23"/>
        <v>18</v>
      </c>
      <c r="BI42" s="18">
        <f t="shared" si="23"/>
        <v>27</v>
      </c>
      <c r="BJ42" s="18">
        <f t="shared" si="23"/>
        <v>29</v>
      </c>
      <c r="BK42" s="18">
        <f t="shared" si="23"/>
        <v>3</v>
      </c>
      <c r="BL42" s="32">
        <f t="shared" si="24"/>
        <v>1.5</v>
      </c>
    </row>
    <row r="43" spans="2:64" ht="16" thickBot="1" x14ac:dyDescent="0.25">
      <c r="B43" s="243">
        <f t="shared" si="26"/>
        <v>39</v>
      </c>
      <c r="C43" s="75">
        <f t="shared" si="26"/>
        <v>36</v>
      </c>
      <c r="D43" s="317" t="s">
        <v>145</v>
      </c>
      <c r="E43" s="284" t="s">
        <v>74</v>
      </c>
      <c r="F43" s="33" t="str">
        <f>IFERROR(IF(VLOOKUP($D43,'Nov 25'!$D$8:$AI$43,31,0)=0,"",VLOOKUP($D43,'Nov 25'!$D$8:$AI$43,31,0)),"")</f>
        <v>HO2</v>
      </c>
      <c r="G43" s="41" t="str">
        <f>IFERROR(IF(VLOOKUP($D43,'Nov 25'!$D$8:$AI$43,32,0)=0,"",VLOOKUP($D43,'Nov 25'!$D$8:$AI$43,32,0)),"")</f>
        <v/>
      </c>
      <c r="H43" s="38"/>
      <c r="I43" s="34"/>
      <c r="J43" s="78"/>
      <c r="K43" s="34" t="s">
        <v>30</v>
      </c>
      <c r="L43" s="77"/>
      <c r="M43" s="77"/>
      <c r="N43" s="34" t="s">
        <v>30</v>
      </c>
      <c r="O43" s="34"/>
      <c r="P43" s="34"/>
      <c r="Q43" s="34" t="s">
        <v>77</v>
      </c>
      <c r="R43" s="34"/>
      <c r="S43" s="79"/>
      <c r="T43" s="77" t="s">
        <v>81</v>
      </c>
      <c r="U43" s="34"/>
      <c r="V43" s="78" t="s">
        <v>30</v>
      </c>
      <c r="W43" s="34"/>
      <c r="X43" s="34"/>
      <c r="Y43" s="34" t="s">
        <v>83</v>
      </c>
      <c r="Z43" s="77"/>
      <c r="AA43" s="77"/>
      <c r="AB43" s="34" t="s">
        <v>83</v>
      </c>
      <c r="AC43" s="34" t="s">
        <v>83</v>
      </c>
      <c r="AD43" s="34" t="s">
        <v>83</v>
      </c>
      <c r="AE43" s="77"/>
      <c r="AF43" s="34"/>
      <c r="AG43" s="79"/>
      <c r="AH43" s="293" t="s">
        <v>19</v>
      </c>
      <c r="AI43" s="308"/>
      <c r="AJ43" s="308"/>
      <c r="AK43" s="308"/>
      <c r="AL43" s="293"/>
      <c r="AM43" s="308"/>
      <c r="AN43" s="293" t="s">
        <v>30</v>
      </c>
      <c r="AO43" s="293"/>
      <c r="AP43" s="308"/>
      <c r="AQ43" s="41"/>
      <c r="AS43" s="29">
        <f>IFERROR(VLOOKUP($D43,'Nov 25'!$D$8:$BD$51,49,0),0)</f>
        <v>13.5</v>
      </c>
      <c r="AT43" s="30">
        <f>IFERROR(VLOOKUP($D43,'Nov 25'!$D$8:$BD$51,50,0),0)</f>
        <v>20.5</v>
      </c>
      <c r="AU43" s="30">
        <f>IFERROR(VLOOKUP($D43,'Nov 25'!$D$8:$BD$51,51,0),0)</f>
        <v>19</v>
      </c>
      <c r="AV43" s="31">
        <f>IFERROR(VLOOKUP($D43,'Nov 25'!$D$8:$BD$51,52,0),0)</f>
        <v>2</v>
      </c>
      <c r="AW43" s="271">
        <f t="shared" si="12"/>
        <v>2</v>
      </c>
      <c r="AX43" s="48">
        <f t="shared" si="13"/>
        <v>1</v>
      </c>
      <c r="AY43" s="48">
        <f t="shared" si="14"/>
        <v>1</v>
      </c>
      <c r="AZ43" s="48">
        <f t="shared" si="15"/>
        <v>0</v>
      </c>
      <c r="BA43" s="48">
        <f t="shared" si="16"/>
        <v>1</v>
      </c>
      <c r="BB43" s="279">
        <f t="shared" si="17"/>
        <v>1</v>
      </c>
      <c r="BC43" s="33">
        <f t="shared" si="20"/>
        <v>4.5</v>
      </c>
      <c r="BD43" s="34">
        <f t="shared" si="21"/>
        <v>6.5</v>
      </c>
      <c r="BE43" s="35">
        <f t="shared" si="18"/>
        <v>9</v>
      </c>
      <c r="BF43" s="34">
        <f t="shared" si="19"/>
        <v>1</v>
      </c>
      <c r="BG43" s="36">
        <f t="shared" si="22"/>
        <v>1.4444444444444444</v>
      </c>
      <c r="BH43" s="38">
        <f t="shared" si="23"/>
        <v>18</v>
      </c>
      <c r="BI43" s="34">
        <f t="shared" si="23"/>
        <v>27</v>
      </c>
      <c r="BJ43" s="34">
        <f t="shared" si="23"/>
        <v>28</v>
      </c>
      <c r="BK43" s="34">
        <f t="shared" si="23"/>
        <v>3</v>
      </c>
      <c r="BL43" s="36">
        <f t="shared" si="24"/>
        <v>1.5</v>
      </c>
    </row>
    <row r="45" spans="2:64" x14ac:dyDescent="0.2">
      <c r="E45" s="3" t="s">
        <v>161</v>
      </c>
      <c r="H45" s="1" t="b">
        <f>AND(H46=1,H47=1,H48=1,H49=1,H50=1,H53=1,OR(SUM(H51:H52)=0,SUM(H51:H52)=4))</f>
        <v>1</v>
      </c>
      <c r="I45" s="1" t="b">
        <f t="shared" ref="I45:AH45" si="27">AND(I46=1,I47=1,I48=1,I49=1,I50=1,I53=1,OR(SUM(I51:I52)=0,SUM(I51:I52)=4))</f>
        <v>1</v>
      </c>
      <c r="J45" s="1" t="b">
        <f t="shared" si="27"/>
        <v>1</v>
      </c>
      <c r="K45" s="1" t="b">
        <f t="shared" si="27"/>
        <v>1</v>
      </c>
      <c r="L45" s="1" t="b">
        <f t="shared" si="27"/>
        <v>1</v>
      </c>
      <c r="M45" s="1" t="b">
        <f t="shared" si="27"/>
        <v>1</v>
      </c>
      <c r="N45" s="1" t="b">
        <f t="shared" si="27"/>
        <v>1</v>
      </c>
      <c r="O45" s="1" t="b">
        <f t="shared" si="27"/>
        <v>1</v>
      </c>
      <c r="P45" s="1" t="b">
        <f t="shared" si="27"/>
        <v>1</v>
      </c>
      <c r="Q45" s="1" t="b">
        <f t="shared" si="27"/>
        <v>1</v>
      </c>
      <c r="R45" s="1" t="b">
        <f t="shared" si="27"/>
        <v>1</v>
      </c>
      <c r="S45" s="1" t="b">
        <f t="shared" si="27"/>
        <v>1</v>
      </c>
      <c r="T45" s="1" t="b">
        <f t="shared" si="27"/>
        <v>1</v>
      </c>
      <c r="U45" s="1" t="b">
        <f t="shared" si="27"/>
        <v>1</v>
      </c>
      <c r="V45" s="1" t="b">
        <f t="shared" si="27"/>
        <v>1</v>
      </c>
      <c r="W45" s="1" t="b">
        <f t="shared" si="27"/>
        <v>1</v>
      </c>
      <c r="X45" s="1" t="b">
        <f t="shared" si="27"/>
        <v>1</v>
      </c>
      <c r="Y45" s="1" t="b">
        <f t="shared" si="27"/>
        <v>1</v>
      </c>
      <c r="Z45" s="1" t="b">
        <f t="shared" si="27"/>
        <v>1</v>
      </c>
      <c r="AA45" s="1" t="b">
        <f t="shared" si="27"/>
        <v>1</v>
      </c>
      <c r="AB45" s="1" t="b">
        <f t="shared" si="27"/>
        <v>1</v>
      </c>
      <c r="AC45" s="1" t="b">
        <f t="shared" si="27"/>
        <v>1</v>
      </c>
      <c r="AD45" s="1" t="b">
        <f t="shared" si="27"/>
        <v>1</v>
      </c>
      <c r="AE45" s="1" t="b">
        <f t="shared" si="27"/>
        <v>1</v>
      </c>
      <c r="AF45" s="1" t="b">
        <f t="shared" si="27"/>
        <v>1</v>
      </c>
      <c r="AG45" s="1" t="b">
        <f t="shared" si="27"/>
        <v>1</v>
      </c>
      <c r="AH45" s="1" t="b">
        <f t="shared" si="27"/>
        <v>1</v>
      </c>
      <c r="AI45" s="1" t="b">
        <f t="shared" ref="AI45:AQ45" si="28">AND(AI46=1,AI47=1,AI48=1,AI49=1,AI50=1,AI53=1,OR(SUM(AI51:AI52)=0,SUM(AI51:AI52)=4))</f>
        <v>1</v>
      </c>
      <c r="AJ45" s="1" t="b">
        <f t="shared" si="28"/>
        <v>1</v>
      </c>
      <c r="AK45" s="1" t="b">
        <f t="shared" si="28"/>
        <v>1</v>
      </c>
      <c r="AL45" s="1" t="b">
        <f t="shared" si="28"/>
        <v>1</v>
      </c>
      <c r="AM45" s="1" t="b">
        <f t="shared" si="28"/>
        <v>1</v>
      </c>
      <c r="AN45" s="1" t="b">
        <f t="shared" si="28"/>
        <v>1</v>
      </c>
      <c r="AO45" s="1" t="b">
        <f t="shared" si="28"/>
        <v>1</v>
      </c>
      <c r="AP45" s="1" t="b">
        <f t="shared" si="28"/>
        <v>1</v>
      </c>
      <c r="AQ45" s="1" t="b">
        <f t="shared" si="28"/>
        <v>1</v>
      </c>
    </row>
    <row r="46" spans="2:64" x14ac:dyDescent="0.2">
      <c r="E46" s="3" t="s">
        <v>30</v>
      </c>
      <c r="H46" s="1">
        <f t="shared" ref="H46:W51" si="29">COUNTIFS(H$8:H$43,$E46)</f>
        <v>1</v>
      </c>
      <c r="I46" s="1">
        <f t="shared" si="29"/>
        <v>1</v>
      </c>
      <c r="J46" s="1">
        <f t="shared" si="29"/>
        <v>1</v>
      </c>
      <c r="K46" s="1">
        <f t="shared" si="29"/>
        <v>1</v>
      </c>
      <c r="L46" s="1">
        <f t="shared" si="29"/>
        <v>1</v>
      </c>
      <c r="M46" s="1">
        <f t="shared" si="29"/>
        <v>1</v>
      </c>
      <c r="N46" s="1">
        <f t="shared" si="29"/>
        <v>1</v>
      </c>
      <c r="O46" s="1">
        <f t="shared" si="29"/>
        <v>1</v>
      </c>
      <c r="P46" s="1">
        <f t="shared" si="29"/>
        <v>1</v>
      </c>
      <c r="Q46" s="1">
        <f t="shared" si="29"/>
        <v>1</v>
      </c>
      <c r="R46" s="1">
        <f t="shared" si="29"/>
        <v>1</v>
      </c>
      <c r="S46" s="1">
        <f t="shared" si="29"/>
        <v>1</v>
      </c>
      <c r="T46" s="1">
        <f t="shared" si="29"/>
        <v>1</v>
      </c>
      <c r="U46" s="1">
        <f t="shared" si="29"/>
        <v>1</v>
      </c>
      <c r="V46" s="1">
        <f t="shared" si="29"/>
        <v>1</v>
      </c>
      <c r="W46" s="1">
        <f t="shared" si="29"/>
        <v>1</v>
      </c>
      <c r="X46" s="1">
        <f t="shared" ref="X46:AQ51" si="30">COUNTIFS(X$8:X$43,$E46)</f>
        <v>1</v>
      </c>
      <c r="Y46" s="1">
        <f t="shared" si="30"/>
        <v>1</v>
      </c>
      <c r="Z46" s="1">
        <f t="shared" si="30"/>
        <v>1</v>
      </c>
      <c r="AA46" s="1">
        <f t="shared" si="30"/>
        <v>1</v>
      </c>
      <c r="AB46" s="1">
        <f t="shared" si="30"/>
        <v>1</v>
      </c>
      <c r="AC46" s="1">
        <f t="shared" si="30"/>
        <v>1</v>
      </c>
      <c r="AD46" s="1">
        <f t="shared" si="30"/>
        <v>1</v>
      </c>
      <c r="AE46" s="1">
        <f t="shared" si="30"/>
        <v>1</v>
      </c>
      <c r="AF46" s="1">
        <f t="shared" si="30"/>
        <v>1</v>
      </c>
      <c r="AG46" s="1">
        <f t="shared" si="30"/>
        <v>1</v>
      </c>
      <c r="AH46" s="1">
        <f t="shared" si="30"/>
        <v>1</v>
      </c>
      <c r="AI46" s="1">
        <f t="shared" si="30"/>
        <v>1</v>
      </c>
      <c r="AJ46" s="1">
        <f t="shared" si="30"/>
        <v>1</v>
      </c>
      <c r="AK46" s="1">
        <f t="shared" si="30"/>
        <v>1</v>
      </c>
      <c r="AL46" s="1">
        <f t="shared" si="30"/>
        <v>1</v>
      </c>
      <c r="AM46" s="1">
        <f t="shared" si="30"/>
        <v>1</v>
      </c>
      <c r="AN46" s="1">
        <f t="shared" si="30"/>
        <v>1</v>
      </c>
      <c r="AO46" s="1">
        <f t="shared" si="30"/>
        <v>1</v>
      </c>
      <c r="AP46" s="1">
        <f t="shared" si="30"/>
        <v>1</v>
      </c>
      <c r="AQ46" s="1">
        <f t="shared" si="30"/>
        <v>1</v>
      </c>
    </row>
    <row r="47" spans="2:64" x14ac:dyDescent="0.2">
      <c r="E47" s="3" t="s">
        <v>34</v>
      </c>
      <c r="H47" s="1">
        <f t="shared" si="29"/>
        <v>1</v>
      </c>
      <c r="I47" s="1">
        <f t="shared" si="29"/>
        <v>1</v>
      </c>
      <c r="J47" s="1">
        <f t="shared" si="29"/>
        <v>1</v>
      </c>
      <c r="K47" s="1">
        <f t="shared" si="29"/>
        <v>1</v>
      </c>
      <c r="L47" s="1">
        <f t="shared" si="29"/>
        <v>1</v>
      </c>
      <c r="M47" s="1">
        <f t="shared" si="29"/>
        <v>1</v>
      </c>
      <c r="N47" s="1">
        <f t="shared" si="29"/>
        <v>1</v>
      </c>
      <c r="O47" s="1">
        <f t="shared" si="29"/>
        <v>1</v>
      </c>
      <c r="P47" s="1">
        <f t="shared" si="29"/>
        <v>1</v>
      </c>
      <c r="Q47" s="1">
        <f t="shared" si="29"/>
        <v>1</v>
      </c>
      <c r="R47" s="1">
        <f t="shared" si="29"/>
        <v>1</v>
      </c>
      <c r="S47" s="1">
        <f t="shared" si="29"/>
        <v>1</v>
      </c>
      <c r="T47" s="1">
        <f t="shared" si="29"/>
        <v>1</v>
      </c>
      <c r="U47" s="1">
        <f t="shared" si="29"/>
        <v>1</v>
      </c>
      <c r="V47" s="1">
        <f t="shared" si="29"/>
        <v>1</v>
      </c>
      <c r="W47" s="1">
        <f t="shared" si="29"/>
        <v>1</v>
      </c>
      <c r="X47" s="1">
        <f t="shared" si="30"/>
        <v>1</v>
      </c>
      <c r="Y47" s="1">
        <f t="shared" si="30"/>
        <v>1</v>
      </c>
      <c r="Z47" s="1">
        <f t="shared" si="30"/>
        <v>1</v>
      </c>
      <c r="AA47" s="1">
        <f t="shared" si="30"/>
        <v>1</v>
      </c>
      <c r="AB47" s="1">
        <f t="shared" si="30"/>
        <v>1</v>
      </c>
      <c r="AC47" s="1">
        <f t="shared" si="30"/>
        <v>1</v>
      </c>
      <c r="AD47" s="1">
        <f t="shared" si="30"/>
        <v>1</v>
      </c>
      <c r="AE47" s="1">
        <f t="shared" si="30"/>
        <v>1</v>
      </c>
      <c r="AF47" s="1">
        <f t="shared" si="30"/>
        <v>1</v>
      </c>
      <c r="AG47" s="1">
        <f t="shared" si="30"/>
        <v>1</v>
      </c>
      <c r="AH47" s="1">
        <f t="shared" si="30"/>
        <v>1</v>
      </c>
      <c r="AI47" s="1">
        <f t="shared" si="30"/>
        <v>1</v>
      </c>
      <c r="AJ47" s="1">
        <f t="shared" si="30"/>
        <v>1</v>
      </c>
      <c r="AK47" s="1">
        <f t="shared" si="30"/>
        <v>1</v>
      </c>
      <c r="AL47" s="1">
        <f t="shared" si="30"/>
        <v>1</v>
      </c>
      <c r="AM47" s="1">
        <f t="shared" si="30"/>
        <v>1</v>
      </c>
      <c r="AN47" s="1">
        <f t="shared" si="30"/>
        <v>1</v>
      </c>
      <c r="AO47" s="1">
        <f t="shared" si="30"/>
        <v>1</v>
      </c>
      <c r="AP47" s="1">
        <f t="shared" si="30"/>
        <v>1</v>
      </c>
      <c r="AQ47" s="1">
        <f t="shared" si="30"/>
        <v>1</v>
      </c>
    </row>
    <row r="48" spans="2:64" x14ac:dyDescent="0.2">
      <c r="E48" s="3" t="s">
        <v>32</v>
      </c>
      <c r="H48" s="1">
        <f t="shared" si="29"/>
        <v>1</v>
      </c>
      <c r="I48" s="1">
        <f t="shared" si="29"/>
        <v>1</v>
      </c>
      <c r="J48" s="1">
        <f t="shared" si="29"/>
        <v>1</v>
      </c>
      <c r="K48" s="1">
        <f t="shared" si="29"/>
        <v>1</v>
      </c>
      <c r="L48" s="1">
        <f t="shared" si="29"/>
        <v>1</v>
      </c>
      <c r="M48" s="1">
        <f t="shared" si="29"/>
        <v>1</v>
      </c>
      <c r="N48" s="1">
        <f t="shared" si="29"/>
        <v>1</v>
      </c>
      <c r="O48" s="1">
        <f t="shared" si="29"/>
        <v>1</v>
      </c>
      <c r="P48" s="1">
        <f t="shared" si="29"/>
        <v>1</v>
      </c>
      <c r="Q48" s="1">
        <f t="shared" si="29"/>
        <v>1</v>
      </c>
      <c r="R48" s="1">
        <f t="shared" si="29"/>
        <v>1</v>
      </c>
      <c r="S48" s="1">
        <f t="shared" si="29"/>
        <v>1</v>
      </c>
      <c r="T48" s="1">
        <f t="shared" si="29"/>
        <v>1</v>
      </c>
      <c r="U48" s="1">
        <f t="shared" si="29"/>
        <v>1</v>
      </c>
      <c r="V48" s="1">
        <f t="shared" si="29"/>
        <v>1</v>
      </c>
      <c r="W48" s="1">
        <f t="shared" si="29"/>
        <v>1</v>
      </c>
      <c r="X48" s="1">
        <f t="shared" si="30"/>
        <v>1</v>
      </c>
      <c r="Y48" s="1">
        <f t="shared" si="30"/>
        <v>1</v>
      </c>
      <c r="Z48" s="1">
        <f t="shared" si="30"/>
        <v>1</v>
      </c>
      <c r="AA48" s="1">
        <f t="shared" si="30"/>
        <v>1</v>
      </c>
      <c r="AB48" s="1">
        <f t="shared" si="30"/>
        <v>1</v>
      </c>
      <c r="AC48" s="1">
        <f t="shared" si="30"/>
        <v>1</v>
      </c>
      <c r="AD48" s="1">
        <f t="shared" si="30"/>
        <v>1</v>
      </c>
      <c r="AE48" s="1">
        <f t="shared" si="30"/>
        <v>1</v>
      </c>
      <c r="AF48" s="1">
        <f t="shared" si="30"/>
        <v>1</v>
      </c>
      <c r="AG48" s="1">
        <f t="shared" si="30"/>
        <v>1</v>
      </c>
      <c r="AH48" s="1">
        <f t="shared" si="30"/>
        <v>1</v>
      </c>
      <c r="AI48" s="1">
        <f t="shared" si="30"/>
        <v>1</v>
      </c>
      <c r="AJ48" s="1">
        <f t="shared" si="30"/>
        <v>1</v>
      </c>
      <c r="AK48" s="1">
        <f t="shared" si="30"/>
        <v>1</v>
      </c>
      <c r="AL48" s="1">
        <f t="shared" si="30"/>
        <v>1</v>
      </c>
      <c r="AM48" s="1">
        <f t="shared" si="30"/>
        <v>1</v>
      </c>
      <c r="AN48" s="1">
        <f t="shared" si="30"/>
        <v>1</v>
      </c>
      <c r="AO48" s="1">
        <f t="shared" si="30"/>
        <v>1</v>
      </c>
      <c r="AP48" s="1">
        <f t="shared" si="30"/>
        <v>1</v>
      </c>
      <c r="AQ48" s="1">
        <f t="shared" si="30"/>
        <v>1</v>
      </c>
    </row>
    <row r="49" spans="4:43" x14ac:dyDescent="0.2">
      <c r="E49" s="3" t="s">
        <v>29</v>
      </c>
      <c r="H49" s="1">
        <f t="shared" si="29"/>
        <v>1</v>
      </c>
      <c r="I49" s="1">
        <f t="shared" si="29"/>
        <v>1</v>
      </c>
      <c r="J49" s="1">
        <f t="shared" si="29"/>
        <v>1</v>
      </c>
      <c r="K49" s="1">
        <f t="shared" si="29"/>
        <v>1</v>
      </c>
      <c r="L49" s="1">
        <f t="shared" si="29"/>
        <v>1</v>
      </c>
      <c r="M49" s="1">
        <f t="shared" si="29"/>
        <v>1</v>
      </c>
      <c r="N49" s="1">
        <f t="shared" si="29"/>
        <v>1</v>
      </c>
      <c r="O49" s="1">
        <f t="shared" si="29"/>
        <v>1</v>
      </c>
      <c r="P49" s="1">
        <f t="shared" si="29"/>
        <v>1</v>
      </c>
      <c r="Q49" s="1">
        <f t="shared" si="29"/>
        <v>1</v>
      </c>
      <c r="R49" s="1">
        <f t="shared" si="29"/>
        <v>1</v>
      </c>
      <c r="S49" s="1">
        <f t="shared" si="29"/>
        <v>1</v>
      </c>
      <c r="T49" s="1">
        <f t="shared" si="29"/>
        <v>1</v>
      </c>
      <c r="U49" s="1">
        <f t="shared" si="29"/>
        <v>1</v>
      </c>
      <c r="V49" s="1">
        <f t="shared" si="29"/>
        <v>1</v>
      </c>
      <c r="W49" s="1">
        <f t="shared" si="29"/>
        <v>1</v>
      </c>
      <c r="X49" s="1">
        <f t="shared" si="30"/>
        <v>1</v>
      </c>
      <c r="Y49" s="1">
        <f t="shared" si="30"/>
        <v>1</v>
      </c>
      <c r="Z49" s="1">
        <f t="shared" si="30"/>
        <v>1</v>
      </c>
      <c r="AA49" s="1">
        <f t="shared" si="30"/>
        <v>1</v>
      </c>
      <c r="AB49" s="1">
        <f t="shared" si="30"/>
        <v>1</v>
      </c>
      <c r="AC49" s="1">
        <f t="shared" si="30"/>
        <v>1</v>
      </c>
      <c r="AD49" s="1">
        <f t="shared" si="30"/>
        <v>1</v>
      </c>
      <c r="AE49" s="1">
        <f t="shared" si="30"/>
        <v>1</v>
      </c>
      <c r="AF49" s="1">
        <f t="shared" si="30"/>
        <v>1</v>
      </c>
      <c r="AG49" s="1">
        <f t="shared" si="30"/>
        <v>1</v>
      </c>
      <c r="AH49" s="1">
        <f t="shared" si="30"/>
        <v>1</v>
      </c>
      <c r="AI49" s="1">
        <f t="shared" si="30"/>
        <v>1</v>
      </c>
      <c r="AJ49" s="1">
        <f t="shared" si="30"/>
        <v>1</v>
      </c>
      <c r="AK49" s="1">
        <f t="shared" si="30"/>
        <v>1</v>
      </c>
      <c r="AL49" s="1">
        <f t="shared" si="30"/>
        <v>1</v>
      </c>
      <c r="AM49" s="1">
        <f t="shared" si="30"/>
        <v>1</v>
      </c>
      <c r="AN49" s="1">
        <f t="shared" si="30"/>
        <v>1</v>
      </c>
      <c r="AO49" s="1">
        <f t="shared" si="30"/>
        <v>1</v>
      </c>
      <c r="AP49" s="1">
        <f t="shared" si="30"/>
        <v>1</v>
      </c>
      <c r="AQ49" s="1">
        <f t="shared" si="30"/>
        <v>1</v>
      </c>
    </row>
    <row r="50" spans="4:43" x14ac:dyDescent="0.2">
      <c r="E50" s="3" t="s">
        <v>31</v>
      </c>
      <c r="H50" s="1">
        <f t="shared" si="29"/>
        <v>1</v>
      </c>
      <c r="I50" s="1">
        <f t="shared" si="29"/>
        <v>1</v>
      </c>
      <c r="J50" s="1">
        <f t="shared" si="29"/>
        <v>1</v>
      </c>
      <c r="K50" s="1">
        <f t="shared" si="29"/>
        <v>1</v>
      </c>
      <c r="L50" s="1">
        <f t="shared" si="29"/>
        <v>1</v>
      </c>
      <c r="M50" s="1">
        <f t="shared" si="29"/>
        <v>1</v>
      </c>
      <c r="N50" s="1">
        <f t="shared" si="29"/>
        <v>1</v>
      </c>
      <c r="O50" s="1">
        <f t="shared" si="29"/>
        <v>1</v>
      </c>
      <c r="P50" s="1">
        <f t="shared" si="29"/>
        <v>1</v>
      </c>
      <c r="Q50" s="1">
        <f t="shared" si="29"/>
        <v>1</v>
      </c>
      <c r="R50" s="1">
        <f t="shared" si="29"/>
        <v>1</v>
      </c>
      <c r="S50" s="1">
        <f t="shared" si="29"/>
        <v>1</v>
      </c>
      <c r="T50" s="1">
        <f t="shared" si="29"/>
        <v>1</v>
      </c>
      <c r="U50" s="1">
        <f t="shared" si="29"/>
        <v>1</v>
      </c>
      <c r="V50" s="1">
        <f t="shared" si="29"/>
        <v>1</v>
      </c>
      <c r="W50" s="1">
        <f t="shared" si="29"/>
        <v>1</v>
      </c>
      <c r="X50" s="1">
        <f t="shared" si="30"/>
        <v>1</v>
      </c>
      <c r="Y50" s="1">
        <f t="shared" si="30"/>
        <v>1</v>
      </c>
      <c r="Z50" s="1">
        <f t="shared" si="30"/>
        <v>1</v>
      </c>
      <c r="AA50" s="1">
        <f t="shared" si="30"/>
        <v>1</v>
      </c>
      <c r="AB50" s="1">
        <f t="shared" si="30"/>
        <v>1</v>
      </c>
      <c r="AC50" s="1">
        <f t="shared" si="30"/>
        <v>1</v>
      </c>
      <c r="AD50" s="1">
        <f t="shared" si="30"/>
        <v>1</v>
      </c>
      <c r="AE50" s="1">
        <f t="shared" si="30"/>
        <v>1</v>
      </c>
      <c r="AF50" s="1">
        <f t="shared" si="30"/>
        <v>1</v>
      </c>
      <c r="AG50" s="1">
        <f t="shared" si="30"/>
        <v>1</v>
      </c>
      <c r="AH50" s="1">
        <f t="shared" si="30"/>
        <v>1</v>
      </c>
      <c r="AI50" s="1">
        <f t="shared" si="30"/>
        <v>1</v>
      </c>
      <c r="AJ50" s="1">
        <f t="shared" si="30"/>
        <v>1</v>
      </c>
      <c r="AK50" s="1">
        <f t="shared" si="30"/>
        <v>1</v>
      </c>
      <c r="AL50" s="1">
        <f t="shared" si="30"/>
        <v>1</v>
      </c>
      <c r="AM50" s="1">
        <f t="shared" si="30"/>
        <v>1</v>
      </c>
      <c r="AN50" s="1">
        <f t="shared" si="30"/>
        <v>1</v>
      </c>
      <c r="AO50" s="1">
        <f t="shared" si="30"/>
        <v>1</v>
      </c>
      <c r="AP50" s="1">
        <f t="shared" si="30"/>
        <v>1</v>
      </c>
      <c r="AQ50" s="1">
        <f t="shared" si="30"/>
        <v>1</v>
      </c>
    </row>
    <row r="51" spans="4:43" x14ac:dyDescent="0.2">
      <c r="E51" s="3" t="s">
        <v>19</v>
      </c>
      <c r="H51" s="1">
        <f t="shared" si="29"/>
        <v>0</v>
      </c>
      <c r="I51" s="1">
        <f t="shared" si="29"/>
        <v>0</v>
      </c>
      <c r="J51" s="1">
        <f t="shared" si="29"/>
        <v>0</v>
      </c>
      <c r="K51" s="1">
        <f t="shared" si="29"/>
        <v>0</v>
      </c>
      <c r="L51" s="1">
        <f t="shared" si="29"/>
        <v>1</v>
      </c>
      <c r="M51" s="1">
        <f t="shared" si="29"/>
        <v>1</v>
      </c>
      <c r="N51" s="1">
        <f t="shared" si="29"/>
        <v>0</v>
      </c>
      <c r="O51" s="1">
        <f t="shared" si="29"/>
        <v>0</v>
      </c>
      <c r="P51" s="1">
        <f t="shared" si="29"/>
        <v>0</v>
      </c>
      <c r="Q51" s="1">
        <f t="shared" si="29"/>
        <v>0</v>
      </c>
      <c r="R51" s="1">
        <f t="shared" si="29"/>
        <v>0</v>
      </c>
      <c r="S51" s="1">
        <f t="shared" si="29"/>
        <v>1</v>
      </c>
      <c r="T51" s="1">
        <f t="shared" si="29"/>
        <v>1</v>
      </c>
      <c r="U51" s="1">
        <f t="shared" si="29"/>
        <v>0</v>
      </c>
      <c r="V51" s="1">
        <f t="shared" si="29"/>
        <v>0</v>
      </c>
      <c r="W51" s="1">
        <f t="shared" si="29"/>
        <v>0</v>
      </c>
      <c r="X51" s="1">
        <f t="shared" si="30"/>
        <v>0</v>
      </c>
      <c r="Y51" s="1">
        <f t="shared" si="30"/>
        <v>0</v>
      </c>
      <c r="Z51" s="1">
        <f t="shared" si="30"/>
        <v>1</v>
      </c>
      <c r="AA51" s="1">
        <f t="shared" si="30"/>
        <v>1</v>
      </c>
      <c r="AB51" s="1">
        <f t="shared" si="30"/>
        <v>0</v>
      </c>
      <c r="AC51" s="1">
        <f t="shared" si="30"/>
        <v>0</v>
      </c>
      <c r="AD51" s="1">
        <f t="shared" si="30"/>
        <v>0</v>
      </c>
      <c r="AE51" s="1">
        <f t="shared" si="30"/>
        <v>1</v>
      </c>
      <c r="AF51" s="1">
        <f t="shared" si="30"/>
        <v>0</v>
      </c>
      <c r="AG51" s="1">
        <f t="shared" si="30"/>
        <v>1</v>
      </c>
      <c r="AH51" s="1">
        <f t="shared" si="30"/>
        <v>1</v>
      </c>
      <c r="AI51" s="1">
        <f t="shared" si="30"/>
        <v>0</v>
      </c>
      <c r="AJ51" s="1">
        <f t="shared" si="30"/>
        <v>0</v>
      </c>
      <c r="AK51" s="1">
        <f t="shared" si="30"/>
        <v>0</v>
      </c>
      <c r="AL51" s="1">
        <f t="shared" si="30"/>
        <v>1</v>
      </c>
      <c r="AM51" s="1">
        <f t="shared" si="30"/>
        <v>0</v>
      </c>
      <c r="AN51" s="1">
        <f t="shared" si="30"/>
        <v>1</v>
      </c>
      <c r="AO51" s="1">
        <f t="shared" si="30"/>
        <v>1</v>
      </c>
      <c r="AP51" s="1">
        <f t="shared" si="30"/>
        <v>0</v>
      </c>
      <c r="AQ51" s="1">
        <f t="shared" si="30"/>
        <v>0</v>
      </c>
    </row>
    <row r="52" spans="4:43" x14ac:dyDescent="0.2">
      <c r="E52" s="3" t="s">
        <v>57</v>
      </c>
      <c r="H52" s="1">
        <f t="shared" ref="H52:AQ52" si="31">COUNTIFS(H$8:H$43,"WR*")</f>
        <v>0</v>
      </c>
      <c r="I52" s="1">
        <f t="shared" si="31"/>
        <v>0</v>
      </c>
      <c r="J52" s="1">
        <f t="shared" si="31"/>
        <v>0</v>
      </c>
      <c r="K52" s="1">
        <f t="shared" si="31"/>
        <v>0</v>
      </c>
      <c r="L52" s="1">
        <f t="shared" si="31"/>
        <v>3</v>
      </c>
      <c r="M52" s="1">
        <f t="shared" si="31"/>
        <v>3</v>
      </c>
      <c r="N52" s="1">
        <f t="shared" si="31"/>
        <v>0</v>
      </c>
      <c r="O52" s="1">
        <f t="shared" si="31"/>
        <v>0</v>
      </c>
      <c r="P52" s="1">
        <f t="shared" si="31"/>
        <v>0</v>
      </c>
      <c r="Q52" s="1">
        <f t="shared" si="31"/>
        <v>0</v>
      </c>
      <c r="R52" s="1">
        <f t="shared" si="31"/>
        <v>0</v>
      </c>
      <c r="S52" s="1">
        <f t="shared" si="31"/>
        <v>3</v>
      </c>
      <c r="T52" s="1">
        <f t="shared" si="31"/>
        <v>3</v>
      </c>
      <c r="U52" s="1">
        <f t="shared" si="31"/>
        <v>0</v>
      </c>
      <c r="V52" s="1">
        <f t="shared" si="31"/>
        <v>0</v>
      </c>
      <c r="W52" s="1">
        <f t="shared" si="31"/>
        <v>0</v>
      </c>
      <c r="X52" s="1">
        <f t="shared" si="31"/>
        <v>0</v>
      </c>
      <c r="Y52" s="1">
        <f t="shared" si="31"/>
        <v>0</v>
      </c>
      <c r="Z52" s="1">
        <f t="shared" si="31"/>
        <v>3</v>
      </c>
      <c r="AA52" s="1">
        <f t="shared" si="31"/>
        <v>3</v>
      </c>
      <c r="AB52" s="1">
        <f t="shared" si="31"/>
        <v>0</v>
      </c>
      <c r="AC52" s="1">
        <f t="shared" si="31"/>
        <v>0</v>
      </c>
      <c r="AD52" s="1">
        <f t="shared" si="31"/>
        <v>0</v>
      </c>
      <c r="AE52" s="1">
        <f t="shared" si="31"/>
        <v>3</v>
      </c>
      <c r="AF52" s="1">
        <f t="shared" si="31"/>
        <v>0</v>
      </c>
      <c r="AG52" s="1">
        <f t="shared" si="31"/>
        <v>3</v>
      </c>
      <c r="AH52" s="1">
        <f t="shared" si="31"/>
        <v>3</v>
      </c>
      <c r="AI52" s="1">
        <f t="shared" si="31"/>
        <v>0</v>
      </c>
      <c r="AJ52" s="1">
        <f t="shared" si="31"/>
        <v>0</v>
      </c>
      <c r="AK52" s="1">
        <f t="shared" si="31"/>
        <v>0</v>
      </c>
      <c r="AL52" s="1">
        <f t="shared" si="31"/>
        <v>3</v>
      </c>
      <c r="AM52" s="1">
        <f t="shared" si="31"/>
        <v>0</v>
      </c>
      <c r="AN52" s="1">
        <f t="shared" si="31"/>
        <v>3</v>
      </c>
      <c r="AO52" s="1">
        <f t="shared" si="31"/>
        <v>3</v>
      </c>
      <c r="AP52" s="1">
        <f t="shared" si="31"/>
        <v>0</v>
      </c>
      <c r="AQ52" s="1">
        <f t="shared" si="31"/>
        <v>0</v>
      </c>
    </row>
    <row r="53" spans="4:43" x14ac:dyDescent="0.2">
      <c r="E53" s="3" t="s">
        <v>70</v>
      </c>
      <c r="H53" s="1">
        <f t="shared" ref="H53:AQ53" si="32">COUNTIFS(H$8:H$43,"S")</f>
        <v>1</v>
      </c>
      <c r="I53" s="1">
        <f t="shared" si="32"/>
        <v>1</v>
      </c>
      <c r="J53" s="1">
        <f t="shared" si="32"/>
        <v>1</v>
      </c>
      <c r="K53" s="1">
        <f t="shared" si="32"/>
        <v>1</v>
      </c>
      <c r="L53" s="1">
        <f t="shared" si="32"/>
        <v>1</v>
      </c>
      <c r="M53" s="1">
        <f t="shared" si="32"/>
        <v>1</v>
      </c>
      <c r="N53" s="1">
        <f t="shared" si="32"/>
        <v>1</v>
      </c>
      <c r="O53" s="1">
        <f t="shared" si="32"/>
        <v>1</v>
      </c>
      <c r="P53" s="1">
        <f t="shared" si="32"/>
        <v>1</v>
      </c>
      <c r="Q53" s="1">
        <f t="shared" si="32"/>
        <v>1</v>
      </c>
      <c r="R53" s="1">
        <f t="shared" si="32"/>
        <v>1</v>
      </c>
      <c r="S53" s="1">
        <f t="shared" si="32"/>
        <v>1</v>
      </c>
      <c r="T53" s="1">
        <f t="shared" si="32"/>
        <v>1</v>
      </c>
      <c r="U53" s="1">
        <f t="shared" si="32"/>
        <v>1</v>
      </c>
      <c r="V53" s="1">
        <f t="shared" si="32"/>
        <v>1</v>
      </c>
      <c r="W53" s="1">
        <f t="shared" si="32"/>
        <v>1</v>
      </c>
      <c r="X53" s="1">
        <f t="shared" si="32"/>
        <v>1</v>
      </c>
      <c r="Y53" s="1">
        <f t="shared" si="32"/>
        <v>1</v>
      </c>
      <c r="Z53" s="1">
        <f t="shared" si="32"/>
        <v>1</v>
      </c>
      <c r="AA53" s="1">
        <f t="shared" si="32"/>
        <v>1</v>
      </c>
      <c r="AB53" s="1">
        <f t="shared" si="32"/>
        <v>1</v>
      </c>
      <c r="AC53" s="1">
        <f t="shared" si="32"/>
        <v>1</v>
      </c>
      <c r="AD53" s="1">
        <f t="shared" si="32"/>
        <v>1</v>
      </c>
      <c r="AE53" s="1">
        <f t="shared" si="32"/>
        <v>1</v>
      </c>
      <c r="AF53" s="1">
        <f t="shared" si="32"/>
        <v>1</v>
      </c>
      <c r="AG53" s="1">
        <f t="shared" si="32"/>
        <v>1</v>
      </c>
      <c r="AH53" s="1">
        <f t="shared" si="32"/>
        <v>1</v>
      </c>
      <c r="AI53" s="1">
        <f t="shared" si="32"/>
        <v>1</v>
      </c>
      <c r="AJ53" s="1">
        <f t="shared" si="32"/>
        <v>1</v>
      </c>
      <c r="AK53" s="1">
        <f t="shared" si="32"/>
        <v>1</v>
      </c>
      <c r="AL53" s="1">
        <f t="shared" si="32"/>
        <v>1</v>
      </c>
      <c r="AM53" s="1">
        <f t="shared" si="32"/>
        <v>1</v>
      </c>
      <c r="AN53" s="1">
        <f t="shared" si="32"/>
        <v>1</v>
      </c>
      <c r="AO53" s="1">
        <f t="shared" si="32"/>
        <v>1</v>
      </c>
      <c r="AP53" s="1">
        <f t="shared" si="32"/>
        <v>1</v>
      </c>
      <c r="AQ53" s="1">
        <f t="shared" si="32"/>
        <v>1</v>
      </c>
    </row>
    <row r="56" spans="4:43" x14ac:dyDescent="0.2">
      <c r="D56" s="3" t="s">
        <v>189</v>
      </c>
      <c r="E56" s="237" t="str">
        <f>TEXT(D3-1,"mmm yy")</f>
        <v>Nov 25</v>
      </c>
    </row>
    <row r="57" spans="4:43" x14ac:dyDescent="0.2">
      <c r="D57" s="3" t="s">
        <v>190</v>
      </c>
      <c r="E57" s="239">
        <v>53</v>
      </c>
    </row>
    <row r="58" spans="4:43" x14ac:dyDescent="0.2">
      <c r="D58" s="3" t="s">
        <v>192</v>
      </c>
      <c r="E58" s="3" t="str">
        <f>SUBSTITUTE(ADDRESS(1,COLUMN(D5)+E57-1,4),"1","")</f>
        <v>BD</v>
      </c>
    </row>
    <row r="59" spans="4:43" x14ac:dyDescent="0.2">
      <c r="D59" s="3" t="s">
        <v>191</v>
      </c>
      <c r="E59" s="239">
        <v>39</v>
      </c>
    </row>
  </sheetData>
  <mergeCells count="7">
    <mergeCell ref="AS3:AV3"/>
    <mergeCell ref="AS4:AV4"/>
    <mergeCell ref="AW4:BL4"/>
    <mergeCell ref="AS5:AV6"/>
    <mergeCell ref="AW5:BB6"/>
    <mergeCell ref="BC5:BG6"/>
    <mergeCell ref="BH5:BL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D320-5404-44EA-9684-D6DDFAB52C48}">
  <dimension ref="B2:BP59"/>
  <sheetViews>
    <sheetView showGridLines="0" zoomScale="68" zoomScaleNormal="68" workbookViewId="0">
      <pane xSplit="5" ySplit="7" topLeftCell="AP8" activePane="bottomRight" state="frozen"/>
      <selection activeCell="AW11" sqref="AW11"/>
      <selection pane="topRight" activeCell="AW11" sqref="AW11"/>
      <selection pane="bottomLeft" activeCell="AW11" sqref="AW11"/>
      <selection pane="bottomRight" activeCell="AW11" sqref="AW11"/>
    </sheetView>
  </sheetViews>
  <sheetFormatPr baseColWidth="10" defaultColWidth="10.83203125" defaultRowHeight="15" x14ac:dyDescent="0.2"/>
  <cols>
    <col min="1" max="1" width="1.83203125" style="1" customWidth="1"/>
    <col min="2" max="2" width="5.1640625" style="1" customWidth="1"/>
    <col min="3" max="3" width="3.83203125" style="3" bestFit="1" customWidth="1"/>
    <col min="4" max="4" width="23.83203125" style="3" bestFit="1" customWidth="1"/>
    <col min="5" max="5" width="11.83203125" style="3" bestFit="1" customWidth="1"/>
    <col min="6" max="35" width="10.83203125" style="1"/>
    <col min="36" max="36" width="3.1640625" style="1" customWidth="1"/>
    <col min="37" max="38" width="10.83203125" style="1"/>
    <col min="39" max="39" width="14.1640625" style="1" bestFit="1" customWidth="1"/>
    <col min="40" max="40" width="17" style="1" bestFit="1" customWidth="1"/>
    <col min="41" max="41" width="10.83203125" style="1"/>
    <col min="42" max="42" width="13.5" style="1" bestFit="1" customWidth="1"/>
    <col min="43" max="43" width="11.5" style="1" bestFit="1" customWidth="1"/>
    <col min="44" max="48" width="10.83203125" style="1"/>
    <col min="49" max="49" width="14.1640625" style="1" bestFit="1" customWidth="1"/>
    <col min="50" max="50" width="17" style="1" bestFit="1" customWidth="1"/>
    <col min="51" max="51" width="22.83203125" style="1" bestFit="1" customWidth="1"/>
    <col min="52" max="53" width="10.83203125" style="1"/>
    <col min="54" max="54" width="14.1640625" style="1" bestFit="1" customWidth="1"/>
    <col min="55" max="55" width="17" style="1" bestFit="1" customWidth="1"/>
    <col min="56" max="56" width="22.83203125" style="1" bestFit="1" customWidth="1"/>
    <col min="57" max="16384" width="10.83203125" style="1"/>
  </cols>
  <sheetData>
    <row r="2" spans="2:68" x14ac:dyDescent="0.2">
      <c r="C2" s="1"/>
      <c r="D2" s="1">
        <v>1</v>
      </c>
      <c r="E2" s="1">
        <f>D2+1</f>
        <v>2</v>
      </c>
      <c r="F2" s="1">
        <f t="shared" ref="F2:BD2" si="0">E2+1</f>
        <v>3</v>
      </c>
      <c r="G2" s="1">
        <f t="shared" si="0"/>
        <v>4</v>
      </c>
      <c r="H2" s="1">
        <f t="shared" si="0"/>
        <v>5</v>
      </c>
      <c r="I2" s="1">
        <f t="shared" si="0"/>
        <v>6</v>
      </c>
      <c r="J2" s="1">
        <f t="shared" si="0"/>
        <v>7</v>
      </c>
      <c r="K2" s="1">
        <f t="shared" si="0"/>
        <v>8</v>
      </c>
      <c r="L2" s="1">
        <f t="shared" si="0"/>
        <v>9</v>
      </c>
      <c r="M2" s="1">
        <f t="shared" si="0"/>
        <v>10</v>
      </c>
      <c r="N2" s="1">
        <f t="shared" si="0"/>
        <v>11</v>
      </c>
      <c r="O2" s="1">
        <f t="shared" si="0"/>
        <v>12</v>
      </c>
      <c r="P2" s="1">
        <f t="shared" si="0"/>
        <v>13</v>
      </c>
      <c r="Q2" s="1">
        <f t="shared" si="0"/>
        <v>14</v>
      </c>
      <c r="R2" s="1">
        <f t="shared" si="0"/>
        <v>15</v>
      </c>
      <c r="S2" s="1">
        <f t="shared" si="0"/>
        <v>16</v>
      </c>
      <c r="T2" s="1">
        <f t="shared" si="0"/>
        <v>17</v>
      </c>
      <c r="U2" s="1">
        <f t="shared" si="0"/>
        <v>18</v>
      </c>
      <c r="V2" s="1">
        <f t="shared" si="0"/>
        <v>19</v>
      </c>
      <c r="W2" s="1">
        <f t="shared" si="0"/>
        <v>20</v>
      </c>
      <c r="X2" s="1">
        <f t="shared" si="0"/>
        <v>21</v>
      </c>
      <c r="Y2" s="1">
        <f t="shared" si="0"/>
        <v>22</v>
      </c>
      <c r="Z2" s="1">
        <f t="shared" si="0"/>
        <v>23</v>
      </c>
      <c r="AA2" s="1">
        <f t="shared" si="0"/>
        <v>24</v>
      </c>
      <c r="AB2" s="1">
        <f t="shared" si="0"/>
        <v>25</v>
      </c>
      <c r="AC2" s="1">
        <f t="shared" si="0"/>
        <v>26</v>
      </c>
      <c r="AD2" s="1">
        <f t="shared" si="0"/>
        <v>27</v>
      </c>
      <c r="AE2" s="1">
        <f t="shared" si="0"/>
        <v>28</v>
      </c>
      <c r="AF2" s="1">
        <f t="shared" si="0"/>
        <v>29</v>
      </c>
      <c r="AG2" s="1">
        <f t="shared" si="0"/>
        <v>30</v>
      </c>
      <c r="AH2" s="1">
        <f>AG2+1</f>
        <v>31</v>
      </c>
      <c r="AI2" s="1">
        <f>AH2+1</f>
        <v>32</v>
      </c>
      <c r="AJ2" s="1">
        <f t="shared" si="0"/>
        <v>33</v>
      </c>
      <c r="AK2" s="1">
        <f t="shared" si="0"/>
        <v>34</v>
      </c>
      <c r="AL2" s="1">
        <f t="shared" si="0"/>
        <v>35</v>
      </c>
      <c r="AM2" s="1">
        <f t="shared" si="0"/>
        <v>36</v>
      </c>
      <c r="AN2" s="1">
        <f t="shared" si="0"/>
        <v>37</v>
      </c>
      <c r="AO2" s="1">
        <f t="shared" si="0"/>
        <v>38</v>
      </c>
      <c r="AP2" s="1">
        <f t="shared" si="0"/>
        <v>39</v>
      </c>
      <c r="AQ2" s="1">
        <f t="shared" si="0"/>
        <v>40</v>
      </c>
      <c r="AR2" s="1">
        <f t="shared" si="0"/>
        <v>41</v>
      </c>
      <c r="AS2" s="1">
        <f t="shared" si="0"/>
        <v>42</v>
      </c>
      <c r="AT2" s="1">
        <f t="shared" si="0"/>
        <v>43</v>
      </c>
      <c r="AU2" s="1">
        <f t="shared" si="0"/>
        <v>44</v>
      </c>
      <c r="AV2" s="1">
        <f t="shared" si="0"/>
        <v>45</v>
      </c>
      <c r="AW2" s="1">
        <f t="shared" si="0"/>
        <v>46</v>
      </c>
      <c r="AX2" s="1">
        <f t="shared" si="0"/>
        <v>47</v>
      </c>
      <c r="AY2" s="1">
        <f t="shared" si="0"/>
        <v>48</v>
      </c>
      <c r="AZ2" s="1">
        <f t="shared" si="0"/>
        <v>49</v>
      </c>
      <c r="BA2" s="1">
        <f t="shared" si="0"/>
        <v>50</v>
      </c>
      <c r="BB2" s="1">
        <f t="shared" si="0"/>
        <v>51</v>
      </c>
      <c r="BC2" s="1">
        <f t="shared" si="0"/>
        <v>52</v>
      </c>
      <c r="BD2" s="249">
        <f t="shared" si="0"/>
        <v>53</v>
      </c>
    </row>
    <row r="3" spans="2:68" ht="27" thickBot="1" x14ac:dyDescent="0.25">
      <c r="D3" s="238">
        <v>45962</v>
      </c>
      <c r="E3" s="3" t="s">
        <v>159</v>
      </c>
      <c r="F3" s="242" t="s">
        <v>160</v>
      </c>
      <c r="G3" s="242" t="s">
        <v>160</v>
      </c>
      <c r="H3" s="242" t="s">
        <v>160</v>
      </c>
      <c r="I3" s="242" t="s">
        <v>160</v>
      </c>
      <c r="J3" s="242" t="s">
        <v>160</v>
      </c>
      <c r="K3" s="242" t="s">
        <v>160</v>
      </c>
      <c r="L3" s="242" t="s">
        <v>160</v>
      </c>
      <c r="M3" s="242" t="s">
        <v>160</v>
      </c>
      <c r="N3" s="242" t="s">
        <v>160</v>
      </c>
      <c r="O3" s="242" t="s">
        <v>160</v>
      </c>
      <c r="P3" s="242" t="s">
        <v>160</v>
      </c>
      <c r="Q3" s="242" t="s">
        <v>160</v>
      </c>
      <c r="R3" s="242" t="s">
        <v>160</v>
      </c>
      <c r="S3" s="242" t="s">
        <v>160</v>
      </c>
      <c r="T3" s="242" t="s">
        <v>160</v>
      </c>
      <c r="U3" s="242" t="s">
        <v>160</v>
      </c>
      <c r="V3" s="242" t="s">
        <v>160</v>
      </c>
      <c r="W3" s="242" t="s">
        <v>160</v>
      </c>
      <c r="X3" s="242" t="s">
        <v>160</v>
      </c>
      <c r="Y3" s="242" t="s">
        <v>160</v>
      </c>
      <c r="Z3" s="242" t="s">
        <v>160</v>
      </c>
      <c r="AA3" s="242" t="s">
        <v>160</v>
      </c>
      <c r="AB3" s="242" t="s">
        <v>160</v>
      </c>
      <c r="AC3" s="242" t="s">
        <v>160</v>
      </c>
      <c r="AD3" s="242" t="s">
        <v>160</v>
      </c>
      <c r="AE3" s="242" t="s">
        <v>160</v>
      </c>
      <c r="AF3" s="242" t="s">
        <v>160</v>
      </c>
      <c r="AG3" s="242" t="s">
        <v>160</v>
      </c>
      <c r="AH3" s="242" t="s">
        <v>160</v>
      </c>
      <c r="AI3" s="242" t="s">
        <v>160</v>
      </c>
      <c r="AK3" s="423" t="s">
        <v>120</v>
      </c>
      <c r="AL3" s="423"/>
      <c r="AM3" s="423"/>
      <c r="AN3" s="423"/>
    </row>
    <row r="4" spans="2:68" ht="16" thickBot="1" x14ac:dyDescent="0.25">
      <c r="F4" s="1" t="s">
        <v>133</v>
      </c>
      <c r="H4" s="1" t="s">
        <v>1</v>
      </c>
      <c r="AK4" s="405" t="s">
        <v>133</v>
      </c>
      <c r="AL4" s="406"/>
      <c r="AM4" s="406"/>
      <c r="AN4" s="407"/>
      <c r="AO4" s="408" t="s">
        <v>175</v>
      </c>
      <c r="AP4" s="409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10"/>
    </row>
    <row r="5" spans="2:68" x14ac:dyDescent="0.2">
      <c r="B5" s="1">
        <v>1</v>
      </c>
      <c r="F5" s="241">
        <v>45963</v>
      </c>
      <c r="G5" s="251">
        <f>F5+1</f>
        <v>45964</v>
      </c>
      <c r="H5" s="57">
        <f>G5+1</f>
        <v>45965</v>
      </c>
      <c r="I5" s="58">
        <f>H5+1</f>
        <v>45966</v>
      </c>
      <c r="J5" s="58">
        <f>I5+1</f>
        <v>45967</v>
      </c>
      <c r="K5" s="58">
        <f>J5+1</f>
        <v>45968</v>
      </c>
      <c r="L5" s="58">
        <f t="shared" ref="L5:AG5" si="1">K5+1</f>
        <v>45969</v>
      </c>
      <c r="M5" s="58">
        <f t="shared" si="1"/>
        <v>45970</v>
      </c>
      <c r="N5" s="58">
        <f t="shared" si="1"/>
        <v>45971</v>
      </c>
      <c r="O5" s="58">
        <f t="shared" si="1"/>
        <v>45972</v>
      </c>
      <c r="P5" s="58">
        <f t="shared" si="1"/>
        <v>45973</v>
      </c>
      <c r="Q5" s="58">
        <f t="shared" si="1"/>
        <v>45974</v>
      </c>
      <c r="R5" s="58">
        <f t="shared" si="1"/>
        <v>45975</v>
      </c>
      <c r="S5" s="58">
        <f t="shared" si="1"/>
        <v>45976</v>
      </c>
      <c r="T5" s="58">
        <f t="shared" si="1"/>
        <v>45977</v>
      </c>
      <c r="U5" s="58">
        <f t="shared" si="1"/>
        <v>45978</v>
      </c>
      <c r="V5" s="58">
        <f t="shared" si="1"/>
        <v>45979</v>
      </c>
      <c r="W5" s="58">
        <f t="shared" si="1"/>
        <v>45980</v>
      </c>
      <c r="X5" s="58">
        <f t="shared" si="1"/>
        <v>45981</v>
      </c>
      <c r="Y5" s="58">
        <f t="shared" si="1"/>
        <v>45982</v>
      </c>
      <c r="Z5" s="58">
        <f t="shared" si="1"/>
        <v>45983</v>
      </c>
      <c r="AA5" s="58">
        <f t="shared" si="1"/>
        <v>45984</v>
      </c>
      <c r="AB5" s="58">
        <f t="shared" si="1"/>
        <v>45985</v>
      </c>
      <c r="AC5" s="58">
        <f t="shared" si="1"/>
        <v>45986</v>
      </c>
      <c r="AD5" s="58">
        <f t="shared" si="1"/>
        <v>45987</v>
      </c>
      <c r="AE5" s="58">
        <f t="shared" si="1"/>
        <v>45988</v>
      </c>
      <c r="AF5" s="58">
        <f t="shared" si="1"/>
        <v>45989</v>
      </c>
      <c r="AG5" s="58">
        <f t="shared" si="1"/>
        <v>45990</v>
      </c>
      <c r="AH5" s="290">
        <f>AG5+1</f>
        <v>45991</v>
      </c>
      <c r="AI5" s="59">
        <f>AH5+1</f>
        <v>45992</v>
      </c>
      <c r="AJ5" s="5"/>
      <c r="AK5" s="411" t="s">
        <v>170</v>
      </c>
      <c r="AL5" s="412"/>
      <c r="AM5" s="412"/>
      <c r="AN5" s="413"/>
      <c r="AO5" s="417" t="s">
        <v>176</v>
      </c>
      <c r="AP5" s="418"/>
      <c r="AQ5" s="418"/>
      <c r="AR5" s="418"/>
      <c r="AS5" s="418"/>
      <c r="AT5" s="419"/>
      <c r="AU5" s="417" t="s">
        <v>188</v>
      </c>
      <c r="AV5" s="418"/>
      <c r="AW5" s="418"/>
      <c r="AX5" s="418"/>
      <c r="AY5" s="419"/>
      <c r="AZ5" s="417" t="s">
        <v>170</v>
      </c>
      <c r="BA5" s="418"/>
      <c r="BB5" s="418"/>
      <c r="BC5" s="418"/>
      <c r="BD5" s="419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</row>
    <row r="6" spans="2:68" ht="16" thickBot="1" x14ac:dyDescent="0.25">
      <c r="B6" s="1">
        <f>B5+1</f>
        <v>2</v>
      </c>
      <c r="F6" s="60">
        <f>WEEKDAY(F5,2)</f>
        <v>7</v>
      </c>
      <c r="G6" s="252">
        <f>WEEKDAY(G5,2)</f>
        <v>1</v>
      </c>
      <c r="H6" s="60">
        <f t="shared" ref="H6:AI6" si="2">WEEKDAY(H5,2)</f>
        <v>2</v>
      </c>
      <c r="I6" s="51">
        <f t="shared" si="2"/>
        <v>3</v>
      </c>
      <c r="J6" s="51">
        <f t="shared" si="2"/>
        <v>4</v>
      </c>
      <c r="K6" s="51">
        <f t="shared" si="2"/>
        <v>5</v>
      </c>
      <c r="L6" s="51">
        <f t="shared" si="2"/>
        <v>6</v>
      </c>
      <c r="M6" s="51">
        <f t="shared" si="2"/>
        <v>7</v>
      </c>
      <c r="N6" s="51">
        <f t="shared" si="2"/>
        <v>1</v>
      </c>
      <c r="O6" s="51">
        <f t="shared" si="2"/>
        <v>2</v>
      </c>
      <c r="P6" s="51">
        <f t="shared" si="2"/>
        <v>3</v>
      </c>
      <c r="Q6" s="51">
        <f t="shared" si="2"/>
        <v>4</v>
      </c>
      <c r="R6" s="51">
        <f t="shared" si="2"/>
        <v>5</v>
      </c>
      <c r="S6" s="51">
        <f t="shared" si="2"/>
        <v>6</v>
      </c>
      <c r="T6" s="282">
        <f t="shared" si="2"/>
        <v>7</v>
      </c>
      <c r="U6" s="282">
        <f t="shared" si="2"/>
        <v>1</v>
      </c>
      <c r="V6" s="51">
        <f t="shared" si="2"/>
        <v>2</v>
      </c>
      <c r="W6" s="51">
        <f t="shared" si="2"/>
        <v>3</v>
      </c>
      <c r="X6" s="51">
        <f t="shared" si="2"/>
        <v>4</v>
      </c>
      <c r="Y6" s="51">
        <f t="shared" si="2"/>
        <v>5</v>
      </c>
      <c r="Z6" s="51">
        <f t="shared" si="2"/>
        <v>6</v>
      </c>
      <c r="AA6" s="51">
        <f t="shared" si="2"/>
        <v>7</v>
      </c>
      <c r="AB6" s="51">
        <f t="shared" si="2"/>
        <v>1</v>
      </c>
      <c r="AC6" s="51">
        <f t="shared" si="2"/>
        <v>2</v>
      </c>
      <c r="AD6" s="51">
        <f t="shared" si="2"/>
        <v>3</v>
      </c>
      <c r="AE6" s="51">
        <f t="shared" si="2"/>
        <v>4</v>
      </c>
      <c r="AF6" s="51">
        <f t="shared" si="2"/>
        <v>5</v>
      </c>
      <c r="AG6" s="51">
        <f t="shared" si="2"/>
        <v>6</v>
      </c>
      <c r="AH6" s="51">
        <f t="shared" si="2"/>
        <v>7</v>
      </c>
      <c r="AI6" s="61">
        <f t="shared" si="2"/>
        <v>1</v>
      </c>
      <c r="AJ6" s="5"/>
      <c r="AK6" s="414"/>
      <c r="AL6" s="415"/>
      <c r="AM6" s="415"/>
      <c r="AN6" s="416"/>
      <c r="AO6" s="420"/>
      <c r="AP6" s="421"/>
      <c r="AQ6" s="421"/>
      <c r="AR6" s="421"/>
      <c r="AS6" s="421"/>
      <c r="AT6" s="422"/>
      <c r="AU6" s="420"/>
      <c r="AV6" s="421"/>
      <c r="AW6" s="421"/>
      <c r="AX6" s="421"/>
      <c r="AY6" s="422"/>
      <c r="AZ6" s="420"/>
      <c r="BA6" s="421"/>
      <c r="BB6" s="421"/>
      <c r="BC6" s="421"/>
      <c r="BD6" s="422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</row>
    <row r="7" spans="2:68" ht="16" thickBot="1" x14ac:dyDescent="0.25">
      <c r="B7" s="1">
        <f t="shared" ref="B7:B43" si="3">B6+1</f>
        <v>3</v>
      </c>
      <c r="C7" s="52" t="s">
        <v>158</v>
      </c>
      <c r="D7" s="285" t="s">
        <v>132</v>
      </c>
      <c r="E7" s="63" t="s">
        <v>4</v>
      </c>
      <c r="F7" s="234" t="str">
        <f>VLOOKUP(WEEKDAY(F5,2),Index!$B$2:$C$8,2,0)</f>
        <v>Sunday</v>
      </c>
      <c r="G7" s="264" t="str">
        <f>VLOOKUP(WEEKDAY(G5,2),Index!$B$2:$C$8,2,0)</f>
        <v>Monday</v>
      </c>
      <c r="H7" s="84" t="str">
        <f>VLOOKUP(WEEKDAY(H5,2),Index!$B$2:$C$8,2,0)</f>
        <v>Tuesday</v>
      </c>
      <c r="I7" s="82" t="str">
        <f>VLOOKUP(WEEKDAY(I5,2),Index!$B$2:$C$8,2,0)</f>
        <v>Wednesday</v>
      </c>
      <c r="J7" s="82" t="str">
        <f>VLOOKUP(WEEKDAY(J5,2),Index!$B$2:$C$8,2,0)</f>
        <v>Thursday</v>
      </c>
      <c r="K7" s="82" t="str">
        <f>VLOOKUP(WEEKDAY(K5,2),Index!$B$2:$C$8,2,0)</f>
        <v>Friday</v>
      </c>
      <c r="L7" s="55" t="str">
        <f>VLOOKUP(WEEKDAY(L5,2),Index!$B$2:$C$8,2,0)</f>
        <v>Saturday</v>
      </c>
      <c r="M7" s="55" t="str">
        <f>VLOOKUP(WEEKDAY(M5,2),Index!$B$2:$C$8,2,0)</f>
        <v>Sunday</v>
      </c>
      <c r="N7" s="82" t="str">
        <f>VLOOKUP(WEEKDAY(N5,2),Index!$B$2:$C$8,2,0)</f>
        <v>Monday</v>
      </c>
      <c r="O7" s="82" t="str">
        <f>VLOOKUP(WEEKDAY(O5,2),Index!$B$2:$C$8,2,0)</f>
        <v>Tuesday</v>
      </c>
      <c r="P7" s="82" t="str">
        <f>VLOOKUP(WEEKDAY(P5,2),Index!$B$2:$C$8,2,0)</f>
        <v>Wednesday</v>
      </c>
      <c r="Q7" s="82" t="str">
        <f>VLOOKUP(WEEKDAY(Q5,2),Index!$B$2:$C$8,2,0)</f>
        <v>Thursday</v>
      </c>
      <c r="R7" s="82" t="str">
        <f>VLOOKUP(WEEKDAY(R5,2),Index!$B$2:$C$8,2,0)</f>
        <v>Friday</v>
      </c>
      <c r="S7" s="55" t="str">
        <f>VLOOKUP(WEEKDAY(S5,2),Index!$B$2:$C$8,2,0)</f>
        <v>Saturday</v>
      </c>
      <c r="T7" s="55" t="str">
        <f>VLOOKUP(WEEKDAY(T5,2),Index!$B$2:$C$8,2,0)</f>
        <v>Sunday</v>
      </c>
      <c r="U7" s="82" t="str">
        <f>VLOOKUP(WEEKDAY(U5,2),Index!$B$2:$C$8,2,0)</f>
        <v>Monday</v>
      </c>
      <c r="V7" s="82" t="str">
        <f>VLOOKUP(WEEKDAY(V5,2),Index!$B$2:$C$8,2,0)</f>
        <v>Tuesday</v>
      </c>
      <c r="W7" s="82" t="str">
        <f>VLOOKUP(WEEKDAY(W5,2),Index!$B$2:$C$8,2,0)</f>
        <v>Wednesday</v>
      </c>
      <c r="X7" s="82" t="str">
        <f>VLOOKUP(WEEKDAY(X5,2),Index!$B$2:$C$8,2,0)</f>
        <v>Thursday</v>
      </c>
      <c r="Y7" s="82" t="str">
        <f>VLOOKUP(WEEKDAY(Y5,2),Index!$B$2:$C$8,2,0)</f>
        <v>Friday</v>
      </c>
      <c r="Z7" s="55" t="str">
        <f>VLOOKUP(WEEKDAY(Z5,2),Index!$B$2:$C$8,2,0)</f>
        <v>Saturday</v>
      </c>
      <c r="AA7" s="55" t="str">
        <f>VLOOKUP(WEEKDAY(AA5,2),Index!$B$2:$C$8,2,0)</f>
        <v>Sunday</v>
      </c>
      <c r="AB7" s="82" t="str">
        <f>VLOOKUP(WEEKDAY(AB5,2),Index!$B$2:$C$8,2,0)</f>
        <v>Monday</v>
      </c>
      <c r="AC7" s="82" t="str">
        <f>VLOOKUP(WEEKDAY(AC5,2),Index!$B$2:$C$8,2,0)</f>
        <v>Tuesday</v>
      </c>
      <c r="AD7" s="82" t="str">
        <f>VLOOKUP(WEEKDAY(AD5,2),Index!$B$2:$C$8,2,0)</f>
        <v>Wednesday</v>
      </c>
      <c r="AE7" s="82" t="str">
        <f>VLOOKUP(WEEKDAY(AE5,2),Index!$B$2:$C$8,2,0)</f>
        <v>Thursday</v>
      </c>
      <c r="AF7" s="82" t="str">
        <f>VLOOKUP(WEEKDAY(AF5,2),Index!$B$2:$C$8,2,0)</f>
        <v>Friday</v>
      </c>
      <c r="AG7" s="55" t="str">
        <f>VLOOKUP(WEEKDAY(AG5,2),Index!$B$2:$C$8,2,0)</f>
        <v>Saturday</v>
      </c>
      <c r="AH7" s="55" t="str">
        <f>VLOOKUP(WEEKDAY(AH5,2),Index!$B$2:$C$8,2,0)</f>
        <v>Sunday</v>
      </c>
      <c r="AI7" s="83" t="str">
        <f>VLOOKUP(WEEKDAY(AI5,2),Index!$B$2:$C$8,2,0)</f>
        <v>Monday</v>
      </c>
      <c r="AK7" s="272" t="s">
        <v>171</v>
      </c>
      <c r="AL7" s="273" t="s">
        <v>172</v>
      </c>
      <c r="AM7" s="273" t="s">
        <v>173</v>
      </c>
      <c r="AN7" s="274" t="s">
        <v>174</v>
      </c>
      <c r="AO7" s="80" t="s">
        <v>169</v>
      </c>
      <c r="AP7" s="81" t="s">
        <v>177</v>
      </c>
      <c r="AQ7" s="81" t="s">
        <v>178</v>
      </c>
      <c r="AR7" s="81" t="s">
        <v>168</v>
      </c>
      <c r="AS7" s="82" t="s">
        <v>19</v>
      </c>
      <c r="AT7" s="83" t="s">
        <v>77</v>
      </c>
      <c r="AU7" s="234" t="s">
        <v>171</v>
      </c>
      <c r="AV7" s="235" t="s">
        <v>172</v>
      </c>
      <c r="AW7" s="235" t="s">
        <v>173</v>
      </c>
      <c r="AX7" s="235" t="s">
        <v>174</v>
      </c>
      <c r="AY7" s="236" t="s">
        <v>180</v>
      </c>
      <c r="AZ7" s="84" t="s">
        <v>171</v>
      </c>
      <c r="BA7" s="82" t="s">
        <v>172</v>
      </c>
      <c r="BB7" s="82" t="s">
        <v>173</v>
      </c>
      <c r="BC7" s="82" t="s">
        <v>174</v>
      </c>
      <c r="BD7" s="83" t="s">
        <v>180</v>
      </c>
    </row>
    <row r="8" spans="2:68" x14ac:dyDescent="0.2">
      <c r="B8" s="1">
        <f t="shared" si="3"/>
        <v>4</v>
      </c>
      <c r="C8" s="64">
        <v>1</v>
      </c>
      <c r="D8" s="65" t="s">
        <v>156</v>
      </c>
      <c r="E8" s="256">
        <v>31</v>
      </c>
      <c r="F8" s="230" t="str">
        <f>IFERROR(IF(VLOOKUP($D8,'Oct 25'!$C$8:$AH$51,31,0)=0,"",VLOOKUP($D8,'Oct 25'!$C$8:$AH$51,31,0)),"")</f>
        <v/>
      </c>
      <c r="G8" s="70" t="str">
        <f>IFERROR(IF(VLOOKUP($D8,'Oct 25'!$C$8:$AH$51,32,0)=0,"",VLOOKUP($D8,'Oct 25'!$C$8:$AH$51,32,0)),"")</f>
        <v>HO4</v>
      </c>
      <c r="H8" s="37"/>
      <c r="I8" s="23"/>
      <c r="J8" s="297"/>
      <c r="K8" s="23" t="s">
        <v>30</v>
      </c>
      <c r="L8" s="253"/>
      <c r="M8" s="253"/>
      <c r="N8" s="23" t="s">
        <v>77</v>
      </c>
      <c r="O8" s="23"/>
      <c r="P8" s="23"/>
      <c r="Q8" s="23"/>
      <c r="R8" s="23"/>
      <c r="S8" s="253" t="s">
        <v>21</v>
      </c>
      <c r="T8" s="253"/>
      <c r="U8" s="23"/>
      <c r="V8" s="23"/>
      <c r="W8" s="23"/>
      <c r="X8" s="297" t="s">
        <v>30</v>
      </c>
      <c r="Y8" s="254"/>
      <c r="Z8" s="298"/>
      <c r="AA8" s="298"/>
      <c r="AB8" s="23" t="s">
        <v>83</v>
      </c>
      <c r="AC8" s="23" t="s">
        <v>83</v>
      </c>
      <c r="AD8" s="23" t="s">
        <v>83</v>
      </c>
      <c r="AE8" s="23"/>
      <c r="AF8" s="23" t="s">
        <v>31</v>
      </c>
      <c r="AG8" s="253"/>
      <c r="AH8" s="291"/>
      <c r="AI8" s="39"/>
      <c r="AK8" s="266">
        <f>IFERROR(VLOOKUP($D8,'Oct 25'!$C$8:$BC$51,49,0),0)</f>
        <v>10</v>
      </c>
      <c r="AL8" s="267">
        <f>IFERROR(VLOOKUP($D8,'Oct 25'!$C$8:$BC$51,50,0),0)</f>
        <v>15</v>
      </c>
      <c r="AM8" s="267">
        <f>IFERROR(VLOOKUP($D8,'Oct 25'!$C$8:$BC$51,51,0),0)</f>
        <v>12</v>
      </c>
      <c r="AN8" s="268">
        <f>IFERROR(VLOOKUP($D8,'Oct 25'!$C$8:$BC$51,52,0),0)</f>
        <v>2</v>
      </c>
      <c r="AO8" s="86">
        <f>COUNTIFS(H8:AI8,"HO*",$H$6:$AI$6,"&lt;5")</f>
        <v>1</v>
      </c>
      <c r="AP8" s="66">
        <f>COUNTIFS(H8:AI8,"HO*",$H$6:$AI$6,"5")</f>
        <v>2</v>
      </c>
      <c r="AQ8" s="66">
        <f>COUNTIFS(H8:AI8,"HO*",$H$6:$AI$6,"6")-COUNTIFS(H8:AI8,"HO6",$H$6:$AI$6,"6")</f>
        <v>0</v>
      </c>
      <c r="AR8" s="66">
        <f>COUNTIFS(H8:AI8,"HO*",$H$6:$AI$6,"7")-COUNTIFS(H8:AI8,"HO6",$H$6:$AI$6,"7")</f>
        <v>0</v>
      </c>
      <c r="AS8" s="66">
        <f>COUNTIF(H8:AI8,"HO6")</f>
        <v>0</v>
      </c>
      <c r="AT8" s="277">
        <f>COUNTIF(H8:AI8,"S")</f>
        <v>1</v>
      </c>
      <c r="AU8" s="230">
        <f>SUM(AO8:AR8)+AS8*0.5</f>
        <v>3</v>
      </c>
      <c r="AV8" s="66">
        <f>AO8*1+AP8*1.5+AQ8*2.5+AR8*2+AS8*0.5</f>
        <v>4</v>
      </c>
      <c r="AW8" s="275">
        <f>COUNTIFS(H8:AI8,"",$H$6:$AI$6,"&gt;5")+COUNTIFS(H8:AI8,"X",$H$6:$AI$6,"&gt;5")</f>
        <v>7</v>
      </c>
      <c r="AX8" s="66">
        <f>COUNTIF(H8:AI8,"WR*")</f>
        <v>1</v>
      </c>
      <c r="AY8" s="276">
        <f>AV8/AU8</f>
        <v>1.3333333333333333</v>
      </c>
      <c r="AZ8" s="37">
        <f>AU8+AK8</f>
        <v>13</v>
      </c>
      <c r="BA8" s="23">
        <f>AV8+AL8</f>
        <v>19</v>
      </c>
      <c r="BB8" s="23">
        <f>AW8+AM8</f>
        <v>19</v>
      </c>
      <c r="BC8" s="23">
        <f>AX8+AN8</f>
        <v>3</v>
      </c>
      <c r="BD8" s="47">
        <f>BA8/AZ8</f>
        <v>1.4615384615384615</v>
      </c>
    </row>
    <row r="9" spans="2:68" x14ac:dyDescent="0.2">
      <c r="B9" s="1">
        <f t="shared" si="3"/>
        <v>5</v>
      </c>
      <c r="C9" s="71">
        <f>C8+1</f>
        <v>2</v>
      </c>
      <c r="D9" s="6" t="s">
        <v>151</v>
      </c>
      <c r="E9" s="257">
        <v>31</v>
      </c>
      <c r="F9" s="25" t="str">
        <f>IFERROR(IF(VLOOKUP($D9,'Oct 25'!$C$8:$AH$51,31,0)=0,"",VLOOKUP($D9,'Oct 25'!$C$8:$AH$51,31,0)),"")</f>
        <v>HO4</v>
      </c>
      <c r="G9" s="26" t="str">
        <f>IFERROR(IF(VLOOKUP($D9,'Oct 25'!$C$8:$AH$51,32,0)=0,"",VLOOKUP($D9,'Oct 25'!$C$8:$AH$51,32,0)),"")</f>
        <v/>
      </c>
      <c r="H9" s="24"/>
      <c r="I9" s="18"/>
      <c r="J9" s="18"/>
      <c r="K9" s="18"/>
      <c r="L9" s="232"/>
      <c r="M9" s="17" t="s">
        <v>32</v>
      </c>
      <c r="N9" s="18"/>
      <c r="O9" s="18"/>
      <c r="P9" s="15" t="s">
        <v>31</v>
      </c>
      <c r="Q9" s="18"/>
      <c r="R9" s="18" t="s">
        <v>83</v>
      </c>
      <c r="S9" s="17"/>
      <c r="T9" s="17"/>
      <c r="U9" s="18" t="s">
        <v>83</v>
      </c>
      <c r="V9" s="18" t="s">
        <v>30</v>
      </c>
      <c r="W9" s="18"/>
      <c r="X9" s="18"/>
      <c r="Y9" s="15" t="s">
        <v>30</v>
      </c>
      <c r="Z9" s="231"/>
      <c r="AA9" s="17"/>
      <c r="AB9" s="18"/>
      <c r="AC9" s="18"/>
      <c r="AD9" s="18"/>
      <c r="AE9" s="18" t="s">
        <v>77</v>
      </c>
      <c r="AF9" s="18"/>
      <c r="AG9" s="16"/>
      <c r="AH9" s="292" t="s">
        <v>19</v>
      </c>
      <c r="AI9" s="280"/>
      <c r="AK9" s="27">
        <f>IFERROR(VLOOKUP($D9,'Oct 25'!$C$8:$BC$51,49,0),0)</f>
        <v>9</v>
      </c>
      <c r="AL9" s="21">
        <f>IFERROR(VLOOKUP($D9,'Oct 25'!$C$8:$BC$51,50,0),0)</f>
        <v>12.5</v>
      </c>
      <c r="AM9" s="21">
        <f>IFERROR(VLOOKUP($D9,'Oct 25'!$C$8:$BC$51,51,0),0)</f>
        <v>13</v>
      </c>
      <c r="AN9" s="28">
        <f>IFERROR(VLOOKUP($D9,'Oct 25'!$C$8:$BC$51,52,0),0)</f>
        <v>1</v>
      </c>
      <c r="AO9" s="37">
        <f t="shared" ref="AO9:AO43" si="4">COUNTIFS(H9:AI9,"HO*",$H$6:$AI$6,"&lt;5")</f>
        <v>2</v>
      </c>
      <c r="AP9" s="23">
        <f t="shared" ref="AP9:AP43" si="5">COUNTIFS(H9:AI9,"HO*",$H$6:$AI$6,"5")</f>
        <v>1</v>
      </c>
      <c r="AQ9" s="23">
        <f t="shared" ref="AQ9:AQ43" si="6">COUNTIFS(H9:AI9,"HO*",$H$6:$AI$6,"6")-COUNTIFS(H9:AI9,"HO6",$H$6:$AI$6,"6")</f>
        <v>0</v>
      </c>
      <c r="AR9" s="23">
        <f t="shared" ref="AR9:AR43" si="7">COUNTIFS(H9:AI9,"HO*",$H$6:$AI$6,"7")-COUNTIFS(H9:AI9,"HO6",$H$6:$AI$6,"7")</f>
        <v>1</v>
      </c>
      <c r="AS9" s="23">
        <f t="shared" ref="AS9:AS43" si="8">COUNTIF(H9:AI9,"HO6")</f>
        <v>1</v>
      </c>
      <c r="AT9" s="278">
        <f t="shared" ref="AT9:AT43" si="9">COUNTIF(H9:AI9,"S")</f>
        <v>1</v>
      </c>
      <c r="AU9" s="25">
        <f t="shared" ref="AU9:AU43" si="10">SUM(AO9:AR9)+AS9*0.5</f>
        <v>4.5</v>
      </c>
      <c r="AV9" s="18">
        <f t="shared" ref="AV9:AV43" si="11">AO9*1+AP9*1.5+AQ9*2.5+AR9*2+AS9*0.5</f>
        <v>6</v>
      </c>
      <c r="AW9" s="22">
        <f t="shared" ref="AW9:AW43" si="12">COUNTIFS(H9:AI9,"",$H$6:$AI$6,"&gt;5")+COUNTIFS(H9:AI9,"X",$H$6:$AI$6,"&gt;5")</f>
        <v>6</v>
      </c>
      <c r="AX9" s="18">
        <f t="shared" ref="AX9:AX43" si="13">COUNTIF(H9:AI9,"WR*")</f>
        <v>0</v>
      </c>
      <c r="AY9" s="32">
        <f t="shared" ref="AY9:AY43" si="14">AV9/AU9</f>
        <v>1.3333333333333333</v>
      </c>
      <c r="AZ9" s="24">
        <f t="shared" ref="AZ9:AZ43" si="15">AU9+AK9</f>
        <v>13.5</v>
      </c>
      <c r="BA9" s="18">
        <f t="shared" ref="BA9:BA43" si="16">AV9+AL9</f>
        <v>18.5</v>
      </c>
      <c r="BB9" s="18">
        <f t="shared" ref="BB9:BB43" si="17">AW9+AM9</f>
        <v>19</v>
      </c>
      <c r="BC9" s="18">
        <f t="shared" ref="BC9:BC43" si="18">AX9+AN9</f>
        <v>1</v>
      </c>
      <c r="BD9" s="32">
        <f t="shared" ref="BD9:BD43" si="19">BA9/AZ9</f>
        <v>1.3703703703703705</v>
      </c>
    </row>
    <row r="10" spans="2:68" x14ac:dyDescent="0.2">
      <c r="B10" s="1">
        <f t="shared" si="3"/>
        <v>6</v>
      </c>
      <c r="C10" s="71">
        <f t="shared" ref="C10:C17" si="20">C9+1</f>
        <v>3</v>
      </c>
      <c r="D10" s="7" t="s">
        <v>197</v>
      </c>
      <c r="E10" s="257">
        <v>31</v>
      </c>
      <c r="F10" s="25" t="str">
        <f>IFERROR(IF(VLOOKUP($D10,'Oct 25'!$C$8:$AH$51,31,0)=0,"",VLOOKUP($D10,'Oct 25'!$C$8:$AH$51,31,0)),"")</f>
        <v/>
      </c>
      <c r="G10" s="26" t="str">
        <f>IFERROR(IF(VLOOKUP($D10,'Oct 25'!$C$8:$AH$51,32,0)=0,"",VLOOKUP($D10,'Oct 25'!$C$8:$AH$51,32,0)),"")</f>
        <v/>
      </c>
      <c r="H10" s="24" t="s">
        <v>30</v>
      </c>
      <c r="I10" s="18"/>
      <c r="J10" s="15"/>
      <c r="K10" s="18"/>
      <c r="L10" s="17" t="s">
        <v>31</v>
      </c>
      <c r="M10" s="17"/>
      <c r="N10" s="18"/>
      <c r="O10" s="18" t="s">
        <v>77</v>
      </c>
      <c r="P10" s="18"/>
      <c r="Q10" s="18"/>
      <c r="R10" s="18"/>
      <c r="S10" s="17" t="s">
        <v>81</v>
      </c>
      <c r="T10" s="17"/>
      <c r="U10" s="18" t="s">
        <v>30</v>
      </c>
      <c r="V10" s="18"/>
      <c r="W10" s="18"/>
      <c r="X10" s="15"/>
      <c r="Y10" s="18"/>
      <c r="Z10" s="17" t="s">
        <v>34</v>
      </c>
      <c r="AA10" s="17"/>
      <c r="AB10" s="18"/>
      <c r="AC10" s="18"/>
      <c r="AD10" s="18" t="s">
        <v>34</v>
      </c>
      <c r="AE10" s="18"/>
      <c r="AF10" s="18"/>
      <c r="AG10" s="17"/>
      <c r="AH10" s="292"/>
      <c r="AI10" s="26"/>
      <c r="AK10" s="27">
        <f>IFERROR(VLOOKUP($D10,'Oct 25'!$C$8:$BC$51,49,0),0)</f>
        <v>0</v>
      </c>
      <c r="AL10" s="21">
        <f>IFERROR(VLOOKUP($D10,'Oct 25'!$C$8:$BC$51,50,0),0)</f>
        <v>0</v>
      </c>
      <c r="AM10" s="21">
        <f>IFERROR(VLOOKUP($D10,'Oct 25'!$C$8:$BC$51,51,0),0)</f>
        <v>9</v>
      </c>
      <c r="AN10" s="28">
        <f>IFERROR(VLOOKUP($D10,'Oct 25'!$C$8:$BC$51,52,0),0)</f>
        <v>0</v>
      </c>
      <c r="AO10" s="37">
        <f t="shared" si="4"/>
        <v>3</v>
      </c>
      <c r="AP10" s="23">
        <f t="shared" si="5"/>
        <v>0</v>
      </c>
      <c r="AQ10" s="23">
        <f t="shared" si="6"/>
        <v>2</v>
      </c>
      <c r="AR10" s="23">
        <f t="shared" si="7"/>
        <v>0</v>
      </c>
      <c r="AS10" s="23">
        <f t="shared" si="8"/>
        <v>0</v>
      </c>
      <c r="AT10" s="278">
        <f t="shared" si="9"/>
        <v>1</v>
      </c>
      <c r="AU10" s="25">
        <f t="shared" si="10"/>
        <v>5</v>
      </c>
      <c r="AV10" s="18">
        <f t="shared" si="11"/>
        <v>8</v>
      </c>
      <c r="AW10" s="22">
        <f t="shared" si="12"/>
        <v>5</v>
      </c>
      <c r="AX10" s="18">
        <f t="shared" si="13"/>
        <v>1</v>
      </c>
      <c r="AY10" s="32">
        <f t="shared" si="14"/>
        <v>1.6</v>
      </c>
      <c r="AZ10" s="24">
        <f t="shared" si="15"/>
        <v>5</v>
      </c>
      <c r="BA10" s="18">
        <f t="shared" si="16"/>
        <v>8</v>
      </c>
      <c r="BB10" s="18">
        <f t="shared" si="17"/>
        <v>14</v>
      </c>
      <c r="BC10" s="18">
        <f t="shared" si="18"/>
        <v>1</v>
      </c>
      <c r="BD10" s="32">
        <f t="shared" si="19"/>
        <v>1.6</v>
      </c>
    </row>
    <row r="11" spans="2:68" x14ac:dyDescent="0.2">
      <c r="B11" s="1">
        <f t="shared" si="3"/>
        <v>7</v>
      </c>
      <c r="C11" s="71">
        <f t="shared" si="20"/>
        <v>4</v>
      </c>
      <c r="D11" s="6" t="s">
        <v>155</v>
      </c>
      <c r="E11" s="257">
        <v>55</v>
      </c>
      <c r="F11" s="25" t="str">
        <f>IFERROR(IF(VLOOKUP($D11,'Oct 25'!$C$8:$AH$51,31,0)=0,"",VLOOKUP($D11,'Oct 25'!$C$8:$AH$51,31,0)),"")</f>
        <v>HO1</v>
      </c>
      <c r="G11" s="26" t="str">
        <f>IFERROR(IF(VLOOKUP($D11,'Oct 25'!$C$8:$AH$51,32,0)=0,"",VLOOKUP($D11,'Oct 25'!$C$8:$AH$51,32,0)),"")</f>
        <v/>
      </c>
      <c r="H11" s="24"/>
      <c r="I11" s="18"/>
      <c r="J11" s="15" t="s">
        <v>30</v>
      </c>
      <c r="K11" s="18"/>
      <c r="L11" s="16"/>
      <c r="M11" s="232"/>
      <c r="N11" s="18"/>
      <c r="O11" s="18"/>
      <c r="P11" s="18"/>
      <c r="Q11" s="15" t="s">
        <v>30</v>
      </c>
      <c r="R11" s="18"/>
      <c r="S11" s="16"/>
      <c r="T11" s="17" t="s">
        <v>77</v>
      </c>
      <c r="U11" s="18"/>
      <c r="V11" s="18" t="s">
        <v>83</v>
      </c>
      <c r="W11" s="18" t="s">
        <v>83</v>
      </c>
      <c r="X11" s="18" t="s">
        <v>83</v>
      </c>
      <c r="Y11" s="18" t="s">
        <v>83</v>
      </c>
      <c r="Z11" s="17" t="s">
        <v>207</v>
      </c>
      <c r="AA11" s="17" t="s">
        <v>207</v>
      </c>
      <c r="AB11" s="18" t="s">
        <v>83</v>
      </c>
      <c r="AC11" s="18" t="s">
        <v>83</v>
      </c>
      <c r="AD11" s="18" t="s">
        <v>30</v>
      </c>
      <c r="AE11" s="18"/>
      <c r="AF11" s="18"/>
      <c r="AG11" s="17" t="s">
        <v>30</v>
      </c>
      <c r="AH11" s="292"/>
      <c r="AI11" s="26"/>
      <c r="AK11" s="27">
        <f>IFERROR(VLOOKUP($D11,'Oct 25'!$C$8:$BC$51,49,0),0)</f>
        <v>9.5</v>
      </c>
      <c r="AL11" s="21">
        <f>IFERROR(VLOOKUP($D11,'Oct 25'!$C$8:$BC$51,50,0),0)</f>
        <v>15</v>
      </c>
      <c r="AM11" s="21">
        <f>IFERROR(VLOOKUP($D11,'Oct 25'!$C$8:$BC$51,51,0),0)</f>
        <v>10</v>
      </c>
      <c r="AN11" s="28">
        <f>IFERROR(VLOOKUP($D11,'Oct 25'!$C$8:$BC$51,52,0),0)</f>
        <v>2</v>
      </c>
      <c r="AO11" s="37">
        <f t="shared" si="4"/>
        <v>3</v>
      </c>
      <c r="AP11" s="23">
        <f t="shared" si="5"/>
        <v>0</v>
      </c>
      <c r="AQ11" s="23">
        <f t="shared" si="6"/>
        <v>1</v>
      </c>
      <c r="AR11" s="23">
        <f t="shared" si="7"/>
        <v>0</v>
      </c>
      <c r="AS11" s="23">
        <f t="shared" si="8"/>
        <v>0</v>
      </c>
      <c r="AT11" s="278">
        <f t="shared" si="9"/>
        <v>1</v>
      </c>
      <c r="AU11" s="25">
        <f t="shared" si="10"/>
        <v>4</v>
      </c>
      <c r="AV11" s="18">
        <f t="shared" si="11"/>
        <v>5.5</v>
      </c>
      <c r="AW11" s="22">
        <f t="shared" si="12"/>
        <v>4</v>
      </c>
      <c r="AX11" s="18">
        <f t="shared" si="13"/>
        <v>0</v>
      </c>
      <c r="AY11" s="32">
        <f t="shared" si="14"/>
        <v>1.375</v>
      </c>
      <c r="AZ11" s="24">
        <f t="shared" si="15"/>
        <v>13.5</v>
      </c>
      <c r="BA11" s="18">
        <f t="shared" si="16"/>
        <v>20.5</v>
      </c>
      <c r="BB11" s="18">
        <f t="shared" si="17"/>
        <v>14</v>
      </c>
      <c r="BC11" s="18">
        <f t="shared" si="18"/>
        <v>2</v>
      </c>
      <c r="BD11" s="32">
        <f t="shared" si="19"/>
        <v>1.5185185185185186</v>
      </c>
    </row>
    <row r="12" spans="2:68" x14ac:dyDescent="0.2">
      <c r="B12" s="1">
        <f t="shared" si="3"/>
        <v>8</v>
      </c>
      <c r="C12" s="71">
        <f t="shared" si="20"/>
        <v>5</v>
      </c>
      <c r="D12" s="6" t="s">
        <v>157</v>
      </c>
      <c r="E12" s="257">
        <v>55</v>
      </c>
      <c r="F12" s="25" t="str">
        <f>IFERROR(IF(VLOOKUP($D12,'Oct 25'!$C$8:$AH$51,31,0)=0,"",VLOOKUP($D12,'Oct 25'!$C$8:$AH$51,31,0)),"")</f>
        <v/>
      </c>
      <c r="G12" s="26" t="str">
        <f>IFERROR(IF(VLOOKUP($D12,'Oct 25'!$C$8:$AH$51,32,0)=0,"",VLOOKUP($D12,'Oct 25'!$C$8:$AH$51,32,0)),"")</f>
        <v/>
      </c>
      <c r="H12" s="24" t="s">
        <v>77</v>
      </c>
      <c r="I12" s="15"/>
      <c r="J12" s="18"/>
      <c r="K12" s="18" t="s">
        <v>31</v>
      </c>
      <c r="L12" s="17"/>
      <c r="M12" s="17"/>
      <c r="N12" s="18" t="s">
        <v>83</v>
      </c>
      <c r="O12" s="18" t="s">
        <v>83</v>
      </c>
      <c r="P12" s="18" t="s">
        <v>83</v>
      </c>
      <c r="Q12" s="18" t="s">
        <v>83</v>
      </c>
      <c r="R12" s="18" t="s">
        <v>83</v>
      </c>
      <c r="S12" s="17" t="s">
        <v>207</v>
      </c>
      <c r="T12" s="17" t="s">
        <v>207</v>
      </c>
      <c r="U12" s="16"/>
      <c r="V12" s="18"/>
      <c r="W12" s="15" t="s">
        <v>30</v>
      </c>
      <c r="X12" s="233"/>
      <c r="Y12" s="18"/>
      <c r="Z12" s="17"/>
      <c r="AA12" s="17" t="s">
        <v>19</v>
      </c>
      <c r="AB12" s="18"/>
      <c r="AC12" s="18"/>
      <c r="AD12" s="18"/>
      <c r="AE12" s="18"/>
      <c r="AF12" s="18"/>
      <c r="AG12" s="16"/>
      <c r="AH12" s="292"/>
      <c r="AI12" s="26"/>
      <c r="AK12" s="27">
        <f>IFERROR(VLOOKUP($D12,'Oct 25'!$C$8:$BC$51,49,0),0)</f>
        <v>11</v>
      </c>
      <c r="AL12" s="21">
        <f>IFERROR(VLOOKUP($D12,'Oct 25'!$C$8:$BC$51,50,0),0)</f>
        <v>15</v>
      </c>
      <c r="AM12" s="21">
        <f>IFERROR(VLOOKUP($D12,'Oct 25'!$C$8:$BC$51,51,0),0)</f>
        <v>14</v>
      </c>
      <c r="AN12" s="28">
        <f>IFERROR(VLOOKUP($D12,'Oct 25'!$C$8:$BC$51,52,0),0)</f>
        <v>2</v>
      </c>
      <c r="AO12" s="37">
        <f t="shared" si="4"/>
        <v>1</v>
      </c>
      <c r="AP12" s="23">
        <f t="shared" si="5"/>
        <v>1</v>
      </c>
      <c r="AQ12" s="23">
        <f t="shared" si="6"/>
        <v>0</v>
      </c>
      <c r="AR12" s="23">
        <f t="shared" si="7"/>
        <v>0</v>
      </c>
      <c r="AS12" s="23">
        <f t="shared" si="8"/>
        <v>1</v>
      </c>
      <c r="AT12" s="278">
        <f t="shared" si="9"/>
        <v>1</v>
      </c>
      <c r="AU12" s="25">
        <f t="shared" si="10"/>
        <v>2.5</v>
      </c>
      <c r="AV12" s="18">
        <f t="shared" si="11"/>
        <v>3</v>
      </c>
      <c r="AW12" s="22">
        <f t="shared" si="12"/>
        <v>5</v>
      </c>
      <c r="AX12" s="18">
        <f t="shared" si="13"/>
        <v>0</v>
      </c>
      <c r="AY12" s="32">
        <f t="shared" si="14"/>
        <v>1.2</v>
      </c>
      <c r="AZ12" s="24">
        <f t="shared" si="15"/>
        <v>13.5</v>
      </c>
      <c r="BA12" s="18">
        <f t="shared" si="16"/>
        <v>18</v>
      </c>
      <c r="BB12" s="18">
        <f t="shared" si="17"/>
        <v>19</v>
      </c>
      <c r="BC12" s="18">
        <f t="shared" si="18"/>
        <v>2</v>
      </c>
      <c r="BD12" s="32">
        <f t="shared" si="19"/>
        <v>1.3333333333333333</v>
      </c>
    </row>
    <row r="13" spans="2:68" x14ac:dyDescent="0.2">
      <c r="B13" s="1">
        <f t="shared" si="3"/>
        <v>9</v>
      </c>
      <c r="C13" s="71">
        <f t="shared" si="20"/>
        <v>6</v>
      </c>
      <c r="D13" s="7" t="s">
        <v>198</v>
      </c>
      <c r="E13" s="257">
        <v>51</v>
      </c>
      <c r="F13" s="25" t="str">
        <f>IFERROR(IF(VLOOKUP($D13,'Oct 25'!$C$8:$AH$51,31,0)=0,"",VLOOKUP($D13,'Oct 25'!$C$8:$AH$51,31,0)),"")</f>
        <v/>
      </c>
      <c r="G13" s="26" t="str">
        <f>IFERROR(IF(VLOOKUP($D13,'Oct 25'!$C$8:$AH$51,32,0)=0,"",VLOOKUP($D13,'Oct 25'!$C$8:$AH$51,32,0)),"")</f>
        <v/>
      </c>
      <c r="H13" s="24" t="s">
        <v>31</v>
      </c>
      <c r="I13" s="18"/>
      <c r="J13" s="18"/>
      <c r="K13" s="18"/>
      <c r="L13" s="17" t="s">
        <v>30</v>
      </c>
      <c r="M13" s="17"/>
      <c r="N13" s="18"/>
      <c r="O13" s="18"/>
      <c r="P13" s="18"/>
      <c r="Q13" s="18"/>
      <c r="R13" s="15" t="s">
        <v>30</v>
      </c>
      <c r="S13" s="17"/>
      <c r="T13" s="17"/>
      <c r="U13" s="18" t="s">
        <v>77</v>
      </c>
      <c r="V13" s="18"/>
      <c r="W13" s="18"/>
      <c r="X13" s="18" t="s">
        <v>83</v>
      </c>
      <c r="Y13" s="18" t="s">
        <v>83</v>
      </c>
      <c r="Z13" s="16"/>
      <c r="AA13" s="16"/>
      <c r="AB13" s="18"/>
      <c r="AC13" s="15" t="s">
        <v>30</v>
      </c>
      <c r="AD13" s="18"/>
      <c r="AE13" s="18"/>
      <c r="AF13" s="18"/>
      <c r="AG13" s="17" t="s">
        <v>20</v>
      </c>
      <c r="AH13" s="292"/>
      <c r="AI13" s="26" t="s">
        <v>30</v>
      </c>
      <c r="AK13" s="27">
        <f>IFERROR(VLOOKUP($D13,'Oct 25'!$C$8:$BC$51,49,0),0)</f>
        <v>0</v>
      </c>
      <c r="AL13" s="21">
        <f>IFERROR(VLOOKUP($D13,'Oct 25'!$C$8:$BC$51,50,0),0)</f>
        <v>0</v>
      </c>
      <c r="AM13" s="21">
        <f>IFERROR(VLOOKUP($D13,'Oct 25'!$C$8:$BC$51,51,0),0)</f>
        <v>9</v>
      </c>
      <c r="AN13" s="28">
        <f>IFERROR(VLOOKUP($D13,'Oct 25'!$C$8:$BC$51,52,0),0)</f>
        <v>0</v>
      </c>
      <c r="AO13" s="37">
        <f t="shared" si="4"/>
        <v>3</v>
      </c>
      <c r="AP13" s="23">
        <f t="shared" si="5"/>
        <v>1</v>
      </c>
      <c r="AQ13" s="23">
        <f t="shared" si="6"/>
        <v>1</v>
      </c>
      <c r="AR13" s="23">
        <f t="shared" si="7"/>
        <v>0</v>
      </c>
      <c r="AS13" s="23">
        <f t="shared" si="8"/>
        <v>0</v>
      </c>
      <c r="AT13" s="278">
        <f t="shared" si="9"/>
        <v>1</v>
      </c>
      <c r="AU13" s="25">
        <f t="shared" si="10"/>
        <v>5</v>
      </c>
      <c r="AV13" s="18">
        <f t="shared" si="11"/>
        <v>7</v>
      </c>
      <c r="AW13" s="22">
        <f t="shared" si="12"/>
        <v>6</v>
      </c>
      <c r="AX13" s="18">
        <f t="shared" si="13"/>
        <v>1</v>
      </c>
      <c r="AY13" s="32">
        <f t="shared" si="14"/>
        <v>1.4</v>
      </c>
      <c r="AZ13" s="24">
        <f t="shared" si="15"/>
        <v>5</v>
      </c>
      <c r="BA13" s="18">
        <f t="shared" si="16"/>
        <v>7</v>
      </c>
      <c r="BB13" s="18">
        <f t="shared" si="17"/>
        <v>15</v>
      </c>
      <c r="BC13" s="18">
        <f t="shared" si="18"/>
        <v>1</v>
      </c>
      <c r="BD13" s="32">
        <f t="shared" si="19"/>
        <v>1.4</v>
      </c>
    </row>
    <row r="14" spans="2:68" x14ac:dyDescent="0.2">
      <c r="B14" s="1">
        <f t="shared" si="3"/>
        <v>10</v>
      </c>
      <c r="C14" s="71">
        <f t="shared" si="20"/>
        <v>7</v>
      </c>
      <c r="D14" s="8" t="s">
        <v>135</v>
      </c>
      <c r="E14" s="258">
        <v>46</v>
      </c>
      <c r="F14" s="25" t="str">
        <f>IFERROR(IF(VLOOKUP($D14,'Oct 25'!$C$8:$AH$51,31,0)=0,"",VLOOKUP($D14,'Oct 25'!$C$8:$AH$51,31,0)),"")</f>
        <v/>
      </c>
      <c r="G14" s="26" t="str">
        <f>IFERROR(IF(VLOOKUP($D14,'Oct 25'!$C$8:$AH$51,32,0)=0,"",VLOOKUP($D14,'Oct 25'!$C$8:$AH$51,32,0)),"")</f>
        <v>HO1</v>
      </c>
      <c r="H14" s="24"/>
      <c r="I14" s="18"/>
      <c r="J14" s="18"/>
      <c r="K14" s="18" t="s">
        <v>77</v>
      </c>
      <c r="L14" s="17"/>
      <c r="M14" s="17"/>
      <c r="N14" s="18" t="s">
        <v>85</v>
      </c>
      <c r="O14" s="18"/>
      <c r="P14" s="18"/>
      <c r="Q14" s="15" t="s">
        <v>34</v>
      </c>
      <c r="R14" s="18"/>
      <c r="S14" s="17"/>
      <c r="T14" s="17" t="s">
        <v>20</v>
      </c>
      <c r="U14" s="18"/>
      <c r="V14" s="18"/>
      <c r="W14" s="18"/>
      <c r="X14" s="18"/>
      <c r="Y14" s="18" t="s">
        <v>31</v>
      </c>
      <c r="Z14" s="17"/>
      <c r="AA14" s="17"/>
      <c r="AB14" s="233"/>
      <c r="AC14" s="15" t="s">
        <v>34</v>
      </c>
      <c r="AD14" s="18"/>
      <c r="AE14" s="18" t="s">
        <v>83</v>
      </c>
      <c r="AF14" s="18" t="s">
        <v>83</v>
      </c>
      <c r="AG14" s="16"/>
      <c r="AH14" s="294"/>
      <c r="AI14" s="26" t="s">
        <v>83</v>
      </c>
      <c r="AK14" s="27">
        <f>IFERROR(VLOOKUP($D14,'Oct 25'!$C$8:$BC$51,49,0),0)</f>
        <v>10</v>
      </c>
      <c r="AL14" s="21">
        <f>IFERROR(VLOOKUP($D14,'Oct 25'!$C$8:$BC$51,50,0),0)</f>
        <v>14.5</v>
      </c>
      <c r="AM14" s="21">
        <f>IFERROR(VLOOKUP($D14,'Oct 25'!$C$8:$BC$51,51,0),0)</f>
        <v>13</v>
      </c>
      <c r="AN14" s="28">
        <f>IFERROR(VLOOKUP($D14,'Oct 25'!$C$8:$BC$51,52,0),0)</f>
        <v>2</v>
      </c>
      <c r="AO14" s="37">
        <f t="shared" si="4"/>
        <v>2</v>
      </c>
      <c r="AP14" s="23">
        <f t="shared" si="5"/>
        <v>1</v>
      </c>
      <c r="AQ14" s="23">
        <f t="shared" si="6"/>
        <v>0</v>
      </c>
      <c r="AR14" s="23">
        <f t="shared" si="7"/>
        <v>0</v>
      </c>
      <c r="AS14" s="23">
        <f t="shared" si="8"/>
        <v>0</v>
      </c>
      <c r="AT14" s="278">
        <f t="shared" si="9"/>
        <v>1</v>
      </c>
      <c r="AU14" s="25">
        <f t="shared" si="10"/>
        <v>3</v>
      </c>
      <c r="AV14" s="18">
        <f t="shared" si="11"/>
        <v>3.5</v>
      </c>
      <c r="AW14" s="22">
        <f t="shared" si="12"/>
        <v>7</v>
      </c>
      <c r="AX14" s="18">
        <f t="shared" si="13"/>
        <v>1</v>
      </c>
      <c r="AY14" s="32">
        <f t="shared" si="14"/>
        <v>1.1666666666666667</v>
      </c>
      <c r="AZ14" s="24">
        <f t="shared" si="15"/>
        <v>13</v>
      </c>
      <c r="BA14" s="18">
        <f t="shared" si="16"/>
        <v>18</v>
      </c>
      <c r="BB14" s="18">
        <f t="shared" si="17"/>
        <v>20</v>
      </c>
      <c r="BC14" s="18">
        <f t="shared" si="18"/>
        <v>3</v>
      </c>
      <c r="BD14" s="32">
        <f t="shared" si="19"/>
        <v>1.3846153846153846</v>
      </c>
    </row>
    <row r="15" spans="2:68" x14ac:dyDescent="0.2">
      <c r="B15" s="1">
        <f t="shared" si="3"/>
        <v>11</v>
      </c>
      <c r="C15" s="71">
        <f t="shared" si="20"/>
        <v>8</v>
      </c>
      <c r="D15" s="8" t="s">
        <v>137</v>
      </c>
      <c r="E15" s="258">
        <v>56</v>
      </c>
      <c r="F15" s="25" t="str">
        <f>IFERROR(IF(VLOOKUP($D15,'Oct 25'!$C$8:$AH$51,31,0)=0,"",VLOOKUP($D15,'Oct 25'!$C$8:$AH$51,31,0)),"")</f>
        <v/>
      </c>
      <c r="G15" s="26" t="str">
        <f>IFERROR(IF(VLOOKUP($D15,'Oct 25'!$C$8:$AH$51,32,0)=0,"",VLOOKUP($D15,'Oct 25'!$C$8:$AH$51,32,0)),"")</f>
        <v/>
      </c>
      <c r="H15" s="24" t="s">
        <v>34</v>
      </c>
      <c r="I15" s="18"/>
      <c r="J15" s="18" t="s">
        <v>83</v>
      </c>
      <c r="K15" s="18" t="s">
        <v>83</v>
      </c>
      <c r="L15" s="17" t="s">
        <v>207</v>
      </c>
      <c r="M15" s="17" t="s">
        <v>207</v>
      </c>
      <c r="N15" s="18" t="s">
        <v>83</v>
      </c>
      <c r="O15" s="18" t="s">
        <v>83</v>
      </c>
      <c r="P15" s="18" t="s">
        <v>83</v>
      </c>
      <c r="Q15" s="18"/>
      <c r="R15" s="18" t="s">
        <v>34</v>
      </c>
      <c r="S15" s="17"/>
      <c r="T15" s="17"/>
      <c r="U15" s="18"/>
      <c r="V15" s="18" t="s">
        <v>34</v>
      </c>
      <c r="W15" s="233"/>
      <c r="X15" s="18"/>
      <c r="Y15" s="18"/>
      <c r="Z15" s="299" t="s">
        <v>20</v>
      </c>
      <c r="AA15" s="17"/>
      <c r="AB15" s="18" t="s">
        <v>30</v>
      </c>
      <c r="AC15" s="233"/>
      <c r="AD15" s="18"/>
      <c r="AE15" s="18"/>
      <c r="AF15" s="18"/>
      <c r="AG15" s="17" t="s">
        <v>34</v>
      </c>
      <c r="AH15" s="292"/>
      <c r="AI15" s="26"/>
      <c r="AK15" s="27">
        <f>IFERROR(VLOOKUP($D15,'Oct 25'!$C$8:$BC$51,49,0),0)</f>
        <v>8.5</v>
      </c>
      <c r="AL15" s="21">
        <f>IFERROR(VLOOKUP($D15,'Oct 25'!$C$8:$BC$51,50,0),0)</f>
        <v>13</v>
      </c>
      <c r="AM15" s="21">
        <f>IFERROR(VLOOKUP($D15,'Oct 25'!$C$8:$BC$51,51,0),0)</f>
        <v>12</v>
      </c>
      <c r="AN15" s="28">
        <f>IFERROR(VLOOKUP($D15,'Oct 25'!$C$8:$BC$51,52,0),0)</f>
        <v>2</v>
      </c>
      <c r="AO15" s="37">
        <f t="shared" si="4"/>
        <v>3</v>
      </c>
      <c r="AP15" s="23">
        <f t="shared" si="5"/>
        <v>1</v>
      </c>
      <c r="AQ15" s="23">
        <f t="shared" si="6"/>
        <v>1</v>
      </c>
      <c r="AR15" s="23">
        <f t="shared" si="7"/>
        <v>0</v>
      </c>
      <c r="AS15" s="23">
        <f t="shared" si="8"/>
        <v>0</v>
      </c>
      <c r="AT15" s="278">
        <f t="shared" si="9"/>
        <v>0</v>
      </c>
      <c r="AU15" s="25">
        <f t="shared" si="10"/>
        <v>5</v>
      </c>
      <c r="AV15" s="18">
        <f t="shared" si="11"/>
        <v>7</v>
      </c>
      <c r="AW15" s="22">
        <f t="shared" si="12"/>
        <v>4</v>
      </c>
      <c r="AX15" s="18">
        <f t="shared" si="13"/>
        <v>1</v>
      </c>
      <c r="AY15" s="32">
        <f t="shared" si="14"/>
        <v>1.4</v>
      </c>
      <c r="AZ15" s="24">
        <f t="shared" si="15"/>
        <v>13.5</v>
      </c>
      <c r="BA15" s="18">
        <f t="shared" si="16"/>
        <v>20</v>
      </c>
      <c r="BB15" s="18">
        <f t="shared" si="17"/>
        <v>16</v>
      </c>
      <c r="BC15" s="18">
        <f t="shared" si="18"/>
        <v>3</v>
      </c>
      <c r="BD15" s="32">
        <f t="shared" si="19"/>
        <v>1.4814814814814814</v>
      </c>
    </row>
    <row r="16" spans="2:68" x14ac:dyDescent="0.2">
      <c r="B16" s="1">
        <f t="shared" si="3"/>
        <v>12</v>
      </c>
      <c r="C16" s="71">
        <f t="shared" si="20"/>
        <v>9</v>
      </c>
      <c r="D16" s="8" t="s">
        <v>134</v>
      </c>
      <c r="E16" s="258">
        <v>56</v>
      </c>
      <c r="F16" s="25" t="str">
        <f>IFERROR(IF(VLOOKUP($D16,'Oct 25'!$C$8:$AH$51,31,0)=0,"",VLOOKUP($D16,'Oct 25'!$C$8:$AH$51,31,0)),"")</f>
        <v/>
      </c>
      <c r="G16" s="26" t="str">
        <f>IFERROR(IF(VLOOKUP($D16,'Oct 25'!$C$8:$AH$51,32,0)=0,"",VLOOKUP($D16,'Oct 25'!$C$8:$AH$51,32,0)),"")</f>
        <v/>
      </c>
      <c r="H16" s="24"/>
      <c r="I16" s="18" t="s">
        <v>34</v>
      </c>
      <c r="J16" s="233"/>
      <c r="K16" s="18" t="s">
        <v>208</v>
      </c>
      <c r="L16" s="17"/>
      <c r="M16" s="17"/>
      <c r="N16" s="18" t="s">
        <v>34</v>
      </c>
      <c r="O16" s="18"/>
      <c r="P16" s="18"/>
      <c r="Q16" s="16"/>
      <c r="R16" s="18" t="s">
        <v>83</v>
      </c>
      <c r="S16" s="17"/>
      <c r="T16" s="17"/>
      <c r="U16" s="18" t="s">
        <v>83</v>
      </c>
      <c r="V16" s="18" t="s">
        <v>77</v>
      </c>
      <c r="W16" s="18"/>
      <c r="X16" s="233"/>
      <c r="Y16" s="18" t="s">
        <v>34</v>
      </c>
      <c r="Z16" s="17"/>
      <c r="AA16" s="17"/>
      <c r="AB16" s="18"/>
      <c r="AC16" s="18"/>
      <c r="AD16" s="18"/>
      <c r="AE16" s="18"/>
      <c r="AF16" s="18"/>
      <c r="AG16" s="17" t="s">
        <v>31</v>
      </c>
      <c r="AH16" s="292"/>
      <c r="AI16" s="26"/>
      <c r="AK16" s="27">
        <f>IFERROR(VLOOKUP($D16,'Oct 25'!$C$8:$BC$51,49,0),0)</f>
        <v>8</v>
      </c>
      <c r="AL16" s="21">
        <f>IFERROR(VLOOKUP($D16,'Oct 25'!$C$8:$BC$51,50,0),0)</f>
        <v>12.5</v>
      </c>
      <c r="AM16" s="21">
        <f>IFERROR(VLOOKUP($D16,'Oct 25'!$C$8:$BC$51,51,0),0)</f>
        <v>13</v>
      </c>
      <c r="AN16" s="28">
        <f>IFERROR(VLOOKUP($D16,'Oct 25'!$C$8:$BC$51,52,0),0)</f>
        <v>2</v>
      </c>
      <c r="AO16" s="37">
        <f t="shared" si="4"/>
        <v>2</v>
      </c>
      <c r="AP16" s="23">
        <f t="shared" si="5"/>
        <v>1</v>
      </c>
      <c r="AQ16" s="23">
        <f t="shared" si="6"/>
        <v>1</v>
      </c>
      <c r="AR16" s="23">
        <f t="shared" si="7"/>
        <v>0</v>
      </c>
      <c r="AS16" s="23">
        <f t="shared" si="8"/>
        <v>0</v>
      </c>
      <c r="AT16" s="278">
        <f t="shared" si="9"/>
        <v>1</v>
      </c>
      <c r="AU16" s="25">
        <f t="shared" si="10"/>
        <v>4</v>
      </c>
      <c r="AV16" s="18">
        <f t="shared" si="11"/>
        <v>6</v>
      </c>
      <c r="AW16" s="22">
        <f t="shared" si="12"/>
        <v>7</v>
      </c>
      <c r="AX16" s="18">
        <f t="shared" si="13"/>
        <v>0</v>
      </c>
      <c r="AY16" s="32">
        <f t="shared" si="14"/>
        <v>1.5</v>
      </c>
      <c r="AZ16" s="24">
        <f t="shared" si="15"/>
        <v>12</v>
      </c>
      <c r="BA16" s="18">
        <f t="shared" si="16"/>
        <v>18.5</v>
      </c>
      <c r="BB16" s="18">
        <f t="shared" si="17"/>
        <v>20</v>
      </c>
      <c r="BC16" s="18">
        <f t="shared" si="18"/>
        <v>2</v>
      </c>
      <c r="BD16" s="32">
        <f t="shared" si="19"/>
        <v>1.5416666666666667</v>
      </c>
    </row>
    <row r="17" spans="2:56" x14ac:dyDescent="0.2">
      <c r="B17" s="1">
        <f t="shared" si="3"/>
        <v>13</v>
      </c>
      <c r="C17" s="71">
        <f t="shared" si="20"/>
        <v>10</v>
      </c>
      <c r="D17" s="8" t="s">
        <v>138</v>
      </c>
      <c r="E17" s="258">
        <v>56</v>
      </c>
      <c r="F17" s="25" t="str">
        <f>IFERROR(IF(VLOOKUP($D17,'Oct 25'!$C$8:$AH$51,31,0)=0,"",VLOOKUP($D17,'Oct 25'!$C$8:$AH$51,31,0)),"")</f>
        <v/>
      </c>
      <c r="G17" s="26" t="str">
        <f>IFERROR(IF(VLOOKUP($D17,'Oct 25'!$C$8:$AH$51,32,0)=0,"",VLOOKUP($D17,'Oct 25'!$C$8:$AH$51,32,0)),"")</f>
        <v/>
      </c>
      <c r="H17" s="24"/>
      <c r="I17" s="18" t="s">
        <v>31</v>
      </c>
      <c r="J17" s="18"/>
      <c r="K17" s="18"/>
      <c r="L17" s="231" t="s">
        <v>19</v>
      </c>
      <c r="M17" s="17"/>
      <c r="N17" s="18"/>
      <c r="O17" s="18"/>
      <c r="P17" s="18" t="s">
        <v>77</v>
      </c>
      <c r="Q17" s="15"/>
      <c r="R17" s="18"/>
      <c r="S17" s="17" t="s">
        <v>34</v>
      </c>
      <c r="T17" s="16"/>
      <c r="U17" s="18"/>
      <c r="V17" s="18"/>
      <c r="W17" s="18"/>
      <c r="X17" s="15"/>
      <c r="Y17" s="18"/>
      <c r="Z17" s="17" t="s">
        <v>21</v>
      </c>
      <c r="AA17" s="17"/>
      <c r="AB17" s="18" t="s">
        <v>31</v>
      </c>
      <c r="AC17" s="18"/>
      <c r="AD17" s="18" t="s">
        <v>83</v>
      </c>
      <c r="AE17" s="18" t="s">
        <v>83</v>
      </c>
      <c r="AF17" s="18" t="s">
        <v>83</v>
      </c>
      <c r="AG17" s="17" t="s">
        <v>207</v>
      </c>
      <c r="AH17" s="292" t="s">
        <v>207</v>
      </c>
      <c r="AI17" s="26" t="s">
        <v>83</v>
      </c>
      <c r="AK17" s="27">
        <f>IFERROR(VLOOKUP($D17,'Oct 25'!$C$8:$BC$51,49,0),0)</f>
        <v>10</v>
      </c>
      <c r="AL17" s="21">
        <f>IFERROR(VLOOKUP($D17,'Oct 25'!$C$8:$BC$51,50,0),0)</f>
        <v>14</v>
      </c>
      <c r="AM17" s="21">
        <f>IFERROR(VLOOKUP($D17,'Oct 25'!$C$8:$BC$51,51,0),0)</f>
        <v>13</v>
      </c>
      <c r="AN17" s="28">
        <f>IFERROR(VLOOKUP($D17,'Oct 25'!$C$8:$BC$51,52,0),0)</f>
        <v>1</v>
      </c>
      <c r="AO17" s="37">
        <f t="shared" si="4"/>
        <v>2</v>
      </c>
      <c r="AP17" s="23">
        <f t="shared" si="5"/>
        <v>0</v>
      </c>
      <c r="AQ17" s="23">
        <f t="shared" si="6"/>
        <v>1</v>
      </c>
      <c r="AR17" s="23">
        <f t="shared" si="7"/>
        <v>0</v>
      </c>
      <c r="AS17" s="23">
        <f t="shared" si="8"/>
        <v>1</v>
      </c>
      <c r="AT17" s="278">
        <f t="shared" si="9"/>
        <v>1</v>
      </c>
      <c r="AU17" s="25">
        <f t="shared" si="10"/>
        <v>3.5</v>
      </c>
      <c r="AV17" s="18">
        <f t="shared" si="11"/>
        <v>5</v>
      </c>
      <c r="AW17" s="22">
        <f t="shared" si="12"/>
        <v>3</v>
      </c>
      <c r="AX17" s="18">
        <f t="shared" si="13"/>
        <v>1</v>
      </c>
      <c r="AY17" s="32">
        <f t="shared" si="14"/>
        <v>1.4285714285714286</v>
      </c>
      <c r="AZ17" s="24">
        <f t="shared" si="15"/>
        <v>13.5</v>
      </c>
      <c r="BA17" s="18">
        <f t="shared" si="16"/>
        <v>19</v>
      </c>
      <c r="BB17" s="18">
        <f t="shared" si="17"/>
        <v>16</v>
      </c>
      <c r="BC17" s="18">
        <f t="shared" si="18"/>
        <v>2</v>
      </c>
      <c r="BD17" s="32">
        <f t="shared" si="19"/>
        <v>1.4074074074074074</v>
      </c>
    </row>
    <row r="18" spans="2:56" x14ac:dyDescent="0.2">
      <c r="B18" s="1">
        <f t="shared" si="3"/>
        <v>14</v>
      </c>
      <c r="C18" s="71">
        <f t="shared" ref="C18:C43" si="21">C17+1</f>
        <v>11</v>
      </c>
      <c r="D18" s="9" t="s">
        <v>199</v>
      </c>
      <c r="E18" s="258">
        <v>85</v>
      </c>
      <c r="F18" s="25" t="str">
        <f>IFERROR(IF(VLOOKUP($D18,'Oct 25'!$C$8:$AH$51,31,0)=0,"",VLOOKUP($D18,'Oct 25'!$C$8:$AH$51,31,0)),"")</f>
        <v/>
      </c>
      <c r="G18" s="26" t="str">
        <f>IFERROR(IF(VLOOKUP($D18,'Oct 25'!$C$8:$AH$51,32,0)=0,"",VLOOKUP($D18,'Oct 25'!$C$8:$AH$51,32,0)),"")</f>
        <v/>
      </c>
      <c r="H18" s="24"/>
      <c r="I18" s="18" t="s">
        <v>77</v>
      </c>
      <c r="J18" s="18"/>
      <c r="K18" s="18"/>
      <c r="L18" s="17" t="s">
        <v>34</v>
      </c>
      <c r="M18" s="17"/>
      <c r="N18" s="18"/>
      <c r="O18" s="18"/>
      <c r="P18" s="18"/>
      <c r="Q18" s="18"/>
      <c r="R18" s="18"/>
      <c r="S18" s="17"/>
      <c r="T18" s="15" t="s">
        <v>34</v>
      </c>
      <c r="U18" s="18"/>
      <c r="V18" s="18"/>
      <c r="W18" s="18"/>
      <c r="X18" s="16"/>
      <c r="Y18" s="18" t="s">
        <v>209</v>
      </c>
      <c r="Z18" s="16"/>
      <c r="AA18" s="17"/>
      <c r="AB18" s="18"/>
      <c r="AC18" s="18"/>
      <c r="AD18" s="18"/>
      <c r="AE18" s="15" t="s">
        <v>34</v>
      </c>
      <c r="AF18" s="18"/>
      <c r="AG18" s="17"/>
      <c r="AH18" s="292" t="s">
        <v>20</v>
      </c>
      <c r="AI18" s="26" t="s">
        <v>34</v>
      </c>
      <c r="AK18" s="27">
        <f>IFERROR(VLOOKUP($D18,'Oct 25'!$C$8:$BC$51,49,0),0)</f>
        <v>0</v>
      </c>
      <c r="AL18" s="21">
        <f>IFERROR(VLOOKUP($D18,'Oct 25'!$C$8:$BC$51,50,0),0)</f>
        <v>0</v>
      </c>
      <c r="AM18" s="21">
        <f>IFERROR(VLOOKUP($D18,'Oct 25'!$C$8:$BC$51,51,0),0)</f>
        <v>9</v>
      </c>
      <c r="AN18" s="28">
        <f>IFERROR(VLOOKUP($D18,'Oct 25'!$C$8:$BC$51,52,0),0)</f>
        <v>0</v>
      </c>
      <c r="AO18" s="37">
        <f t="shared" si="4"/>
        <v>2</v>
      </c>
      <c r="AP18" s="23">
        <f t="shared" si="5"/>
        <v>0</v>
      </c>
      <c r="AQ18" s="23">
        <f t="shared" si="6"/>
        <v>1</v>
      </c>
      <c r="AR18" s="23">
        <f t="shared" si="7"/>
        <v>1</v>
      </c>
      <c r="AS18" s="23">
        <f t="shared" si="8"/>
        <v>0</v>
      </c>
      <c r="AT18" s="278">
        <f t="shared" si="9"/>
        <v>1</v>
      </c>
      <c r="AU18" s="25">
        <f t="shared" si="10"/>
        <v>4</v>
      </c>
      <c r="AV18" s="18">
        <f t="shared" si="11"/>
        <v>6.5</v>
      </c>
      <c r="AW18" s="22">
        <f t="shared" si="12"/>
        <v>5</v>
      </c>
      <c r="AX18" s="18">
        <f t="shared" si="13"/>
        <v>1</v>
      </c>
      <c r="AY18" s="32">
        <f t="shared" si="14"/>
        <v>1.625</v>
      </c>
      <c r="AZ18" s="24">
        <f t="shared" si="15"/>
        <v>4</v>
      </c>
      <c r="BA18" s="18">
        <f t="shared" si="16"/>
        <v>6.5</v>
      </c>
      <c r="BB18" s="18">
        <f t="shared" si="17"/>
        <v>14</v>
      </c>
      <c r="BC18" s="18">
        <f t="shared" si="18"/>
        <v>1</v>
      </c>
      <c r="BD18" s="32">
        <f t="shared" si="19"/>
        <v>1.625</v>
      </c>
    </row>
    <row r="19" spans="2:56" x14ac:dyDescent="0.2">
      <c r="B19" s="1">
        <f t="shared" si="3"/>
        <v>15</v>
      </c>
      <c r="C19" s="71">
        <f t="shared" si="21"/>
        <v>12</v>
      </c>
      <c r="D19" s="8" t="s">
        <v>136</v>
      </c>
      <c r="E19" s="258">
        <v>85</v>
      </c>
      <c r="F19" s="25" t="str">
        <f>IFERROR(IF(VLOOKUP($D19,'Oct 25'!$C$8:$AH$51,31,0)=0,"",VLOOKUP($D19,'Oct 25'!$C$8:$AH$51,31,0)),"")</f>
        <v/>
      </c>
      <c r="G19" s="26" t="str">
        <f>IFERROR(IF(VLOOKUP($D19,'Oct 25'!$C$8:$AH$51,32,0)=0,"",VLOOKUP($D19,'Oct 25'!$C$8:$AH$51,32,0)),"")</f>
        <v/>
      </c>
      <c r="H19" s="24"/>
      <c r="I19" s="18"/>
      <c r="J19" s="15" t="s">
        <v>34</v>
      </c>
      <c r="K19" s="18"/>
      <c r="L19" s="16"/>
      <c r="M19" s="16"/>
      <c r="N19" s="18" t="s">
        <v>32</v>
      </c>
      <c r="O19" s="18"/>
      <c r="P19" s="18"/>
      <c r="Q19" s="18" t="s">
        <v>77</v>
      </c>
      <c r="R19" s="18"/>
      <c r="S19" s="17"/>
      <c r="T19" s="17" t="s">
        <v>30</v>
      </c>
      <c r="U19" s="18"/>
      <c r="V19" s="18"/>
      <c r="W19" s="18"/>
      <c r="X19" s="15"/>
      <c r="Y19" s="18"/>
      <c r="Z19" s="299" t="s">
        <v>81</v>
      </c>
      <c r="AA19" s="17"/>
      <c r="AB19" s="18"/>
      <c r="AC19" s="18"/>
      <c r="AD19" s="18"/>
      <c r="AE19" s="18"/>
      <c r="AF19" s="18"/>
      <c r="AG19" s="17"/>
      <c r="AH19" s="292" t="s">
        <v>21</v>
      </c>
      <c r="AI19" s="26"/>
      <c r="AK19" s="27">
        <f>IFERROR(VLOOKUP($D19,'Oct 25'!$C$8:$BC$51,49,0),0)</f>
        <v>10</v>
      </c>
      <c r="AL19" s="21">
        <f>IFERROR(VLOOKUP($D19,'Oct 25'!$C$8:$BC$51,50,0),0)</f>
        <v>15</v>
      </c>
      <c r="AM19" s="21">
        <f>IFERROR(VLOOKUP($D19,'Oct 25'!$C$8:$BC$51,51,0),0)</f>
        <v>13</v>
      </c>
      <c r="AN19" s="28">
        <f>IFERROR(VLOOKUP($D19,'Oct 25'!$C$8:$BC$51,52,0),0)</f>
        <v>1</v>
      </c>
      <c r="AO19" s="37">
        <f t="shared" si="4"/>
        <v>2</v>
      </c>
      <c r="AP19" s="23">
        <f t="shared" si="5"/>
        <v>0</v>
      </c>
      <c r="AQ19" s="23">
        <f t="shared" si="6"/>
        <v>0</v>
      </c>
      <c r="AR19" s="23">
        <f t="shared" si="7"/>
        <v>1</v>
      </c>
      <c r="AS19" s="23">
        <f t="shared" si="8"/>
        <v>0</v>
      </c>
      <c r="AT19" s="278">
        <f t="shared" si="9"/>
        <v>1</v>
      </c>
      <c r="AU19" s="25">
        <f t="shared" si="10"/>
        <v>3</v>
      </c>
      <c r="AV19" s="18">
        <f t="shared" si="11"/>
        <v>4</v>
      </c>
      <c r="AW19" s="22">
        <f t="shared" si="12"/>
        <v>5</v>
      </c>
      <c r="AX19" s="18">
        <f t="shared" si="13"/>
        <v>2</v>
      </c>
      <c r="AY19" s="32">
        <f t="shared" si="14"/>
        <v>1.3333333333333333</v>
      </c>
      <c r="AZ19" s="24">
        <f t="shared" si="15"/>
        <v>13</v>
      </c>
      <c r="BA19" s="18">
        <f t="shared" si="16"/>
        <v>19</v>
      </c>
      <c r="BB19" s="18">
        <f t="shared" si="17"/>
        <v>18</v>
      </c>
      <c r="BC19" s="18">
        <f t="shared" si="18"/>
        <v>3</v>
      </c>
      <c r="BD19" s="32">
        <f t="shared" si="19"/>
        <v>1.4615384615384615</v>
      </c>
    </row>
    <row r="20" spans="2:56" x14ac:dyDescent="0.2">
      <c r="B20" s="1">
        <f t="shared" si="3"/>
        <v>16</v>
      </c>
      <c r="C20" s="71">
        <f t="shared" si="21"/>
        <v>13</v>
      </c>
      <c r="D20" s="8" t="s">
        <v>153</v>
      </c>
      <c r="E20" s="258">
        <v>85</v>
      </c>
      <c r="F20" s="25" t="str">
        <f>IFERROR(IF(VLOOKUP($D20,'Oct 25'!$C$8:$AH$51,31,0)=0,"",VLOOKUP($D20,'Oct 25'!$C$8:$AH$51,31,0)),"")</f>
        <v/>
      </c>
      <c r="G20" s="26" t="str">
        <f>IFERROR(IF(VLOOKUP($D20,'Oct 25'!$C$8:$AH$51,32,0)=0,"",VLOOKUP($D20,'Oct 25'!$C$8:$AH$51,32,0)),"")</f>
        <v/>
      </c>
      <c r="H20" s="24"/>
      <c r="I20" s="18"/>
      <c r="J20" s="18"/>
      <c r="K20" s="18"/>
      <c r="L20" s="17" t="s">
        <v>77</v>
      </c>
      <c r="M20" s="17"/>
      <c r="N20" s="18"/>
      <c r="O20" s="18"/>
      <c r="P20" s="18"/>
      <c r="Q20" s="18"/>
      <c r="R20" s="18" t="s">
        <v>32</v>
      </c>
      <c r="S20" s="17"/>
      <c r="T20" s="17"/>
      <c r="U20" s="18"/>
      <c r="V20" s="18"/>
      <c r="W20" s="15" t="s">
        <v>34</v>
      </c>
      <c r="X20" s="18"/>
      <c r="Y20" s="18" t="s">
        <v>83</v>
      </c>
      <c r="Z20" s="231"/>
      <c r="AA20" s="16"/>
      <c r="AB20" s="15" t="s">
        <v>34</v>
      </c>
      <c r="AC20" s="18"/>
      <c r="AD20" s="18"/>
      <c r="AE20" s="18"/>
      <c r="AF20" s="18" t="s">
        <v>34</v>
      </c>
      <c r="AG20" s="17"/>
      <c r="AH20" s="292"/>
      <c r="AI20" s="26" t="s">
        <v>83</v>
      </c>
      <c r="AK20" s="27">
        <f>IFERROR(VLOOKUP($D20,'Oct 25'!$C$8:$BC$51,49,0),0)</f>
        <v>9</v>
      </c>
      <c r="AL20" s="21">
        <f>IFERROR(VLOOKUP($D20,'Oct 25'!$C$8:$BC$51,50,0),0)</f>
        <v>16</v>
      </c>
      <c r="AM20" s="21">
        <f>IFERROR(VLOOKUP($D20,'Oct 25'!$C$8:$BC$51,51,0),0)</f>
        <v>14</v>
      </c>
      <c r="AN20" s="28">
        <f>IFERROR(VLOOKUP($D20,'Oct 25'!$C$8:$BC$51,52,0),0)</f>
        <v>0</v>
      </c>
      <c r="AO20" s="37">
        <f t="shared" si="4"/>
        <v>2</v>
      </c>
      <c r="AP20" s="23">
        <f t="shared" si="5"/>
        <v>2</v>
      </c>
      <c r="AQ20" s="23">
        <f t="shared" si="6"/>
        <v>0</v>
      </c>
      <c r="AR20" s="23">
        <f t="shared" si="7"/>
        <v>0</v>
      </c>
      <c r="AS20" s="23">
        <f t="shared" si="8"/>
        <v>0</v>
      </c>
      <c r="AT20" s="278">
        <f t="shared" si="9"/>
        <v>1</v>
      </c>
      <c r="AU20" s="25">
        <f t="shared" si="10"/>
        <v>4</v>
      </c>
      <c r="AV20" s="18">
        <f t="shared" si="11"/>
        <v>5</v>
      </c>
      <c r="AW20" s="22">
        <f t="shared" si="12"/>
        <v>7</v>
      </c>
      <c r="AX20" s="18">
        <f t="shared" si="13"/>
        <v>0</v>
      </c>
      <c r="AY20" s="32">
        <f t="shared" si="14"/>
        <v>1.25</v>
      </c>
      <c r="AZ20" s="24">
        <f t="shared" si="15"/>
        <v>13</v>
      </c>
      <c r="BA20" s="18">
        <f t="shared" si="16"/>
        <v>21</v>
      </c>
      <c r="BB20" s="18">
        <f t="shared" si="17"/>
        <v>21</v>
      </c>
      <c r="BC20" s="18">
        <f t="shared" si="18"/>
        <v>0</v>
      </c>
      <c r="BD20" s="32">
        <f t="shared" si="19"/>
        <v>1.6153846153846154</v>
      </c>
    </row>
    <row r="21" spans="2:56" x14ac:dyDescent="0.2">
      <c r="B21" s="1">
        <f t="shared" si="3"/>
        <v>17</v>
      </c>
      <c r="C21" s="71">
        <f t="shared" si="21"/>
        <v>14</v>
      </c>
      <c r="D21" s="11" t="s">
        <v>194</v>
      </c>
      <c r="E21" s="259">
        <v>66</v>
      </c>
      <c r="F21" s="25" t="str">
        <f>IFERROR(IF(VLOOKUP($D21,'Oct 25'!$C$8:$AH$51,31,0)=0,"",VLOOKUP($D21,'Oct 25'!$C$8:$AH$51,31,0)),"")</f>
        <v>HO2</v>
      </c>
      <c r="G21" s="26" t="str">
        <f>IFERROR(IF(VLOOKUP($D21,'Oct 25'!$C$8:$AH$51,32,0)=0,"",VLOOKUP($D21,'Oct 25'!$C$8:$AH$51,32,0)),"")</f>
        <v/>
      </c>
      <c r="H21" s="24"/>
      <c r="I21" s="18" t="s">
        <v>32</v>
      </c>
      <c r="J21" s="233"/>
      <c r="K21" s="18"/>
      <c r="L21" s="16"/>
      <c r="M21" s="17"/>
      <c r="N21" s="18" t="s">
        <v>83</v>
      </c>
      <c r="O21" s="18"/>
      <c r="P21" s="18" t="s">
        <v>34</v>
      </c>
      <c r="Q21" s="18"/>
      <c r="R21" s="16"/>
      <c r="S21" s="17"/>
      <c r="T21" s="17" t="s">
        <v>31</v>
      </c>
      <c r="U21" s="15"/>
      <c r="V21" s="18"/>
      <c r="W21" s="18"/>
      <c r="X21" s="18"/>
      <c r="Y21" s="18"/>
      <c r="Z21" s="17"/>
      <c r="AA21" s="17" t="s">
        <v>20</v>
      </c>
      <c r="AB21" s="18"/>
      <c r="AC21" s="18"/>
      <c r="AD21" s="18"/>
      <c r="AE21" s="15"/>
      <c r="AF21" s="18"/>
      <c r="AG21" s="17" t="s">
        <v>21</v>
      </c>
      <c r="AH21" s="292"/>
      <c r="AI21" s="26"/>
      <c r="AK21" s="27">
        <f>IFERROR(VLOOKUP($D21,'Oct 25'!$C$8:$BC$51,49,0),0)</f>
        <v>10</v>
      </c>
      <c r="AL21" s="21">
        <f>IFERROR(VLOOKUP($D21,'Oct 25'!$C$8:$BC$51,50,0),0)</f>
        <v>15.5</v>
      </c>
      <c r="AM21" s="21">
        <f>IFERROR(VLOOKUP($D21,'Oct 25'!$C$8:$BC$51,51,0),0)</f>
        <v>11</v>
      </c>
      <c r="AN21" s="28">
        <f>IFERROR(VLOOKUP($D21,'Oct 25'!$C$8:$BC$51,52,0),0)</f>
        <v>2</v>
      </c>
      <c r="AO21" s="37">
        <f t="shared" si="4"/>
        <v>2</v>
      </c>
      <c r="AP21" s="23">
        <f t="shared" si="5"/>
        <v>0</v>
      </c>
      <c r="AQ21" s="23">
        <f t="shared" si="6"/>
        <v>0</v>
      </c>
      <c r="AR21" s="23">
        <f t="shared" si="7"/>
        <v>1</v>
      </c>
      <c r="AS21" s="23">
        <f t="shared" si="8"/>
        <v>0</v>
      </c>
      <c r="AT21" s="278">
        <f t="shared" si="9"/>
        <v>0</v>
      </c>
      <c r="AU21" s="25">
        <f t="shared" si="10"/>
        <v>3</v>
      </c>
      <c r="AV21" s="18">
        <f t="shared" si="11"/>
        <v>4</v>
      </c>
      <c r="AW21" s="22">
        <f t="shared" si="12"/>
        <v>5</v>
      </c>
      <c r="AX21" s="18">
        <f t="shared" si="13"/>
        <v>2</v>
      </c>
      <c r="AY21" s="32">
        <f t="shared" si="14"/>
        <v>1.3333333333333333</v>
      </c>
      <c r="AZ21" s="24">
        <f t="shared" si="15"/>
        <v>13</v>
      </c>
      <c r="BA21" s="18">
        <f t="shared" si="16"/>
        <v>19.5</v>
      </c>
      <c r="BB21" s="18">
        <f t="shared" si="17"/>
        <v>16</v>
      </c>
      <c r="BC21" s="18">
        <f t="shared" si="18"/>
        <v>4</v>
      </c>
      <c r="BD21" s="32">
        <f t="shared" si="19"/>
        <v>1.5</v>
      </c>
    </row>
    <row r="22" spans="2:56" x14ac:dyDescent="0.2">
      <c r="B22" s="1">
        <f t="shared" si="3"/>
        <v>18</v>
      </c>
      <c r="C22" s="71">
        <f t="shared" si="21"/>
        <v>15</v>
      </c>
      <c r="D22" s="11" t="s">
        <v>141</v>
      </c>
      <c r="E22" s="259">
        <v>66</v>
      </c>
      <c r="F22" s="25" t="str">
        <f>IFERROR(IF(VLOOKUP($D22,'Oct 25'!$C$8:$AH$51,31,0)=0,"",VLOOKUP($D22,'Oct 25'!$C$8:$AH$51,31,0)),"")</f>
        <v/>
      </c>
      <c r="G22" s="26" t="str">
        <f>IFERROR(IF(VLOOKUP($D22,'Oct 25'!$C$8:$AH$51,32,0)=0,"",VLOOKUP($D22,'Oct 25'!$C$8:$AH$51,32,0)),"")</f>
        <v/>
      </c>
      <c r="H22" s="24"/>
      <c r="I22" s="18"/>
      <c r="J22" s="18"/>
      <c r="K22" s="18"/>
      <c r="L22" s="17"/>
      <c r="M22" s="16"/>
      <c r="N22" s="18"/>
      <c r="O22" s="18"/>
      <c r="P22" s="18"/>
      <c r="Q22" s="15"/>
      <c r="R22" s="18" t="s">
        <v>29</v>
      </c>
      <c r="S22" s="17"/>
      <c r="T22" s="17"/>
      <c r="U22" s="18"/>
      <c r="V22" s="18"/>
      <c r="W22" s="15" t="s">
        <v>32</v>
      </c>
      <c r="X22" s="18"/>
      <c r="Y22" s="18"/>
      <c r="Z22" s="17" t="s">
        <v>77</v>
      </c>
      <c r="AA22" s="16"/>
      <c r="AB22" s="18"/>
      <c r="AC22" s="18"/>
      <c r="AD22" s="18" t="s">
        <v>32</v>
      </c>
      <c r="AE22" s="18"/>
      <c r="AF22" s="18"/>
      <c r="AG22" s="17" t="s">
        <v>32</v>
      </c>
      <c r="AH22" s="292"/>
      <c r="AI22" s="296"/>
      <c r="AK22" s="27">
        <f>IFERROR(VLOOKUP($D22,'Oct 25'!$C$8:$BC$51,49,0),0)</f>
        <v>9</v>
      </c>
      <c r="AL22" s="21">
        <f>IFERROR(VLOOKUP($D22,'Oct 25'!$C$8:$BC$51,50,0),0)</f>
        <v>14</v>
      </c>
      <c r="AM22" s="21">
        <f>IFERROR(VLOOKUP($D22,'Oct 25'!$C$8:$BC$51,51,0),0)</f>
        <v>12</v>
      </c>
      <c r="AN22" s="28">
        <f>IFERROR(VLOOKUP($D22,'Oct 25'!$C$8:$BC$51,52,0),0)</f>
        <v>2</v>
      </c>
      <c r="AO22" s="37">
        <f t="shared" si="4"/>
        <v>2</v>
      </c>
      <c r="AP22" s="23">
        <f t="shared" si="5"/>
        <v>1</v>
      </c>
      <c r="AQ22" s="23">
        <f t="shared" si="6"/>
        <v>1</v>
      </c>
      <c r="AR22" s="23">
        <f t="shared" si="7"/>
        <v>0</v>
      </c>
      <c r="AS22" s="23">
        <f t="shared" si="8"/>
        <v>0</v>
      </c>
      <c r="AT22" s="278">
        <f t="shared" si="9"/>
        <v>1</v>
      </c>
      <c r="AU22" s="25">
        <f t="shared" si="10"/>
        <v>4</v>
      </c>
      <c r="AV22" s="18">
        <f t="shared" si="11"/>
        <v>6</v>
      </c>
      <c r="AW22" s="22">
        <f t="shared" si="12"/>
        <v>6</v>
      </c>
      <c r="AX22" s="18">
        <f t="shared" si="13"/>
        <v>0</v>
      </c>
      <c r="AY22" s="32">
        <f t="shared" si="14"/>
        <v>1.5</v>
      </c>
      <c r="AZ22" s="24">
        <f t="shared" si="15"/>
        <v>13</v>
      </c>
      <c r="BA22" s="18">
        <f t="shared" si="16"/>
        <v>20</v>
      </c>
      <c r="BB22" s="18">
        <f t="shared" si="17"/>
        <v>18</v>
      </c>
      <c r="BC22" s="18">
        <f t="shared" si="18"/>
        <v>2</v>
      </c>
      <c r="BD22" s="32">
        <f t="shared" si="19"/>
        <v>1.5384615384615385</v>
      </c>
    </row>
    <row r="23" spans="2:56" x14ac:dyDescent="0.2">
      <c r="B23" s="1">
        <f t="shared" si="3"/>
        <v>19</v>
      </c>
      <c r="C23" s="71">
        <f t="shared" si="21"/>
        <v>16</v>
      </c>
      <c r="D23" s="11" t="s">
        <v>195</v>
      </c>
      <c r="E23" s="259">
        <v>66</v>
      </c>
      <c r="F23" s="25" t="str">
        <f>IFERROR(IF(VLOOKUP($D23,'Oct 25'!$C$8:$AH$51,31,0)=0,"",VLOOKUP($D23,'Oct 25'!$C$8:$AH$51,31,0)),"")</f>
        <v/>
      </c>
      <c r="G23" s="26" t="str">
        <f>IFERROR(IF(VLOOKUP($D23,'Oct 25'!$C$8:$AH$51,32,0)=0,"",VLOOKUP($D23,'Oct 25'!$C$8:$AH$51,32,0)),"")</f>
        <v>HO5</v>
      </c>
      <c r="H23" s="24"/>
      <c r="I23" s="233"/>
      <c r="J23" s="15" t="s">
        <v>32</v>
      </c>
      <c r="K23" s="18" t="s">
        <v>83</v>
      </c>
      <c r="L23" s="16"/>
      <c r="M23" s="16"/>
      <c r="N23" s="18"/>
      <c r="O23" s="233" t="s">
        <v>29</v>
      </c>
      <c r="P23" s="18"/>
      <c r="Q23" s="18"/>
      <c r="R23" s="18"/>
      <c r="S23" s="17"/>
      <c r="T23" s="17" t="s">
        <v>32</v>
      </c>
      <c r="U23" s="18"/>
      <c r="V23" s="18"/>
      <c r="W23" s="18"/>
      <c r="X23" s="15"/>
      <c r="Y23" s="18"/>
      <c r="Z23" s="17" t="s">
        <v>19</v>
      </c>
      <c r="AA23" s="17"/>
      <c r="AB23" s="18"/>
      <c r="AC23" s="18"/>
      <c r="AD23" s="18"/>
      <c r="AE23" s="18"/>
      <c r="AF23" s="18" t="s">
        <v>32</v>
      </c>
      <c r="AG23" s="17"/>
      <c r="AH23" s="292"/>
      <c r="AI23" s="26" t="s">
        <v>77</v>
      </c>
      <c r="AK23" s="27">
        <f>IFERROR(VLOOKUP($D23,'Oct 25'!$C$8:$BC$51,49,0),0)</f>
        <v>7</v>
      </c>
      <c r="AL23" s="21">
        <f>IFERROR(VLOOKUP($D23,'Oct 25'!$C$8:$BC$51,50,0),0)</f>
        <v>10</v>
      </c>
      <c r="AM23" s="21">
        <f>IFERROR(VLOOKUP($D23,'Oct 25'!$C$8:$BC$51,51,0),0)</f>
        <v>6</v>
      </c>
      <c r="AN23" s="28">
        <f>IFERROR(VLOOKUP($D23,'Oct 25'!$C$8:$BC$51,52,0),0)</f>
        <v>1</v>
      </c>
      <c r="AO23" s="37">
        <f t="shared" si="4"/>
        <v>2</v>
      </c>
      <c r="AP23" s="23">
        <f t="shared" si="5"/>
        <v>1</v>
      </c>
      <c r="AQ23" s="23">
        <f t="shared" si="6"/>
        <v>0</v>
      </c>
      <c r="AR23" s="23">
        <f t="shared" si="7"/>
        <v>1</v>
      </c>
      <c r="AS23" s="23">
        <f t="shared" si="8"/>
        <v>1</v>
      </c>
      <c r="AT23" s="278">
        <f t="shared" si="9"/>
        <v>1</v>
      </c>
      <c r="AU23" s="25">
        <f t="shared" si="10"/>
        <v>4.5</v>
      </c>
      <c r="AV23" s="18">
        <f t="shared" si="11"/>
        <v>6</v>
      </c>
      <c r="AW23" s="22">
        <f t="shared" si="12"/>
        <v>6</v>
      </c>
      <c r="AX23" s="18">
        <f t="shared" si="13"/>
        <v>0</v>
      </c>
      <c r="AY23" s="32">
        <f t="shared" si="14"/>
        <v>1.3333333333333333</v>
      </c>
      <c r="AZ23" s="24">
        <f t="shared" si="15"/>
        <v>11.5</v>
      </c>
      <c r="BA23" s="18">
        <f t="shared" si="16"/>
        <v>16</v>
      </c>
      <c r="BB23" s="18">
        <f t="shared" si="17"/>
        <v>12</v>
      </c>
      <c r="BC23" s="18">
        <f t="shared" si="18"/>
        <v>1</v>
      </c>
      <c r="BD23" s="32">
        <f t="shared" si="19"/>
        <v>1.3913043478260869</v>
      </c>
    </row>
    <row r="24" spans="2:56" x14ac:dyDescent="0.2">
      <c r="B24" s="1">
        <f t="shared" si="3"/>
        <v>20</v>
      </c>
      <c r="C24" s="71">
        <f t="shared" si="21"/>
        <v>17</v>
      </c>
      <c r="D24" s="10" t="s">
        <v>200</v>
      </c>
      <c r="E24" s="259">
        <v>66</v>
      </c>
      <c r="F24" s="25" t="str">
        <f>IFERROR(IF(VLOOKUP($D24,'Oct 25'!$C$8:$AH$51,31,0)=0,"",VLOOKUP($D24,'Oct 25'!$C$8:$AH$51,31,0)),"")</f>
        <v/>
      </c>
      <c r="G24" s="26" t="str">
        <f>IFERROR(IF(VLOOKUP($D24,'Oct 25'!$C$8:$AH$51,32,0)=0,"",VLOOKUP($D24,'Oct 25'!$C$8:$AH$51,32,0)),"")</f>
        <v/>
      </c>
      <c r="H24" s="24"/>
      <c r="I24" s="18"/>
      <c r="J24" s="18"/>
      <c r="K24" s="18" t="s">
        <v>209</v>
      </c>
      <c r="L24" s="17" t="s">
        <v>32</v>
      </c>
      <c r="M24" s="17"/>
      <c r="N24" s="18"/>
      <c r="O24" s="18"/>
      <c r="P24" s="18" t="s">
        <v>32</v>
      </c>
      <c r="Q24" s="18"/>
      <c r="R24" s="18"/>
      <c r="S24" s="17"/>
      <c r="T24" s="17"/>
      <c r="U24" s="18" t="s">
        <v>32</v>
      </c>
      <c r="V24" s="18"/>
      <c r="W24" s="18"/>
      <c r="X24" s="18"/>
      <c r="Y24" s="18"/>
      <c r="Z24" s="17"/>
      <c r="AA24" s="17" t="s">
        <v>32</v>
      </c>
      <c r="AB24" s="18"/>
      <c r="AC24" s="18"/>
      <c r="AD24" s="18" t="s">
        <v>77</v>
      </c>
      <c r="AE24" s="18"/>
      <c r="AF24" s="18"/>
      <c r="AG24" s="17" t="s">
        <v>19</v>
      </c>
      <c r="AH24" s="292"/>
      <c r="AI24" s="26"/>
      <c r="AK24" s="27">
        <f>IFERROR(VLOOKUP($D24,'Oct 25'!$C$8:$BC$51,49,0),0)</f>
        <v>0</v>
      </c>
      <c r="AL24" s="21">
        <f>IFERROR(VLOOKUP($D24,'Oct 25'!$C$8:$BC$51,50,0),0)</f>
        <v>0</v>
      </c>
      <c r="AM24" s="21">
        <f>IFERROR(VLOOKUP($D24,'Oct 25'!$C$8:$BC$51,51,0),0)</f>
        <v>9</v>
      </c>
      <c r="AN24" s="28">
        <f>IFERROR(VLOOKUP($D24,'Oct 25'!$C$8:$BC$51,52,0),0)</f>
        <v>0</v>
      </c>
      <c r="AO24" s="37">
        <f t="shared" si="4"/>
        <v>2</v>
      </c>
      <c r="AP24" s="23">
        <f t="shared" si="5"/>
        <v>0</v>
      </c>
      <c r="AQ24" s="23">
        <f t="shared" si="6"/>
        <v>1</v>
      </c>
      <c r="AR24" s="23">
        <f t="shared" si="7"/>
        <v>1</v>
      </c>
      <c r="AS24" s="23">
        <f t="shared" si="8"/>
        <v>1</v>
      </c>
      <c r="AT24" s="278">
        <f t="shared" si="9"/>
        <v>1</v>
      </c>
      <c r="AU24" s="25">
        <f t="shared" si="10"/>
        <v>4.5</v>
      </c>
      <c r="AV24" s="18">
        <f t="shared" si="11"/>
        <v>7</v>
      </c>
      <c r="AW24" s="22">
        <f t="shared" si="12"/>
        <v>5</v>
      </c>
      <c r="AX24" s="18">
        <f t="shared" si="13"/>
        <v>0</v>
      </c>
      <c r="AY24" s="32">
        <f t="shared" si="14"/>
        <v>1.5555555555555556</v>
      </c>
      <c r="AZ24" s="24">
        <f t="shared" si="15"/>
        <v>4.5</v>
      </c>
      <c r="BA24" s="18">
        <f t="shared" si="16"/>
        <v>7</v>
      </c>
      <c r="BB24" s="18">
        <f t="shared" si="17"/>
        <v>14</v>
      </c>
      <c r="BC24" s="18">
        <f t="shared" si="18"/>
        <v>0</v>
      </c>
      <c r="BD24" s="32">
        <f t="shared" si="19"/>
        <v>1.5555555555555556</v>
      </c>
    </row>
    <row r="25" spans="2:56" x14ac:dyDescent="0.2">
      <c r="B25" s="1">
        <f t="shared" si="3"/>
        <v>21</v>
      </c>
      <c r="C25" s="71">
        <f t="shared" si="21"/>
        <v>18</v>
      </c>
      <c r="D25" s="11" t="s">
        <v>144</v>
      </c>
      <c r="E25" s="259">
        <v>86</v>
      </c>
      <c r="F25" s="25" t="str">
        <f>IFERROR(IF(VLOOKUP($D25,'Oct 25'!$C$8:$AH$51,31,0)=0,"",VLOOKUP($D25,'Oct 25'!$C$8:$AH$51,31,0)),"")</f>
        <v/>
      </c>
      <c r="G25" s="26" t="str">
        <f>IFERROR(IF(VLOOKUP($D25,'Oct 25'!$C$8:$AH$51,32,0)=0,"",VLOOKUP($D25,'Oct 25'!$C$8:$AH$51,32,0)),"")</f>
        <v>HO2</v>
      </c>
      <c r="H25" s="24"/>
      <c r="I25" s="18"/>
      <c r="J25" s="18"/>
      <c r="K25" s="18" t="s">
        <v>32</v>
      </c>
      <c r="L25" s="17"/>
      <c r="M25" s="17"/>
      <c r="N25" s="18"/>
      <c r="O25" s="18" t="s">
        <v>31</v>
      </c>
      <c r="P25" s="18"/>
      <c r="Q25" s="15"/>
      <c r="R25" s="18"/>
      <c r="S25" s="17" t="s">
        <v>30</v>
      </c>
      <c r="T25" s="17"/>
      <c r="U25" s="18"/>
      <c r="V25" s="18"/>
      <c r="W25" s="18"/>
      <c r="X25" s="15"/>
      <c r="Y25" s="18"/>
      <c r="Z25" s="17"/>
      <c r="AA25" s="17" t="s">
        <v>21</v>
      </c>
      <c r="AB25" s="18" t="s">
        <v>77</v>
      </c>
      <c r="AC25" s="18"/>
      <c r="AD25" s="18"/>
      <c r="AE25" s="18" t="s">
        <v>31</v>
      </c>
      <c r="AF25" s="18"/>
      <c r="AG25" s="16"/>
      <c r="AH25" s="294"/>
      <c r="AI25" s="26"/>
      <c r="AK25" s="27">
        <f>IFERROR(VLOOKUP($D25,'Oct 25'!$C$8:$BC$51,49,0),0)</f>
        <v>9.5</v>
      </c>
      <c r="AL25" s="21">
        <f>IFERROR(VLOOKUP($D25,'Oct 25'!$C$8:$BC$51,50,0),0)</f>
        <v>12.5</v>
      </c>
      <c r="AM25" s="21">
        <f>IFERROR(VLOOKUP($D25,'Oct 25'!$C$8:$BC$51,51,0),0)</f>
        <v>14</v>
      </c>
      <c r="AN25" s="28">
        <f>IFERROR(VLOOKUP($D25,'Oct 25'!$C$8:$BC$51,52,0),0)</f>
        <v>0</v>
      </c>
      <c r="AO25" s="37">
        <f t="shared" si="4"/>
        <v>2</v>
      </c>
      <c r="AP25" s="23">
        <f t="shared" si="5"/>
        <v>1</v>
      </c>
      <c r="AQ25" s="23">
        <f t="shared" si="6"/>
        <v>1</v>
      </c>
      <c r="AR25" s="23">
        <f t="shared" si="7"/>
        <v>0</v>
      </c>
      <c r="AS25" s="23">
        <f t="shared" si="8"/>
        <v>0</v>
      </c>
      <c r="AT25" s="278">
        <f t="shared" si="9"/>
        <v>1</v>
      </c>
      <c r="AU25" s="25">
        <f t="shared" si="10"/>
        <v>4</v>
      </c>
      <c r="AV25" s="18">
        <f t="shared" si="11"/>
        <v>6</v>
      </c>
      <c r="AW25" s="22">
        <f t="shared" si="12"/>
        <v>6</v>
      </c>
      <c r="AX25" s="18">
        <f t="shared" si="13"/>
        <v>1</v>
      </c>
      <c r="AY25" s="32">
        <f t="shared" si="14"/>
        <v>1.5</v>
      </c>
      <c r="AZ25" s="24">
        <f t="shared" si="15"/>
        <v>13.5</v>
      </c>
      <c r="BA25" s="18">
        <f t="shared" si="16"/>
        <v>18.5</v>
      </c>
      <c r="BB25" s="18">
        <f t="shared" si="17"/>
        <v>20</v>
      </c>
      <c r="BC25" s="18">
        <f t="shared" si="18"/>
        <v>1</v>
      </c>
      <c r="BD25" s="32">
        <f t="shared" si="19"/>
        <v>1.3703703703703705</v>
      </c>
    </row>
    <row r="26" spans="2:56" x14ac:dyDescent="0.2">
      <c r="B26" s="1">
        <f t="shared" si="3"/>
        <v>22</v>
      </c>
      <c r="C26" s="71">
        <f t="shared" si="21"/>
        <v>19</v>
      </c>
      <c r="D26" s="10" t="s">
        <v>201</v>
      </c>
      <c r="E26" s="259">
        <v>86</v>
      </c>
      <c r="F26" s="25" t="str">
        <f>IFERROR(IF(VLOOKUP($D26,'Oct 25'!$C$8:$AH$51,31,0)=0,"",VLOOKUP($D26,'Oct 25'!$C$8:$AH$51,31,0)),"")</f>
        <v>WR1</v>
      </c>
      <c r="G26" s="26" t="str">
        <f>IFERROR(IF(VLOOKUP($D26,'Oct 25'!$C$8:$AH$51,32,0)=0,"",VLOOKUP($D26,'Oct 25'!$C$8:$AH$51,32,0)),"")</f>
        <v/>
      </c>
      <c r="H26" s="24"/>
      <c r="I26" s="18"/>
      <c r="J26" s="15" t="s">
        <v>31</v>
      </c>
      <c r="K26" s="18"/>
      <c r="L26" s="16"/>
      <c r="M26" s="16"/>
      <c r="N26" s="18"/>
      <c r="O26" s="18"/>
      <c r="P26" s="18"/>
      <c r="Q26" s="15"/>
      <c r="R26" s="18"/>
      <c r="S26" s="17" t="s">
        <v>32</v>
      </c>
      <c r="T26" s="17"/>
      <c r="U26" s="18"/>
      <c r="V26" s="18"/>
      <c r="W26" s="18" t="s">
        <v>31</v>
      </c>
      <c r="X26" s="18"/>
      <c r="Y26" s="244"/>
      <c r="Z26" s="17"/>
      <c r="AA26" s="17" t="s">
        <v>81</v>
      </c>
      <c r="AB26" s="18"/>
      <c r="AC26" s="18" t="s">
        <v>77</v>
      </c>
      <c r="AD26" s="18"/>
      <c r="AE26" s="18"/>
      <c r="AF26" s="18"/>
      <c r="AG26" s="17"/>
      <c r="AH26" s="292" t="s">
        <v>32</v>
      </c>
      <c r="AI26" s="26"/>
      <c r="AK26" s="27">
        <f>IFERROR(VLOOKUP($D26,'Oct 25'!$C$8:$BC$51,49,0),0)</f>
        <v>0</v>
      </c>
      <c r="AL26" s="21">
        <f>IFERROR(VLOOKUP($D26,'Oct 25'!$C$8:$BC$51,50,0),0)</f>
        <v>0</v>
      </c>
      <c r="AM26" s="21">
        <f>IFERROR(VLOOKUP($D26,'Oct 25'!$C$8:$BC$51,51,0),0)</f>
        <v>7</v>
      </c>
      <c r="AN26" s="28">
        <f>IFERROR(VLOOKUP($D26,'Oct 25'!$C$8:$BC$51,52,0),0)</f>
        <v>2</v>
      </c>
      <c r="AO26" s="37">
        <f t="shared" si="4"/>
        <v>2</v>
      </c>
      <c r="AP26" s="23">
        <f t="shared" si="5"/>
        <v>0</v>
      </c>
      <c r="AQ26" s="23">
        <f t="shared" si="6"/>
        <v>1</v>
      </c>
      <c r="AR26" s="23">
        <f t="shared" si="7"/>
        <v>1</v>
      </c>
      <c r="AS26" s="23">
        <f t="shared" si="8"/>
        <v>0</v>
      </c>
      <c r="AT26" s="278">
        <f t="shared" si="9"/>
        <v>1</v>
      </c>
      <c r="AU26" s="25">
        <f t="shared" si="10"/>
        <v>4</v>
      </c>
      <c r="AV26" s="18">
        <f t="shared" si="11"/>
        <v>6.5</v>
      </c>
      <c r="AW26" s="22">
        <f t="shared" si="12"/>
        <v>5</v>
      </c>
      <c r="AX26" s="18">
        <f t="shared" si="13"/>
        <v>1</v>
      </c>
      <c r="AY26" s="32">
        <f t="shared" si="14"/>
        <v>1.625</v>
      </c>
      <c r="AZ26" s="24">
        <f t="shared" si="15"/>
        <v>4</v>
      </c>
      <c r="BA26" s="18">
        <f t="shared" si="16"/>
        <v>6.5</v>
      </c>
      <c r="BB26" s="18">
        <f t="shared" si="17"/>
        <v>12</v>
      </c>
      <c r="BC26" s="18">
        <f t="shared" si="18"/>
        <v>3</v>
      </c>
      <c r="BD26" s="32">
        <f t="shared" si="19"/>
        <v>1.625</v>
      </c>
    </row>
    <row r="27" spans="2:56" x14ac:dyDescent="0.2">
      <c r="B27" s="1">
        <f t="shared" si="3"/>
        <v>23</v>
      </c>
      <c r="C27" s="71">
        <f t="shared" si="21"/>
        <v>20</v>
      </c>
      <c r="D27" s="10" t="s">
        <v>202</v>
      </c>
      <c r="E27" s="259">
        <v>86</v>
      </c>
      <c r="F27" s="25" t="str">
        <f>IFERROR(IF(VLOOKUP($D27,'Oct 25'!$C$8:$AH$51,31,0)=0,"",VLOOKUP($D27,'Oct 25'!$C$8:$AH$51,31,0)),"")</f>
        <v/>
      </c>
      <c r="G27" s="26" t="str">
        <f>IFERROR(IF(VLOOKUP($D27,'Oct 25'!$C$8:$AH$51,32,0)=0,"",VLOOKUP($D27,'Oct 25'!$C$8:$AH$51,32,0)),"")</f>
        <v/>
      </c>
      <c r="H27" s="24" t="s">
        <v>32</v>
      </c>
      <c r="I27" s="18"/>
      <c r="J27" s="18"/>
      <c r="K27" s="18"/>
      <c r="L27" s="17" t="s">
        <v>20</v>
      </c>
      <c r="M27" s="17" t="s">
        <v>77</v>
      </c>
      <c r="N27" s="18"/>
      <c r="O27" s="18"/>
      <c r="P27" s="18"/>
      <c r="Q27" s="15"/>
      <c r="R27" s="18"/>
      <c r="S27" s="17" t="s">
        <v>31</v>
      </c>
      <c r="T27" s="17"/>
      <c r="U27" s="18"/>
      <c r="V27" s="18"/>
      <c r="W27" s="18"/>
      <c r="X27" s="15" t="s">
        <v>31</v>
      </c>
      <c r="Y27" s="18"/>
      <c r="Z27" s="16"/>
      <c r="AA27" s="16"/>
      <c r="AB27" s="18" t="s">
        <v>83</v>
      </c>
      <c r="AC27" s="18" t="s">
        <v>83</v>
      </c>
      <c r="AD27" s="18" t="s">
        <v>83</v>
      </c>
      <c r="AE27" s="18" t="s">
        <v>83</v>
      </c>
      <c r="AF27" s="18" t="s">
        <v>83</v>
      </c>
      <c r="AG27" s="17" t="s">
        <v>207</v>
      </c>
      <c r="AH27" s="292" t="s">
        <v>207</v>
      </c>
      <c r="AI27" s="26" t="s">
        <v>31</v>
      </c>
      <c r="AK27" s="27">
        <f>IFERROR(VLOOKUP($D27,'Oct 25'!$C$8:$BC$51,49,0),0)</f>
        <v>0</v>
      </c>
      <c r="AL27" s="21">
        <f>IFERROR(VLOOKUP($D27,'Oct 25'!$C$8:$BC$51,50,0),0)</f>
        <v>0</v>
      </c>
      <c r="AM27" s="21">
        <f>IFERROR(VLOOKUP($D27,'Oct 25'!$C$8:$BC$51,51,0),0)</f>
        <v>8</v>
      </c>
      <c r="AN27" s="28">
        <f>IFERROR(VLOOKUP($D27,'Oct 25'!$C$8:$BC$51,52,0),0)</f>
        <v>1</v>
      </c>
      <c r="AO27" s="37">
        <f t="shared" si="4"/>
        <v>3</v>
      </c>
      <c r="AP27" s="23">
        <f t="shared" si="5"/>
        <v>0</v>
      </c>
      <c r="AQ27" s="23">
        <f t="shared" si="6"/>
        <v>1</v>
      </c>
      <c r="AR27" s="23">
        <f t="shared" si="7"/>
        <v>0</v>
      </c>
      <c r="AS27" s="23">
        <f t="shared" si="8"/>
        <v>0</v>
      </c>
      <c r="AT27" s="278">
        <f t="shared" si="9"/>
        <v>1</v>
      </c>
      <c r="AU27" s="25">
        <f t="shared" si="10"/>
        <v>4</v>
      </c>
      <c r="AV27" s="18">
        <f t="shared" si="11"/>
        <v>5.5</v>
      </c>
      <c r="AW27" s="22">
        <f t="shared" si="12"/>
        <v>3</v>
      </c>
      <c r="AX27" s="18">
        <f t="shared" si="13"/>
        <v>1</v>
      </c>
      <c r="AY27" s="32">
        <f t="shared" si="14"/>
        <v>1.375</v>
      </c>
      <c r="AZ27" s="24">
        <f t="shared" si="15"/>
        <v>4</v>
      </c>
      <c r="BA27" s="18">
        <f t="shared" si="16"/>
        <v>5.5</v>
      </c>
      <c r="BB27" s="18">
        <f t="shared" si="17"/>
        <v>11</v>
      </c>
      <c r="BC27" s="18">
        <f t="shared" si="18"/>
        <v>2</v>
      </c>
      <c r="BD27" s="32">
        <f t="shared" si="19"/>
        <v>1.375</v>
      </c>
    </row>
    <row r="28" spans="2:56" x14ac:dyDescent="0.2">
      <c r="B28" s="1">
        <f t="shared" si="3"/>
        <v>24</v>
      </c>
      <c r="C28" s="71">
        <f t="shared" si="21"/>
        <v>21</v>
      </c>
      <c r="D28" s="10" t="s">
        <v>203</v>
      </c>
      <c r="E28" s="259">
        <v>86</v>
      </c>
      <c r="F28" s="25" t="str">
        <f>IFERROR(IF(VLOOKUP($D28,'Oct 25'!$C$8:$AH$51,31,0)=0,"",VLOOKUP($D28,'Oct 25'!$C$8:$AH$51,31,0)),"")</f>
        <v/>
      </c>
      <c r="G28" s="26" t="str">
        <f>IFERROR(IF(VLOOKUP($D28,'Oct 25'!$C$8:$AH$51,32,0)=0,"",VLOOKUP($D28,'Oct 25'!$C$8:$AH$51,32,0)),"")</f>
        <v/>
      </c>
      <c r="H28" s="24"/>
      <c r="I28" s="18"/>
      <c r="J28" s="18"/>
      <c r="K28" s="18"/>
      <c r="L28" s="17" t="s">
        <v>21</v>
      </c>
      <c r="M28" s="17" t="s">
        <v>21</v>
      </c>
      <c r="N28" s="18" t="s">
        <v>85</v>
      </c>
      <c r="O28" s="18"/>
      <c r="P28" s="18"/>
      <c r="Q28" s="18"/>
      <c r="R28" s="18" t="s">
        <v>77</v>
      </c>
      <c r="S28" s="17"/>
      <c r="T28" s="17"/>
      <c r="U28" s="18" t="s">
        <v>31</v>
      </c>
      <c r="V28" s="18"/>
      <c r="W28" s="18"/>
      <c r="X28" s="18"/>
      <c r="Y28" s="18"/>
      <c r="Z28" s="17"/>
      <c r="AA28" s="17" t="s">
        <v>34</v>
      </c>
      <c r="AB28" s="18"/>
      <c r="AC28" s="18"/>
      <c r="AD28" s="15" t="s">
        <v>31</v>
      </c>
      <c r="AE28" s="18"/>
      <c r="AF28" s="16"/>
      <c r="AG28" s="16"/>
      <c r="AH28" s="295" t="s">
        <v>31</v>
      </c>
      <c r="AI28" s="26"/>
      <c r="AK28" s="27">
        <f>IFERROR(VLOOKUP($D28,'Oct 25'!$C$8:$BC$51,49,0),0)</f>
        <v>0</v>
      </c>
      <c r="AL28" s="21">
        <f>IFERROR(VLOOKUP($D28,'Oct 25'!$C$8:$BC$51,50,0),0)</f>
        <v>0</v>
      </c>
      <c r="AM28" s="21">
        <f>IFERROR(VLOOKUP($D28,'Oct 25'!$C$8:$BC$51,51,0),0)</f>
        <v>9</v>
      </c>
      <c r="AN28" s="28">
        <f>IFERROR(VLOOKUP($D28,'Oct 25'!$C$8:$BC$51,52,0),0)</f>
        <v>0</v>
      </c>
      <c r="AO28" s="37">
        <f t="shared" si="4"/>
        <v>2</v>
      </c>
      <c r="AP28" s="23">
        <f t="shared" si="5"/>
        <v>0</v>
      </c>
      <c r="AQ28" s="23">
        <f t="shared" si="6"/>
        <v>0</v>
      </c>
      <c r="AR28" s="23">
        <f t="shared" si="7"/>
        <v>2</v>
      </c>
      <c r="AS28" s="23">
        <f t="shared" si="8"/>
        <v>0</v>
      </c>
      <c r="AT28" s="278">
        <f t="shared" si="9"/>
        <v>1</v>
      </c>
      <c r="AU28" s="25">
        <f t="shared" si="10"/>
        <v>4</v>
      </c>
      <c r="AV28" s="18">
        <f t="shared" si="11"/>
        <v>6</v>
      </c>
      <c r="AW28" s="22">
        <f t="shared" si="12"/>
        <v>4</v>
      </c>
      <c r="AX28" s="18">
        <f t="shared" si="13"/>
        <v>2</v>
      </c>
      <c r="AY28" s="32">
        <f t="shared" si="14"/>
        <v>1.5</v>
      </c>
      <c r="AZ28" s="24">
        <f t="shared" si="15"/>
        <v>4</v>
      </c>
      <c r="BA28" s="18">
        <f t="shared" si="16"/>
        <v>6</v>
      </c>
      <c r="BB28" s="18">
        <f t="shared" si="17"/>
        <v>13</v>
      </c>
      <c r="BC28" s="18">
        <f t="shared" si="18"/>
        <v>2</v>
      </c>
      <c r="BD28" s="32">
        <f t="shared" si="19"/>
        <v>1.5</v>
      </c>
    </row>
    <row r="29" spans="2:56" x14ac:dyDescent="0.2">
      <c r="B29" s="1">
        <f t="shared" si="3"/>
        <v>25</v>
      </c>
      <c r="C29" s="71">
        <f t="shared" si="21"/>
        <v>22</v>
      </c>
      <c r="D29" s="11" t="s">
        <v>148</v>
      </c>
      <c r="E29" s="259">
        <v>41</v>
      </c>
      <c r="F29" s="25" t="str">
        <f>IFERROR(IF(VLOOKUP($D29,'Oct 25'!$C$8:$AH$51,31,0)=0,"",VLOOKUP($D29,'Oct 25'!$C$8:$AH$51,31,0)),"")</f>
        <v>HO3</v>
      </c>
      <c r="G29" s="26" t="str">
        <f>IFERROR(IF(VLOOKUP($D29,'Oct 25'!$C$8:$AH$51,32,0)=0,"",VLOOKUP($D29,'Oct 25'!$C$8:$AH$51,32,0)),"")</f>
        <v/>
      </c>
      <c r="H29" s="24"/>
      <c r="I29" s="18"/>
      <c r="J29" s="18"/>
      <c r="K29" s="18" t="s">
        <v>208</v>
      </c>
      <c r="L29" s="16"/>
      <c r="M29" s="232" t="s">
        <v>20</v>
      </c>
      <c r="N29" s="233"/>
      <c r="O29" s="15" t="s">
        <v>32</v>
      </c>
      <c r="P29" s="18"/>
      <c r="Q29" s="18"/>
      <c r="R29" s="18"/>
      <c r="S29" s="16"/>
      <c r="T29" s="17" t="s">
        <v>19</v>
      </c>
      <c r="U29" s="18"/>
      <c r="V29" s="18"/>
      <c r="W29" s="18"/>
      <c r="X29" s="18"/>
      <c r="Y29" s="18"/>
      <c r="Z29" s="17" t="s">
        <v>32</v>
      </c>
      <c r="AA29" s="17"/>
      <c r="AB29" s="18"/>
      <c r="AC29" s="18"/>
      <c r="AD29" s="18"/>
      <c r="AE29" s="15" t="s">
        <v>32</v>
      </c>
      <c r="AF29" s="18"/>
      <c r="AG29" s="17" t="s">
        <v>207</v>
      </c>
      <c r="AH29" s="292" t="s">
        <v>207</v>
      </c>
      <c r="AI29" s="26" t="s">
        <v>83</v>
      </c>
      <c r="AK29" s="27">
        <f>IFERROR(VLOOKUP($D29,'Oct 25'!$C$8:$BC$51,49,0),0)</f>
        <v>10</v>
      </c>
      <c r="AL29" s="21">
        <f>IFERROR(VLOOKUP($D29,'Oct 25'!$C$8:$BC$51,50,0),0)</f>
        <v>13</v>
      </c>
      <c r="AM29" s="21">
        <f>IFERROR(VLOOKUP($D29,'Oct 25'!$C$8:$BC$51,51,0),0)</f>
        <v>14</v>
      </c>
      <c r="AN29" s="28">
        <f>IFERROR(VLOOKUP($D29,'Oct 25'!$C$8:$BC$51,52,0),0)</f>
        <v>3</v>
      </c>
      <c r="AO29" s="37">
        <f t="shared" si="4"/>
        <v>2</v>
      </c>
      <c r="AP29" s="23">
        <f t="shared" si="5"/>
        <v>0</v>
      </c>
      <c r="AQ29" s="23">
        <f t="shared" si="6"/>
        <v>1</v>
      </c>
      <c r="AR29" s="23">
        <f t="shared" si="7"/>
        <v>0</v>
      </c>
      <c r="AS29" s="23">
        <f t="shared" si="8"/>
        <v>1</v>
      </c>
      <c r="AT29" s="278">
        <f t="shared" si="9"/>
        <v>0</v>
      </c>
      <c r="AU29" s="25">
        <f t="shared" si="10"/>
        <v>3.5</v>
      </c>
      <c r="AV29" s="18">
        <f t="shared" si="11"/>
        <v>5</v>
      </c>
      <c r="AW29" s="22">
        <f t="shared" si="12"/>
        <v>3</v>
      </c>
      <c r="AX29" s="18">
        <f t="shared" si="13"/>
        <v>1</v>
      </c>
      <c r="AY29" s="32">
        <f t="shared" si="14"/>
        <v>1.4285714285714286</v>
      </c>
      <c r="AZ29" s="24">
        <f t="shared" si="15"/>
        <v>13.5</v>
      </c>
      <c r="BA29" s="18">
        <f t="shared" si="16"/>
        <v>18</v>
      </c>
      <c r="BB29" s="18">
        <f t="shared" si="17"/>
        <v>17</v>
      </c>
      <c r="BC29" s="18">
        <f t="shared" si="18"/>
        <v>4</v>
      </c>
      <c r="BD29" s="32">
        <f t="shared" si="19"/>
        <v>1.3333333333333333</v>
      </c>
    </row>
    <row r="30" spans="2:56" x14ac:dyDescent="0.2">
      <c r="B30" s="1">
        <f t="shared" si="3"/>
        <v>26</v>
      </c>
      <c r="C30" s="71">
        <f t="shared" si="21"/>
        <v>23</v>
      </c>
      <c r="D30" s="13" t="s">
        <v>152</v>
      </c>
      <c r="E30" s="260">
        <v>62</v>
      </c>
      <c r="F30" s="25" t="str">
        <f>IFERROR(IF(VLOOKUP($D30,'Oct 25'!$C$8:$AH$51,31,0)=0,"",VLOOKUP($D30,'Oct 25'!$C$8:$AH$51,31,0)),"")</f>
        <v/>
      </c>
      <c r="G30" s="26" t="str">
        <f>IFERROR(IF(VLOOKUP($D30,'Oct 25'!$C$8:$AH$51,32,0)=0,"",VLOOKUP($D30,'Oct 25'!$C$8:$AH$51,32,0)),"")</f>
        <v/>
      </c>
      <c r="H30" s="24"/>
      <c r="I30" s="18"/>
      <c r="J30" s="18" t="s">
        <v>77</v>
      </c>
      <c r="K30" s="18"/>
      <c r="L30" s="17"/>
      <c r="M30" s="17" t="s">
        <v>81</v>
      </c>
      <c r="N30" s="18"/>
      <c r="O30" s="18"/>
      <c r="P30" s="18"/>
      <c r="Q30" s="15" t="s">
        <v>29</v>
      </c>
      <c r="R30" s="18"/>
      <c r="S30" s="17"/>
      <c r="T30" s="17" t="s">
        <v>29</v>
      </c>
      <c r="U30" s="18"/>
      <c r="V30" s="18"/>
      <c r="W30" s="18"/>
      <c r="X30" s="15" t="s">
        <v>32</v>
      </c>
      <c r="Y30" s="18"/>
      <c r="Z30" s="17" t="s">
        <v>207</v>
      </c>
      <c r="AA30" s="17" t="s">
        <v>207</v>
      </c>
      <c r="AB30" s="18" t="s">
        <v>83</v>
      </c>
      <c r="AC30" s="18" t="s">
        <v>83</v>
      </c>
      <c r="AD30" s="18" t="s">
        <v>83</v>
      </c>
      <c r="AE30" s="18" t="s">
        <v>83</v>
      </c>
      <c r="AF30" s="18" t="s">
        <v>83</v>
      </c>
      <c r="AG30" s="16"/>
      <c r="AH30" s="294"/>
      <c r="AI30" s="26"/>
      <c r="AK30" s="27">
        <f>IFERROR(VLOOKUP($D30,'Oct 25'!$C$8:$BC$51,49,0),0)</f>
        <v>10</v>
      </c>
      <c r="AL30" s="21">
        <f>IFERROR(VLOOKUP($D30,'Oct 25'!$C$8:$BC$51,50,0),0)</f>
        <v>14.5</v>
      </c>
      <c r="AM30" s="21">
        <f>IFERROR(VLOOKUP($D30,'Oct 25'!$C$8:$BC$51,51,0),0)</f>
        <v>14</v>
      </c>
      <c r="AN30" s="28">
        <f>IFERROR(VLOOKUP($D30,'Oct 25'!$C$8:$BC$51,52,0),0)</f>
        <v>1</v>
      </c>
      <c r="AO30" s="37">
        <f t="shared" si="4"/>
        <v>2</v>
      </c>
      <c r="AP30" s="23">
        <f t="shared" si="5"/>
        <v>0</v>
      </c>
      <c r="AQ30" s="23">
        <f t="shared" si="6"/>
        <v>0</v>
      </c>
      <c r="AR30" s="23">
        <f t="shared" si="7"/>
        <v>1</v>
      </c>
      <c r="AS30" s="23">
        <f t="shared" si="8"/>
        <v>0</v>
      </c>
      <c r="AT30" s="278">
        <f t="shared" si="9"/>
        <v>1</v>
      </c>
      <c r="AU30" s="25">
        <f t="shared" si="10"/>
        <v>3</v>
      </c>
      <c r="AV30" s="18">
        <f t="shared" si="11"/>
        <v>4</v>
      </c>
      <c r="AW30" s="22">
        <f t="shared" si="12"/>
        <v>4</v>
      </c>
      <c r="AX30" s="18">
        <f t="shared" si="13"/>
        <v>1</v>
      </c>
      <c r="AY30" s="32">
        <f t="shared" si="14"/>
        <v>1.3333333333333333</v>
      </c>
      <c r="AZ30" s="24">
        <f t="shared" si="15"/>
        <v>13</v>
      </c>
      <c r="BA30" s="18">
        <f t="shared" si="16"/>
        <v>18.5</v>
      </c>
      <c r="BB30" s="18">
        <f t="shared" si="17"/>
        <v>18</v>
      </c>
      <c r="BC30" s="18">
        <f t="shared" si="18"/>
        <v>2</v>
      </c>
      <c r="BD30" s="32">
        <f t="shared" si="19"/>
        <v>1.4230769230769231</v>
      </c>
    </row>
    <row r="31" spans="2:56" x14ac:dyDescent="0.2">
      <c r="B31" s="1">
        <f t="shared" si="3"/>
        <v>27</v>
      </c>
      <c r="C31" s="71">
        <f t="shared" si="21"/>
        <v>24</v>
      </c>
      <c r="D31" s="13" t="s">
        <v>143</v>
      </c>
      <c r="E31" s="260">
        <v>62</v>
      </c>
      <c r="F31" s="25" t="str">
        <f>IFERROR(IF(VLOOKUP($D31,'Oct 25'!$C$8:$AH$51,31,0)=0,"",VLOOKUP($D31,'Oct 25'!$C$8:$AH$51,31,0)),"")</f>
        <v>S</v>
      </c>
      <c r="G31" s="26" t="str">
        <f>IFERROR(IF(VLOOKUP($D31,'Oct 25'!$C$8:$AH$51,32,0)=0,"",VLOOKUP($D31,'Oct 25'!$C$8:$AH$51,32,0)),"")</f>
        <v/>
      </c>
      <c r="H31" s="24"/>
      <c r="I31" s="18" t="s">
        <v>30</v>
      </c>
      <c r="J31" s="15"/>
      <c r="K31" s="18"/>
      <c r="L31" s="17"/>
      <c r="M31" s="17" t="s">
        <v>31</v>
      </c>
      <c r="N31" s="18"/>
      <c r="O31" s="18"/>
      <c r="P31" s="18"/>
      <c r="Q31" s="18"/>
      <c r="R31" s="18"/>
      <c r="S31" s="16"/>
      <c r="T31" s="17" t="s">
        <v>21</v>
      </c>
      <c r="U31" s="18"/>
      <c r="V31" s="18"/>
      <c r="W31" s="18"/>
      <c r="X31" s="15" t="s">
        <v>34</v>
      </c>
      <c r="Y31" s="18"/>
      <c r="Z31" s="17"/>
      <c r="AA31" s="17" t="s">
        <v>77</v>
      </c>
      <c r="AB31" s="18"/>
      <c r="AC31" s="18"/>
      <c r="AD31" s="18"/>
      <c r="AE31" s="18"/>
      <c r="AF31" s="18"/>
      <c r="AG31" s="16"/>
      <c r="AH31" s="292" t="s">
        <v>29</v>
      </c>
      <c r="AI31" s="26"/>
      <c r="AK31" s="27">
        <f>IFERROR(VLOOKUP($D31,'Oct 25'!$C$8:$BC$51,49,0),0)</f>
        <v>9</v>
      </c>
      <c r="AL31" s="21">
        <f>IFERROR(VLOOKUP($D31,'Oct 25'!$C$8:$BC$51,50,0),0)</f>
        <v>13</v>
      </c>
      <c r="AM31" s="21">
        <f>IFERROR(VLOOKUP($D31,'Oct 25'!$C$8:$BC$51,51,0),0)</f>
        <v>14</v>
      </c>
      <c r="AN31" s="28">
        <f>IFERROR(VLOOKUP($D31,'Oct 25'!$C$8:$BC$51,52,0),0)</f>
        <v>0</v>
      </c>
      <c r="AO31" s="37">
        <f t="shared" si="4"/>
        <v>2</v>
      </c>
      <c r="AP31" s="23">
        <f t="shared" si="5"/>
        <v>0</v>
      </c>
      <c r="AQ31" s="23">
        <f t="shared" si="6"/>
        <v>0</v>
      </c>
      <c r="AR31" s="23">
        <f t="shared" si="7"/>
        <v>2</v>
      </c>
      <c r="AS31" s="23">
        <f t="shared" si="8"/>
        <v>0</v>
      </c>
      <c r="AT31" s="278">
        <f t="shared" si="9"/>
        <v>1</v>
      </c>
      <c r="AU31" s="25">
        <f t="shared" si="10"/>
        <v>4</v>
      </c>
      <c r="AV31" s="18">
        <f t="shared" si="11"/>
        <v>6</v>
      </c>
      <c r="AW31" s="22">
        <f t="shared" si="12"/>
        <v>4</v>
      </c>
      <c r="AX31" s="18">
        <f t="shared" si="13"/>
        <v>1</v>
      </c>
      <c r="AY31" s="32">
        <f t="shared" si="14"/>
        <v>1.5</v>
      </c>
      <c r="AZ31" s="24">
        <f t="shared" si="15"/>
        <v>13</v>
      </c>
      <c r="BA31" s="18">
        <f t="shared" si="16"/>
        <v>19</v>
      </c>
      <c r="BB31" s="18">
        <f t="shared" si="17"/>
        <v>18</v>
      </c>
      <c r="BC31" s="18">
        <f t="shared" si="18"/>
        <v>1</v>
      </c>
      <c r="BD31" s="32">
        <f t="shared" si="19"/>
        <v>1.4615384615384615</v>
      </c>
    </row>
    <row r="32" spans="2:56" x14ac:dyDescent="0.2">
      <c r="B32" s="1">
        <f t="shared" si="3"/>
        <v>28</v>
      </c>
      <c r="C32" s="71">
        <f t="shared" si="21"/>
        <v>25</v>
      </c>
      <c r="D32" s="12" t="s">
        <v>204</v>
      </c>
      <c r="E32" s="260">
        <v>62</v>
      </c>
      <c r="F32" s="25" t="str">
        <f>IFERROR(IF(VLOOKUP($D32,'Oct 25'!$C$8:$AH$51,31,0)=0,"",VLOOKUP($D32,'Oct 25'!$C$8:$AH$51,31,0)),"")</f>
        <v>WR2</v>
      </c>
      <c r="G32" s="26" t="str">
        <f>IFERROR(IF(VLOOKUP($D32,'Oct 25'!$C$8:$AH$51,32,0)=0,"",VLOOKUP($D32,'Oct 25'!$C$8:$AH$51,32,0)),"")</f>
        <v/>
      </c>
      <c r="H32" s="24"/>
      <c r="I32" s="18"/>
      <c r="J32" s="15"/>
      <c r="K32" s="18"/>
      <c r="L32" s="16"/>
      <c r="M32" s="17"/>
      <c r="N32" s="18" t="s">
        <v>83</v>
      </c>
      <c r="O32" s="18"/>
      <c r="P32" s="18"/>
      <c r="Q32" s="18"/>
      <c r="R32" s="233"/>
      <c r="S32" s="17" t="s">
        <v>19</v>
      </c>
      <c r="T32" s="17"/>
      <c r="U32" s="18"/>
      <c r="V32" s="18" t="s">
        <v>31</v>
      </c>
      <c r="W32" s="18"/>
      <c r="X32" s="18"/>
      <c r="Y32" s="18"/>
      <c r="Z32" s="17" t="s">
        <v>29</v>
      </c>
      <c r="AA32" s="17"/>
      <c r="AB32" s="18"/>
      <c r="AC32" s="18"/>
      <c r="AD32" s="18"/>
      <c r="AE32" s="15" t="s">
        <v>29</v>
      </c>
      <c r="AF32" s="18"/>
      <c r="AG32" s="16"/>
      <c r="AH32" s="292"/>
      <c r="AI32" s="26" t="s">
        <v>29</v>
      </c>
      <c r="AK32" s="27">
        <f>IFERROR(VLOOKUP($D32,'Oct 25'!$C$8:$BC$51,49,0),0)</f>
        <v>0</v>
      </c>
      <c r="AL32" s="21">
        <f>IFERROR(VLOOKUP($D32,'Oct 25'!$C$8:$BC$51,50,0),0)</f>
        <v>0</v>
      </c>
      <c r="AM32" s="21">
        <f>IFERROR(VLOOKUP($D32,'Oct 25'!$C$8:$BC$51,51,0),0)</f>
        <v>7</v>
      </c>
      <c r="AN32" s="28">
        <f>IFERROR(VLOOKUP($D32,'Oct 25'!$C$8:$BC$51,52,0),0)</f>
        <v>2</v>
      </c>
      <c r="AO32" s="37">
        <f t="shared" si="4"/>
        <v>3</v>
      </c>
      <c r="AP32" s="23">
        <f t="shared" si="5"/>
        <v>0</v>
      </c>
      <c r="AQ32" s="23">
        <f t="shared" si="6"/>
        <v>1</v>
      </c>
      <c r="AR32" s="23">
        <f t="shared" si="7"/>
        <v>0</v>
      </c>
      <c r="AS32" s="23">
        <f t="shared" si="8"/>
        <v>1</v>
      </c>
      <c r="AT32" s="278">
        <f t="shared" si="9"/>
        <v>0</v>
      </c>
      <c r="AU32" s="25">
        <f t="shared" si="10"/>
        <v>4.5</v>
      </c>
      <c r="AV32" s="18">
        <f t="shared" si="11"/>
        <v>6</v>
      </c>
      <c r="AW32" s="22">
        <f t="shared" si="12"/>
        <v>6</v>
      </c>
      <c r="AX32" s="18">
        <f t="shared" si="13"/>
        <v>0</v>
      </c>
      <c r="AY32" s="32">
        <f t="shared" si="14"/>
        <v>1.3333333333333333</v>
      </c>
      <c r="AZ32" s="24">
        <f t="shared" si="15"/>
        <v>4.5</v>
      </c>
      <c r="BA32" s="18">
        <f t="shared" si="16"/>
        <v>6</v>
      </c>
      <c r="BB32" s="18">
        <f t="shared" si="17"/>
        <v>13</v>
      </c>
      <c r="BC32" s="18">
        <f t="shared" si="18"/>
        <v>2</v>
      </c>
      <c r="BD32" s="32">
        <f t="shared" si="19"/>
        <v>1.3333333333333333</v>
      </c>
    </row>
    <row r="33" spans="2:56" x14ac:dyDescent="0.2">
      <c r="B33" s="1">
        <f t="shared" si="3"/>
        <v>29</v>
      </c>
      <c r="C33" s="71">
        <f t="shared" si="21"/>
        <v>26</v>
      </c>
      <c r="D33" s="13" t="s">
        <v>142</v>
      </c>
      <c r="E33" s="260">
        <v>62</v>
      </c>
      <c r="F33" s="25" t="str">
        <f>IFERROR(IF(VLOOKUP($D33,'Oct 25'!$C$8:$AH$51,31,0)=0,"",VLOOKUP($D33,'Oct 25'!$C$8:$AH$51,31,0)),"")</f>
        <v/>
      </c>
      <c r="G33" s="26" t="str">
        <f>IFERROR(IF(VLOOKUP($D33,'Oct 25'!$C$8:$AH$51,32,0)=0,"",VLOOKUP($D33,'Oct 25'!$C$8:$AH$51,32,0)),"")</f>
        <v/>
      </c>
      <c r="H33" s="24"/>
      <c r="I33" s="18"/>
      <c r="J33" s="18"/>
      <c r="K33" s="18"/>
      <c r="L33" s="16"/>
      <c r="M33" s="17" t="s">
        <v>34</v>
      </c>
      <c r="N33" s="18"/>
      <c r="O33" s="18"/>
      <c r="P33" s="18"/>
      <c r="Q33" s="15" t="s">
        <v>32</v>
      </c>
      <c r="R33" s="18"/>
      <c r="S33" s="17" t="s">
        <v>207</v>
      </c>
      <c r="T33" s="17" t="s">
        <v>207</v>
      </c>
      <c r="U33" s="18" t="s">
        <v>83</v>
      </c>
      <c r="V33" s="18" t="s">
        <v>83</v>
      </c>
      <c r="W33" s="18" t="s">
        <v>83</v>
      </c>
      <c r="X33" s="18" t="s">
        <v>83</v>
      </c>
      <c r="Y33" s="16" t="s">
        <v>83</v>
      </c>
      <c r="Z33" s="17"/>
      <c r="AA33" s="17"/>
      <c r="AB33" s="300" t="s">
        <v>29</v>
      </c>
      <c r="AC33" s="18"/>
      <c r="AD33" s="18"/>
      <c r="AE33" s="18"/>
      <c r="AF33" s="18" t="s">
        <v>208</v>
      </c>
      <c r="AG33" s="17" t="s">
        <v>29</v>
      </c>
      <c r="AH33" s="292"/>
      <c r="AI33" s="26"/>
      <c r="AK33" s="27">
        <f>IFERROR(VLOOKUP($D33,'Oct 25'!$C$8:$BC$51,49,0),0)</f>
        <v>9</v>
      </c>
      <c r="AL33" s="21">
        <f>IFERROR(VLOOKUP($D33,'Oct 25'!$C$8:$BC$51,50,0),0)</f>
        <v>13.5</v>
      </c>
      <c r="AM33" s="21">
        <f>IFERROR(VLOOKUP($D33,'Oct 25'!$C$8:$BC$51,51,0),0)</f>
        <v>13</v>
      </c>
      <c r="AN33" s="28">
        <f>IFERROR(VLOOKUP($D33,'Oct 25'!$C$8:$BC$51,52,0),0)</f>
        <v>1</v>
      </c>
      <c r="AO33" s="37">
        <f t="shared" si="4"/>
        <v>2</v>
      </c>
      <c r="AP33" s="23">
        <f t="shared" si="5"/>
        <v>0</v>
      </c>
      <c r="AQ33" s="23">
        <f t="shared" si="6"/>
        <v>1</v>
      </c>
      <c r="AR33" s="23">
        <f t="shared" si="7"/>
        <v>1</v>
      </c>
      <c r="AS33" s="23">
        <f t="shared" si="8"/>
        <v>0</v>
      </c>
      <c r="AT33" s="278">
        <f t="shared" si="9"/>
        <v>0</v>
      </c>
      <c r="AU33" s="25">
        <f t="shared" si="10"/>
        <v>4</v>
      </c>
      <c r="AV33" s="18">
        <f t="shared" si="11"/>
        <v>6.5</v>
      </c>
      <c r="AW33" s="22">
        <f t="shared" si="12"/>
        <v>4</v>
      </c>
      <c r="AX33" s="18">
        <f t="shared" si="13"/>
        <v>0</v>
      </c>
      <c r="AY33" s="32">
        <f t="shared" si="14"/>
        <v>1.625</v>
      </c>
      <c r="AZ33" s="24">
        <f t="shared" si="15"/>
        <v>13</v>
      </c>
      <c r="BA33" s="18">
        <f t="shared" si="16"/>
        <v>20</v>
      </c>
      <c r="BB33" s="18">
        <f t="shared" si="17"/>
        <v>17</v>
      </c>
      <c r="BC33" s="18">
        <f t="shared" si="18"/>
        <v>1</v>
      </c>
      <c r="BD33" s="32">
        <f t="shared" si="19"/>
        <v>1.5384615384615385</v>
      </c>
    </row>
    <row r="34" spans="2:56" x14ac:dyDescent="0.2">
      <c r="B34" s="1">
        <f t="shared" si="3"/>
        <v>30</v>
      </c>
      <c r="C34" s="71">
        <f t="shared" si="21"/>
        <v>27</v>
      </c>
      <c r="D34" s="12" t="s">
        <v>205</v>
      </c>
      <c r="E34" s="260">
        <v>62</v>
      </c>
      <c r="F34" s="25" t="str">
        <f>IFERROR(IF(VLOOKUP($D34,'Oct 25'!$C$8:$AH$51,31,0)=0,"",VLOOKUP($D34,'Oct 25'!$C$8:$AH$51,31,0)),"")</f>
        <v/>
      </c>
      <c r="G34" s="26" t="str">
        <f>IFERROR(IF(VLOOKUP($D34,'Oct 25'!$C$8:$AH$51,32,0)=0,"",VLOOKUP($D34,'Oct 25'!$C$8:$AH$51,32,0)),"")</f>
        <v/>
      </c>
      <c r="H34" s="24"/>
      <c r="I34" s="18"/>
      <c r="J34" s="18"/>
      <c r="K34" s="18"/>
      <c r="L34" s="17" t="s">
        <v>29</v>
      </c>
      <c r="M34" s="17"/>
      <c r="N34" s="18"/>
      <c r="O34" s="18"/>
      <c r="P34" s="18"/>
      <c r="Q34" s="18"/>
      <c r="R34" s="18"/>
      <c r="S34" s="17" t="s">
        <v>20</v>
      </c>
      <c r="T34" s="17"/>
      <c r="U34" s="18" t="s">
        <v>29</v>
      </c>
      <c r="V34" s="18"/>
      <c r="W34" s="18"/>
      <c r="X34" s="15"/>
      <c r="Y34" s="18"/>
      <c r="Z34" s="17"/>
      <c r="AA34" s="231" t="s">
        <v>29</v>
      </c>
      <c r="AB34" s="18"/>
      <c r="AC34" s="18"/>
      <c r="AD34" s="18"/>
      <c r="AE34" s="15"/>
      <c r="AF34" s="18"/>
      <c r="AG34" s="17"/>
      <c r="AH34" s="294"/>
      <c r="AI34" s="26" t="s">
        <v>32</v>
      </c>
      <c r="AK34" s="27">
        <f>IFERROR(VLOOKUP($D34,'Oct 25'!$C$8:$BC$51,49,0),0)</f>
        <v>0</v>
      </c>
      <c r="AL34" s="21">
        <f>IFERROR(VLOOKUP($D34,'Oct 25'!$C$8:$BC$51,50,0),0)</f>
        <v>0</v>
      </c>
      <c r="AM34" s="21">
        <f>IFERROR(VLOOKUP($D34,'Oct 25'!$C$8:$BC$51,51,0),0)</f>
        <v>9</v>
      </c>
      <c r="AN34" s="28">
        <f>IFERROR(VLOOKUP($D34,'Oct 25'!$C$8:$BC$51,52,0),0)</f>
        <v>0</v>
      </c>
      <c r="AO34" s="37">
        <f t="shared" si="4"/>
        <v>2</v>
      </c>
      <c r="AP34" s="23">
        <f t="shared" si="5"/>
        <v>0</v>
      </c>
      <c r="AQ34" s="23">
        <f t="shared" si="6"/>
        <v>1</v>
      </c>
      <c r="AR34" s="23">
        <f t="shared" si="7"/>
        <v>1</v>
      </c>
      <c r="AS34" s="23">
        <f t="shared" si="8"/>
        <v>0</v>
      </c>
      <c r="AT34" s="278">
        <f t="shared" si="9"/>
        <v>0</v>
      </c>
      <c r="AU34" s="25">
        <f t="shared" si="10"/>
        <v>4</v>
      </c>
      <c r="AV34" s="18">
        <f t="shared" si="11"/>
        <v>6.5</v>
      </c>
      <c r="AW34" s="22">
        <f t="shared" si="12"/>
        <v>5</v>
      </c>
      <c r="AX34" s="18">
        <f t="shared" si="13"/>
        <v>1</v>
      </c>
      <c r="AY34" s="32">
        <f t="shared" si="14"/>
        <v>1.625</v>
      </c>
      <c r="AZ34" s="24">
        <f t="shared" si="15"/>
        <v>4</v>
      </c>
      <c r="BA34" s="18">
        <f t="shared" si="16"/>
        <v>6.5</v>
      </c>
      <c r="BB34" s="18">
        <f t="shared" si="17"/>
        <v>14</v>
      </c>
      <c r="BC34" s="18">
        <f t="shared" si="18"/>
        <v>1</v>
      </c>
      <c r="BD34" s="32">
        <f t="shared" si="19"/>
        <v>1.625</v>
      </c>
    </row>
    <row r="35" spans="2:56" x14ac:dyDescent="0.2">
      <c r="B35" s="1">
        <f t="shared" si="3"/>
        <v>31</v>
      </c>
      <c r="C35" s="71">
        <f t="shared" si="21"/>
        <v>28</v>
      </c>
      <c r="D35" s="13" t="s">
        <v>145</v>
      </c>
      <c r="E35" s="260">
        <v>75</v>
      </c>
      <c r="F35" s="25" t="str">
        <f>IFERROR(IF(VLOOKUP($D35,'Oct 25'!$C$8:$AH$51,31,0)=0,"",VLOOKUP($D35,'Oct 25'!$C$8:$AH$51,31,0)),"")</f>
        <v/>
      </c>
      <c r="G35" s="26" t="str">
        <f>IFERROR(IF(VLOOKUP($D35,'Oct 25'!$C$8:$AH$51,32,0)=0,"",VLOOKUP($D35,'Oct 25'!$C$8:$AH$51,32,0)),"")</f>
        <v/>
      </c>
      <c r="H35" s="24"/>
      <c r="I35" s="18"/>
      <c r="J35" s="300" t="s">
        <v>29</v>
      </c>
      <c r="K35" s="18" t="s">
        <v>83</v>
      </c>
      <c r="L35" s="17"/>
      <c r="M35" s="232"/>
      <c r="N35" s="18" t="s">
        <v>83</v>
      </c>
      <c r="O35" s="18" t="s">
        <v>83</v>
      </c>
      <c r="P35" s="18"/>
      <c r="Q35" s="18"/>
      <c r="R35" s="18"/>
      <c r="S35" s="16"/>
      <c r="T35" s="17" t="s">
        <v>81</v>
      </c>
      <c r="U35" s="18"/>
      <c r="V35" s="18" t="s">
        <v>29</v>
      </c>
      <c r="W35" s="18"/>
      <c r="X35" s="281"/>
      <c r="Y35" s="18" t="s">
        <v>32</v>
      </c>
      <c r="Z35" s="17"/>
      <c r="AA35" s="17"/>
      <c r="AB35" s="18"/>
      <c r="AC35" s="18" t="s">
        <v>29</v>
      </c>
      <c r="AD35" s="18"/>
      <c r="AE35" s="18"/>
      <c r="AF35" s="18"/>
      <c r="AG35" s="16"/>
      <c r="AH35" s="292" t="s">
        <v>34</v>
      </c>
      <c r="AI35" s="26"/>
      <c r="AK35" s="27">
        <f>IFERROR(VLOOKUP($D35,'Oct 25'!$C$8:$BC$51,49,0),0)</f>
        <v>8.5</v>
      </c>
      <c r="AL35" s="21">
        <f>IFERROR(VLOOKUP($D35,'Oct 25'!$C$8:$BC$51,50,0),0)</f>
        <v>14</v>
      </c>
      <c r="AM35" s="21">
        <f>IFERROR(VLOOKUP($D35,'Oct 25'!$C$8:$BC$51,51,0),0)</f>
        <v>13</v>
      </c>
      <c r="AN35" s="28">
        <f>IFERROR(VLOOKUP($D35,'Oct 25'!$C$8:$BC$51,52,0),0)</f>
        <v>1</v>
      </c>
      <c r="AO35" s="37">
        <f t="shared" si="4"/>
        <v>3</v>
      </c>
      <c r="AP35" s="23">
        <f t="shared" si="5"/>
        <v>1</v>
      </c>
      <c r="AQ35" s="23">
        <f t="shared" si="6"/>
        <v>0</v>
      </c>
      <c r="AR35" s="23">
        <f t="shared" si="7"/>
        <v>1</v>
      </c>
      <c r="AS35" s="23">
        <f t="shared" si="8"/>
        <v>0</v>
      </c>
      <c r="AT35" s="278">
        <f t="shared" si="9"/>
        <v>0</v>
      </c>
      <c r="AU35" s="25">
        <f t="shared" si="10"/>
        <v>5</v>
      </c>
      <c r="AV35" s="18">
        <f t="shared" si="11"/>
        <v>6.5</v>
      </c>
      <c r="AW35" s="22">
        <f t="shared" si="12"/>
        <v>6</v>
      </c>
      <c r="AX35" s="18">
        <f t="shared" si="13"/>
        <v>1</v>
      </c>
      <c r="AY35" s="32">
        <f t="shared" si="14"/>
        <v>1.3</v>
      </c>
      <c r="AZ35" s="24">
        <f t="shared" si="15"/>
        <v>13.5</v>
      </c>
      <c r="BA35" s="18">
        <f t="shared" si="16"/>
        <v>20.5</v>
      </c>
      <c r="BB35" s="18">
        <f t="shared" si="17"/>
        <v>19</v>
      </c>
      <c r="BC35" s="18">
        <f t="shared" si="18"/>
        <v>2</v>
      </c>
      <c r="BD35" s="32">
        <f t="shared" si="19"/>
        <v>1.5185185185185186</v>
      </c>
    </row>
    <row r="36" spans="2:56" x14ac:dyDescent="0.2">
      <c r="B36" s="1">
        <f t="shared" si="3"/>
        <v>32</v>
      </c>
      <c r="C36" s="71">
        <f t="shared" si="21"/>
        <v>29</v>
      </c>
      <c r="D36" s="12" t="s">
        <v>206</v>
      </c>
      <c r="E36" s="260">
        <v>75</v>
      </c>
      <c r="F36" s="25" t="str">
        <f>IFERROR(IF(VLOOKUP($D36,'Oct 25'!$C$8:$AH$51,31,0)=0,"",VLOOKUP($D36,'Oct 25'!$C$8:$AH$51,31,0)),"")</f>
        <v>WR3</v>
      </c>
      <c r="G36" s="26" t="str">
        <f>IFERROR(IF(VLOOKUP($D36,'Oct 25'!$C$8:$AH$51,32,0)=0,"",VLOOKUP($D36,'Oct 25'!$C$8:$AH$51,32,0)),"")</f>
        <v/>
      </c>
      <c r="H36" s="24"/>
      <c r="I36" s="18"/>
      <c r="J36" s="15"/>
      <c r="K36" s="18"/>
      <c r="L36" s="17" t="s">
        <v>81</v>
      </c>
      <c r="M36" s="17"/>
      <c r="N36" s="18" t="s">
        <v>31</v>
      </c>
      <c r="O36" s="18"/>
      <c r="P36" s="18"/>
      <c r="Q36" s="18"/>
      <c r="R36" s="16"/>
      <c r="S36" s="17" t="s">
        <v>77</v>
      </c>
      <c r="T36" s="17"/>
      <c r="U36" s="18"/>
      <c r="V36" s="18" t="s">
        <v>32</v>
      </c>
      <c r="W36" s="18"/>
      <c r="X36" s="15"/>
      <c r="Y36" s="244"/>
      <c r="Z36" s="17" t="s">
        <v>31</v>
      </c>
      <c r="AA36" s="17"/>
      <c r="AB36" s="18"/>
      <c r="AC36" s="18"/>
      <c r="AD36" s="18" t="s">
        <v>29</v>
      </c>
      <c r="AE36" s="18"/>
      <c r="AF36" s="16"/>
      <c r="AG36" s="17"/>
      <c r="AH36" s="292" t="s">
        <v>30</v>
      </c>
      <c r="AI36" s="26"/>
      <c r="AK36" s="27">
        <f>IFERROR(VLOOKUP($D36,'Oct 25'!$C$8:$BC$51,49,0),0)</f>
        <v>0</v>
      </c>
      <c r="AL36" s="21">
        <f>IFERROR(VLOOKUP($D36,'Oct 25'!$C$8:$BC$51,50,0),0)</f>
        <v>0</v>
      </c>
      <c r="AM36" s="21">
        <f>IFERROR(VLOOKUP($D36,'Oct 25'!$C$8:$BC$51,51,0),0)</f>
        <v>8</v>
      </c>
      <c r="AN36" s="28">
        <f>IFERROR(VLOOKUP($D36,'Oct 25'!$C$8:$BC$51,52,0),0)</f>
        <v>1</v>
      </c>
      <c r="AO36" s="37">
        <f t="shared" si="4"/>
        <v>3</v>
      </c>
      <c r="AP36" s="23">
        <f t="shared" si="5"/>
        <v>0</v>
      </c>
      <c r="AQ36" s="23">
        <f t="shared" si="6"/>
        <v>1</v>
      </c>
      <c r="AR36" s="23">
        <f t="shared" si="7"/>
        <v>1</v>
      </c>
      <c r="AS36" s="23">
        <f t="shared" si="8"/>
        <v>0</v>
      </c>
      <c r="AT36" s="278">
        <f t="shared" si="9"/>
        <v>1</v>
      </c>
      <c r="AU36" s="25">
        <f t="shared" si="10"/>
        <v>5</v>
      </c>
      <c r="AV36" s="18">
        <f t="shared" si="11"/>
        <v>7.5</v>
      </c>
      <c r="AW36" s="22">
        <f t="shared" si="12"/>
        <v>4</v>
      </c>
      <c r="AX36" s="18">
        <f t="shared" si="13"/>
        <v>1</v>
      </c>
      <c r="AY36" s="32">
        <f t="shared" si="14"/>
        <v>1.5</v>
      </c>
      <c r="AZ36" s="24">
        <f t="shared" si="15"/>
        <v>5</v>
      </c>
      <c r="BA36" s="18">
        <f t="shared" si="16"/>
        <v>7.5</v>
      </c>
      <c r="BB36" s="18">
        <f t="shared" si="17"/>
        <v>12</v>
      </c>
      <c r="BC36" s="18">
        <f t="shared" si="18"/>
        <v>2</v>
      </c>
      <c r="BD36" s="32">
        <f t="shared" si="19"/>
        <v>1.5</v>
      </c>
    </row>
    <row r="37" spans="2:56" x14ac:dyDescent="0.2">
      <c r="B37" s="1">
        <f t="shared" si="3"/>
        <v>33</v>
      </c>
      <c r="C37" s="71">
        <f t="shared" si="21"/>
        <v>30</v>
      </c>
      <c r="D37" s="13" t="s">
        <v>139</v>
      </c>
      <c r="E37" s="260" t="s">
        <v>72</v>
      </c>
      <c r="F37" s="25" t="str">
        <f>IFERROR(IF(VLOOKUP($D37,'Oct 25'!$C$8:$AH$51,31,0)=0,"",VLOOKUP($D37,'Oct 25'!$C$8:$AH$51,31,0)),"")</f>
        <v/>
      </c>
      <c r="G37" s="26" t="str">
        <f>IFERROR(IF(VLOOKUP($D37,'Oct 25'!$C$8:$AH$51,32,0)=0,"",VLOOKUP($D37,'Oct 25'!$C$8:$AH$51,32,0)),"")</f>
        <v/>
      </c>
      <c r="H37" s="24"/>
      <c r="I37" s="18"/>
      <c r="J37" s="18"/>
      <c r="K37" s="15" t="s">
        <v>29</v>
      </c>
      <c r="L37" s="17"/>
      <c r="M37" s="17"/>
      <c r="N37" s="18"/>
      <c r="O37" s="18"/>
      <c r="P37" s="233" t="s">
        <v>29</v>
      </c>
      <c r="Q37" s="18"/>
      <c r="R37" s="18"/>
      <c r="S37" s="231" t="s">
        <v>212</v>
      </c>
      <c r="T37" s="17"/>
      <c r="U37" s="18"/>
      <c r="V37" s="18"/>
      <c r="W37" s="18" t="s">
        <v>29</v>
      </c>
      <c r="X37" s="18"/>
      <c r="Y37" s="18"/>
      <c r="Z37" s="17"/>
      <c r="AA37" s="15"/>
      <c r="AB37" s="233" t="s">
        <v>32</v>
      </c>
      <c r="AC37" s="18"/>
      <c r="AD37" s="18"/>
      <c r="AE37" s="18"/>
      <c r="AF37" s="233" t="s">
        <v>29</v>
      </c>
      <c r="AG37" s="16"/>
      <c r="AH37" s="292"/>
      <c r="AI37" s="26" t="s">
        <v>83</v>
      </c>
      <c r="AK37" s="27">
        <f>IFERROR(VLOOKUP($D37,'Oct 25'!$C$8:$BC$51,49,0),0)</f>
        <v>10</v>
      </c>
      <c r="AL37" s="21">
        <f>IFERROR(VLOOKUP($D37,'Oct 25'!$C$8:$BC$51,50,0),0)</f>
        <v>13</v>
      </c>
      <c r="AM37" s="21">
        <f>IFERROR(VLOOKUP($D37,'Oct 25'!$C$8:$BC$51,51,0),0)</f>
        <v>12</v>
      </c>
      <c r="AN37" s="28">
        <f>IFERROR(VLOOKUP($D37,'Oct 25'!$C$8:$BC$51,52,0),0)</f>
        <v>1</v>
      </c>
      <c r="AO37" s="37">
        <f t="shared" si="4"/>
        <v>3</v>
      </c>
      <c r="AP37" s="23">
        <f t="shared" si="5"/>
        <v>2</v>
      </c>
      <c r="AQ37" s="23">
        <f t="shared" si="6"/>
        <v>0</v>
      </c>
      <c r="AR37" s="23">
        <f t="shared" si="7"/>
        <v>0</v>
      </c>
      <c r="AS37" s="23">
        <f t="shared" si="8"/>
        <v>0</v>
      </c>
      <c r="AT37" s="278">
        <f t="shared" si="9"/>
        <v>0</v>
      </c>
      <c r="AU37" s="25">
        <f t="shared" si="10"/>
        <v>5</v>
      </c>
      <c r="AV37" s="18">
        <f t="shared" si="11"/>
        <v>6</v>
      </c>
      <c r="AW37" s="22">
        <f t="shared" si="12"/>
        <v>7</v>
      </c>
      <c r="AX37" s="18">
        <f t="shared" si="13"/>
        <v>1</v>
      </c>
      <c r="AY37" s="32">
        <f t="shared" si="14"/>
        <v>1.2</v>
      </c>
      <c r="AZ37" s="24">
        <f t="shared" si="15"/>
        <v>15</v>
      </c>
      <c r="BA37" s="18">
        <f t="shared" si="16"/>
        <v>19</v>
      </c>
      <c r="BB37" s="18">
        <f t="shared" si="17"/>
        <v>19</v>
      </c>
      <c r="BC37" s="18">
        <f t="shared" si="18"/>
        <v>2</v>
      </c>
      <c r="BD37" s="32">
        <f t="shared" si="19"/>
        <v>1.2666666666666666</v>
      </c>
    </row>
    <row r="38" spans="2:56" x14ac:dyDescent="0.2">
      <c r="B38" s="1">
        <f t="shared" si="3"/>
        <v>34</v>
      </c>
      <c r="C38" s="71">
        <f t="shared" si="21"/>
        <v>31</v>
      </c>
      <c r="D38" s="13" t="s">
        <v>149</v>
      </c>
      <c r="E38" s="260" t="s">
        <v>73</v>
      </c>
      <c r="F38" s="25" t="str">
        <f>IFERROR(IF(VLOOKUP($D38,'Oct 25'!$C$8:$AH$51,31,0)=0,"",VLOOKUP($D38,'Oct 25'!$C$8:$AH$51,31,0)),"")</f>
        <v/>
      </c>
      <c r="G38" s="26" t="str">
        <f>IFERROR(IF(VLOOKUP($D38,'Oct 25'!$C$8:$AH$51,32,0)=0,"",VLOOKUP($D38,'Oct 25'!$C$8:$AH$51,32,0)),"")</f>
        <v>HO3</v>
      </c>
      <c r="H38" s="24"/>
      <c r="I38" s="18"/>
      <c r="J38" s="18"/>
      <c r="K38" s="18" t="s">
        <v>208</v>
      </c>
      <c r="L38" s="17"/>
      <c r="M38" s="17"/>
      <c r="N38" s="15" t="s">
        <v>29</v>
      </c>
      <c r="O38" s="18"/>
      <c r="P38" s="18"/>
      <c r="Q38" s="18" t="s">
        <v>31</v>
      </c>
      <c r="R38" s="18"/>
      <c r="S38" s="16"/>
      <c r="T38" s="17"/>
      <c r="U38" s="18"/>
      <c r="V38" s="18"/>
      <c r="W38" s="18"/>
      <c r="X38" s="15"/>
      <c r="Y38" s="18" t="s">
        <v>29</v>
      </c>
      <c r="Z38" s="17"/>
      <c r="AA38" s="17"/>
      <c r="AB38" s="18"/>
      <c r="AC38" s="18" t="s">
        <v>32</v>
      </c>
      <c r="AD38" s="18"/>
      <c r="AE38" s="18"/>
      <c r="AF38" s="18" t="s">
        <v>77</v>
      </c>
      <c r="AG38" s="16"/>
      <c r="AH38" s="292"/>
      <c r="AI38" s="26"/>
      <c r="AK38" s="27">
        <f>IFERROR(VLOOKUP($D38,'Oct 25'!$C$8:$BC$51,49,0),0)</f>
        <v>10</v>
      </c>
      <c r="AL38" s="21">
        <f>IFERROR(VLOOKUP($D38,'Oct 25'!$C$8:$BC$51,50,0),0)</f>
        <v>16</v>
      </c>
      <c r="AM38" s="21">
        <f>IFERROR(VLOOKUP($D38,'Oct 25'!$C$8:$BC$51,51,0),0)</f>
        <v>14</v>
      </c>
      <c r="AN38" s="28">
        <f>IFERROR(VLOOKUP($D38,'Oct 25'!$C$8:$BC$51,52,0),0)</f>
        <v>1</v>
      </c>
      <c r="AO38" s="37">
        <f t="shared" si="4"/>
        <v>3</v>
      </c>
      <c r="AP38" s="23">
        <f t="shared" si="5"/>
        <v>1</v>
      </c>
      <c r="AQ38" s="23">
        <f t="shared" si="6"/>
        <v>0</v>
      </c>
      <c r="AR38" s="23">
        <f t="shared" si="7"/>
        <v>0</v>
      </c>
      <c r="AS38" s="23">
        <f t="shared" si="8"/>
        <v>0</v>
      </c>
      <c r="AT38" s="278">
        <f t="shared" si="9"/>
        <v>1</v>
      </c>
      <c r="AU38" s="25">
        <f t="shared" si="10"/>
        <v>4</v>
      </c>
      <c r="AV38" s="18">
        <f t="shared" si="11"/>
        <v>4.5</v>
      </c>
      <c r="AW38" s="22">
        <f t="shared" si="12"/>
        <v>8</v>
      </c>
      <c r="AX38" s="18">
        <f t="shared" si="13"/>
        <v>0</v>
      </c>
      <c r="AY38" s="32">
        <f t="shared" si="14"/>
        <v>1.125</v>
      </c>
      <c r="AZ38" s="24">
        <f t="shared" si="15"/>
        <v>14</v>
      </c>
      <c r="BA38" s="18">
        <f t="shared" si="16"/>
        <v>20.5</v>
      </c>
      <c r="BB38" s="18">
        <f t="shared" si="17"/>
        <v>22</v>
      </c>
      <c r="BC38" s="18">
        <f t="shared" si="18"/>
        <v>1</v>
      </c>
      <c r="BD38" s="32">
        <f t="shared" si="19"/>
        <v>1.4642857142857142</v>
      </c>
    </row>
    <row r="39" spans="2:56" x14ac:dyDescent="0.2">
      <c r="B39" s="1">
        <f t="shared" si="3"/>
        <v>35</v>
      </c>
      <c r="C39" s="71">
        <f t="shared" si="21"/>
        <v>32</v>
      </c>
      <c r="D39" s="13" t="s">
        <v>154</v>
      </c>
      <c r="E39" s="260" t="s">
        <v>73</v>
      </c>
      <c r="F39" s="25" t="str">
        <f>IFERROR(IF(VLOOKUP($D39,'Oct 25'!$C$8:$AH$51,31,0)=0,"",VLOOKUP($D39,'Oct 25'!$C$8:$AH$51,31,0)),"")</f>
        <v/>
      </c>
      <c r="G39" s="26" t="str">
        <f>IFERROR(IF(VLOOKUP($D39,'Oct 25'!$C$8:$AH$51,32,0)=0,"",VLOOKUP($D39,'Oct 25'!$C$8:$AH$51,32,0)),"")</f>
        <v/>
      </c>
      <c r="H39" s="24" t="s">
        <v>29</v>
      </c>
      <c r="I39" s="18"/>
      <c r="J39" s="18"/>
      <c r="K39" s="18"/>
      <c r="L39" s="17"/>
      <c r="M39" s="15" t="s">
        <v>29</v>
      </c>
      <c r="N39" s="18"/>
      <c r="O39" s="18"/>
      <c r="P39" s="18"/>
      <c r="Q39" s="18"/>
      <c r="R39" s="18"/>
      <c r="S39" s="16"/>
      <c r="T39" s="17"/>
      <c r="U39" s="18" t="s">
        <v>34</v>
      </c>
      <c r="V39" s="18"/>
      <c r="W39" s="18"/>
      <c r="X39" s="18"/>
      <c r="Y39" s="18" t="s">
        <v>83</v>
      </c>
      <c r="Z39" s="16"/>
      <c r="AA39" s="15" t="s">
        <v>31</v>
      </c>
      <c r="AB39" s="18"/>
      <c r="AC39" s="18"/>
      <c r="AD39" s="18"/>
      <c r="AE39" s="18"/>
      <c r="AF39" s="18"/>
      <c r="AG39" s="17" t="s">
        <v>77</v>
      </c>
      <c r="AH39" s="292"/>
      <c r="AI39" s="26"/>
      <c r="AK39" s="27">
        <f>IFERROR(VLOOKUP($D39,'Oct 25'!$C$8:$BC$51,49,0),0)</f>
        <v>9</v>
      </c>
      <c r="AL39" s="21">
        <f>IFERROR(VLOOKUP($D39,'Oct 25'!$C$8:$BC$51,50,0),0)</f>
        <v>15</v>
      </c>
      <c r="AM39" s="21">
        <f>IFERROR(VLOOKUP($D39,'Oct 25'!$C$8:$BC$51,51,0),0)</f>
        <v>13</v>
      </c>
      <c r="AN39" s="28">
        <f>IFERROR(VLOOKUP($D39,'Oct 25'!$C$8:$BC$51,52,0),0)</f>
        <v>1</v>
      </c>
      <c r="AO39" s="37">
        <f t="shared" si="4"/>
        <v>2</v>
      </c>
      <c r="AP39" s="23">
        <f t="shared" si="5"/>
        <v>0</v>
      </c>
      <c r="AQ39" s="23">
        <f t="shared" si="6"/>
        <v>0</v>
      </c>
      <c r="AR39" s="23">
        <f t="shared" si="7"/>
        <v>2</v>
      </c>
      <c r="AS39" s="23">
        <f t="shared" si="8"/>
        <v>0</v>
      </c>
      <c r="AT39" s="278">
        <f t="shared" si="9"/>
        <v>1</v>
      </c>
      <c r="AU39" s="25">
        <f t="shared" si="10"/>
        <v>4</v>
      </c>
      <c r="AV39" s="18">
        <f t="shared" si="11"/>
        <v>6</v>
      </c>
      <c r="AW39" s="22">
        <f t="shared" si="12"/>
        <v>5</v>
      </c>
      <c r="AX39" s="18">
        <f t="shared" si="13"/>
        <v>0</v>
      </c>
      <c r="AY39" s="32">
        <f t="shared" si="14"/>
        <v>1.5</v>
      </c>
      <c r="AZ39" s="24">
        <f t="shared" si="15"/>
        <v>13</v>
      </c>
      <c r="BA39" s="18">
        <f t="shared" si="16"/>
        <v>21</v>
      </c>
      <c r="BB39" s="18">
        <f t="shared" si="17"/>
        <v>18</v>
      </c>
      <c r="BC39" s="18">
        <f t="shared" si="18"/>
        <v>1</v>
      </c>
      <c r="BD39" s="32">
        <f t="shared" si="19"/>
        <v>1.6153846153846154</v>
      </c>
    </row>
    <row r="40" spans="2:56" x14ac:dyDescent="0.2">
      <c r="B40" s="1">
        <f t="shared" si="3"/>
        <v>36</v>
      </c>
      <c r="C40" s="71">
        <f t="shared" si="21"/>
        <v>33</v>
      </c>
      <c r="D40" s="13" t="s">
        <v>140</v>
      </c>
      <c r="E40" s="260" t="s">
        <v>73</v>
      </c>
      <c r="F40" s="25" t="str">
        <f>IFERROR(IF(VLOOKUP($D40,'Oct 25'!$C$8:$AH$51,31,0)=0,"",VLOOKUP($D40,'Oct 25'!$C$8:$AH$51,31,0)),"")</f>
        <v>HO6</v>
      </c>
      <c r="G40" s="26" t="str">
        <f>IFERROR(IF(VLOOKUP($D40,'Oct 25'!$C$8:$AH$51,32,0)=0,"",VLOOKUP($D40,'Oct 25'!$C$8:$AH$51,32,0)),"")</f>
        <v/>
      </c>
      <c r="H40" s="24"/>
      <c r="I40" s="18" t="s">
        <v>29</v>
      </c>
      <c r="J40" s="18"/>
      <c r="K40" s="18"/>
      <c r="L40" s="16"/>
      <c r="M40" s="17"/>
      <c r="N40" s="18" t="s">
        <v>30</v>
      </c>
      <c r="O40" s="18"/>
      <c r="P40" s="18"/>
      <c r="Q40" s="15"/>
      <c r="R40" s="18"/>
      <c r="S40" s="17" t="s">
        <v>29</v>
      </c>
      <c r="T40" s="17"/>
      <c r="U40" s="18" t="s">
        <v>83</v>
      </c>
      <c r="V40" s="18" t="s">
        <v>83</v>
      </c>
      <c r="W40" s="18"/>
      <c r="X40" s="15" t="s">
        <v>29</v>
      </c>
      <c r="Y40" s="18"/>
      <c r="Z40" s="17"/>
      <c r="AA40" s="17"/>
      <c r="AB40" s="18" t="s">
        <v>83</v>
      </c>
      <c r="AC40" s="18" t="s">
        <v>83</v>
      </c>
      <c r="AD40" s="18" t="s">
        <v>83</v>
      </c>
      <c r="AE40" s="18" t="s">
        <v>83</v>
      </c>
      <c r="AF40" s="18" t="s">
        <v>83</v>
      </c>
      <c r="AG40" s="16"/>
      <c r="AH40" s="292" t="s">
        <v>77</v>
      </c>
      <c r="AI40" s="26"/>
      <c r="AK40" s="27">
        <f>IFERROR(VLOOKUP($D40,'Oct 25'!$C$8:$BC$51,49,0),0)</f>
        <v>9.5</v>
      </c>
      <c r="AL40" s="21">
        <f>IFERROR(VLOOKUP($D40,'Oct 25'!$C$8:$BC$51,50,0),0)</f>
        <v>14</v>
      </c>
      <c r="AM40" s="21">
        <f>IFERROR(VLOOKUP($D40,'Oct 25'!$C$8:$BC$51,51,0),0)</f>
        <v>13</v>
      </c>
      <c r="AN40" s="28">
        <f>IFERROR(VLOOKUP($D40,'Oct 25'!$C$8:$BC$51,52,0),0)</f>
        <v>1</v>
      </c>
      <c r="AO40" s="37">
        <f t="shared" si="4"/>
        <v>3</v>
      </c>
      <c r="AP40" s="23">
        <f t="shared" si="5"/>
        <v>0</v>
      </c>
      <c r="AQ40" s="23">
        <f t="shared" si="6"/>
        <v>1</v>
      </c>
      <c r="AR40" s="23">
        <f t="shared" si="7"/>
        <v>0</v>
      </c>
      <c r="AS40" s="23">
        <f t="shared" si="8"/>
        <v>0</v>
      </c>
      <c r="AT40" s="278">
        <f t="shared" si="9"/>
        <v>1</v>
      </c>
      <c r="AU40" s="25">
        <f t="shared" si="10"/>
        <v>4</v>
      </c>
      <c r="AV40" s="18">
        <f t="shared" si="11"/>
        <v>5.5</v>
      </c>
      <c r="AW40" s="22">
        <f t="shared" si="12"/>
        <v>6</v>
      </c>
      <c r="AX40" s="18">
        <f t="shared" si="13"/>
        <v>0</v>
      </c>
      <c r="AY40" s="32">
        <f t="shared" si="14"/>
        <v>1.375</v>
      </c>
      <c r="AZ40" s="24">
        <f t="shared" si="15"/>
        <v>13.5</v>
      </c>
      <c r="BA40" s="18">
        <f t="shared" si="16"/>
        <v>19.5</v>
      </c>
      <c r="BB40" s="18">
        <f t="shared" si="17"/>
        <v>19</v>
      </c>
      <c r="BC40" s="18">
        <f t="shared" si="18"/>
        <v>1</v>
      </c>
      <c r="BD40" s="32">
        <f t="shared" si="19"/>
        <v>1.4444444444444444</v>
      </c>
    </row>
    <row r="41" spans="2:56" x14ac:dyDescent="0.2">
      <c r="B41" s="1">
        <f t="shared" si="3"/>
        <v>37</v>
      </c>
      <c r="C41" s="71">
        <f t="shared" si="21"/>
        <v>34</v>
      </c>
      <c r="D41" s="245" t="s">
        <v>150</v>
      </c>
      <c r="E41" s="261" t="s">
        <v>89</v>
      </c>
      <c r="F41" s="25" t="str">
        <f>IFERROR(IF(VLOOKUP($D41,'Oct 25'!$C$8:$AH$51,31,0)=0,"",VLOOKUP($D41,'Oct 25'!$C$8:$AH$51,31,0)),"")</f>
        <v/>
      </c>
      <c r="G41" s="26" t="str">
        <f>IFERROR(IF(VLOOKUP($D41,'Oct 25'!$C$8:$AH$51,32,0)=0,"",VLOOKUP($D41,'Oct 25'!$C$8:$AH$51,32,0)),"")</f>
        <v>S</v>
      </c>
      <c r="H41" s="24"/>
      <c r="I41" s="18" t="s">
        <v>85</v>
      </c>
      <c r="J41" s="18"/>
      <c r="K41" s="18" t="s">
        <v>34</v>
      </c>
      <c r="L41" s="17"/>
      <c r="M41" s="17"/>
      <c r="N41" s="18"/>
      <c r="O41" s="300" t="s">
        <v>30</v>
      </c>
      <c r="P41" s="18" t="s">
        <v>85</v>
      </c>
      <c r="Q41" s="18" t="s">
        <v>83</v>
      </c>
      <c r="R41" s="18" t="s">
        <v>31</v>
      </c>
      <c r="S41" s="17"/>
      <c r="T41" s="17"/>
      <c r="U41" s="18"/>
      <c r="V41" s="18"/>
      <c r="W41" s="15" t="s">
        <v>85</v>
      </c>
      <c r="X41" s="18"/>
      <c r="Y41" s="18" t="s">
        <v>77</v>
      </c>
      <c r="Z41" s="16"/>
      <c r="AA41" s="16"/>
      <c r="AB41" s="18"/>
      <c r="AC41" s="18" t="s">
        <v>31</v>
      </c>
      <c r="AD41" s="18" t="s">
        <v>85</v>
      </c>
      <c r="AE41" s="18"/>
      <c r="AF41" s="18"/>
      <c r="AG41" s="17" t="s">
        <v>81</v>
      </c>
      <c r="AH41" s="318" t="s">
        <v>81</v>
      </c>
      <c r="AI41" s="26"/>
      <c r="AK41" s="27">
        <f>IFERROR(VLOOKUP($D41,'Oct 25'!$C$8:$BC$51,49,0),0)</f>
        <v>9.5</v>
      </c>
      <c r="AL41" s="21">
        <f>IFERROR(VLOOKUP($D41,'Oct 25'!$C$8:$BC$51,50,0),0)</f>
        <v>15</v>
      </c>
      <c r="AM41" s="21">
        <f>IFERROR(VLOOKUP($D41,'Oct 25'!$C$8:$BC$51,51,0),0)</f>
        <v>14</v>
      </c>
      <c r="AN41" s="28">
        <f>IFERROR(VLOOKUP($D41,'Oct 25'!$C$8:$BC$51,52,0),0)</f>
        <v>0</v>
      </c>
      <c r="AO41" s="37">
        <f t="shared" si="4"/>
        <v>2</v>
      </c>
      <c r="AP41" s="23">
        <f t="shared" si="5"/>
        <v>2</v>
      </c>
      <c r="AQ41" s="23">
        <f t="shared" si="6"/>
        <v>0</v>
      </c>
      <c r="AR41" s="23">
        <f t="shared" si="7"/>
        <v>0</v>
      </c>
      <c r="AS41" s="23">
        <f t="shared" si="8"/>
        <v>0</v>
      </c>
      <c r="AT41" s="278">
        <f t="shared" si="9"/>
        <v>1</v>
      </c>
      <c r="AU41" s="25">
        <f t="shared" si="10"/>
        <v>4</v>
      </c>
      <c r="AV41" s="18">
        <f t="shared" si="11"/>
        <v>5</v>
      </c>
      <c r="AW41" s="22">
        <f t="shared" si="12"/>
        <v>6</v>
      </c>
      <c r="AX41" s="18">
        <f t="shared" si="13"/>
        <v>2</v>
      </c>
      <c r="AY41" s="32">
        <f t="shared" si="14"/>
        <v>1.25</v>
      </c>
      <c r="AZ41" s="24">
        <f t="shared" si="15"/>
        <v>13.5</v>
      </c>
      <c r="BA41" s="18">
        <f t="shared" si="16"/>
        <v>20</v>
      </c>
      <c r="BB41" s="18">
        <f t="shared" si="17"/>
        <v>20</v>
      </c>
      <c r="BC41" s="18">
        <f t="shared" si="18"/>
        <v>2</v>
      </c>
      <c r="BD41" s="32">
        <f t="shared" si="19"/>
        <v>1.4814814814814814</v>
      </c>
    </row>
    <row r="42" spans="2:56" x14ac:dyDescent="0.2">
      <c r="B42" s="1">
        <f t="shared" si="3"/>
        <v>38</v>
      </c>
      <c r="C42" s="71">
        <f t="shared" si="21"/>
        <v>35</v>
      </c>
      <c r="D42" s="245" t="s">
        <v>146</v>
      </c>
      <c r="E42" s="261" t="s">
        <v>74</v>
      </c>
      <c r="F42" s="25" t="str">
        <f>IFERROR(IF(VLOOKUP($D42,'Oct 25'!$C$8:$AH$51,31,0)=0,"",VLOOKUP($D42,'Oct 25'!$C$8:$AH$51,31,0)),"")</f>
        <v>HO5</v>
      </c>
      <c r="G42" s="26" t="str">
        <f>IFERROR(IF(VLOOKUP($D42,'Oct 25'!$C$8:$AH$51,32,0)=0,"",VLOOKUP($D42,'Oct 25'!$C$8:$AH$51,32,0)),"")</f>
        <v/>
      </c>
      <c r="H42" s="24"/>
      <c r="I42" s="18"/>
      <c r="J42" s="18"/>
      <c r="K42" s="18"/>
      <c r="L42" s="17"/>
      <c r="M42" s="17" t="s">
        <v>30</v>
      </c>
      <c r="N42" s="18"/>
      <c r="O42" s="18"/>
      <c r="P42" s="15" t="s">
        <v>30</v>
      </c>
      <c r="Q42" s="18" t="s">
        <v>83</v>
      </c>
      <c r="R42" s="18" t="s">
        <v>83</v>
      </c>
      <c r="S42" s="16"/>
      <c r="T42" s="17"/>
      <c r="U42" s="18" t="s">
        <v>83</v>
      </c>
      <c r="V42" s="18"/>
      <c r="W42" s="18" t="s">
        <v>77</v>
      </c>
      <c r="X42" s="18"/>
      <c r="Y42" s="18"/>
      <c r="Z42" s="17" t="s">
        <v>30</v>
      </c>
      <c r="AA42" s="17"/>
      <c r="AB42" s="18"/>
      <c r="AC42" s="18"/>
      <c r="AD42" s="18"/>
      <c r="AE42" s="15" t="s">
        <v>30</v>
      </c>
      <c r="AF42" s="18"/>
      <c r="AG42" s="16"/>
      <c r="AH42" s="292"/>
      <c r="AI42" s="26"/>
      <c r="AK42" s="27">
        <f>IFERROR(VLOOKUP($D42,'Oct 25'!$C$8:$BC$51,49,0),0)</f>
        <v>9.5</v>
      </c>
      <c r="AL42" s="21">
        <f>IFERROR(VLOOKUP($D42,'Oct 25'!$C$8:$BC$51,50,0),0)</f>
        <v>12.5</v>
      </c>
      <c r="AM42" s="21">
        <f>IFERROR(VLOOKUP($D42,'Oct 25'!$C$8:$BC$51,51,0),0)</f>
        <v>12</v>
      </c>
      <c r="AN42" s="28">
        <f>IFERROR(VLOOKUP($D42,'Oct 25'!$C$8:$BC$51,52,0),0)</f>
        <v>2</v>
      </c>
      <c r="AO42" s="37">
        <f t="shared" si="4"/>
        <v>2</v>
      </c>
      <c r="AP42" s="23">
        <f t="shared" si="5"/>
        <v>0</v>
      </c>
      <c r="AQ42" s="23">
        <f t="shared" si="6"/>
        <v>1</v>
      </c>
      <c r="AR42" s="23">
        <f t="shared" si="7"/>
        <v>1</v>
      </c>
      <c r="AS42" s="23">
        <f t="shared" si="8"/>
        <v>0</v>
      </c>
      <c r="AT42" s="278">
        <f t="shared" si="9"/>
        <v>1</v>
      </c>
      <c r="AU42" s="25">
        <f t="shared" si="10"/>
        <v>4</v>
      </c>
      <c r="AV42" s="18">
        <f t="shared" si="11"/>
        <v>6.5</v>
      </c>
      <c r="AW42" s="22">
        <f t="shared" si="12"/>
        <v>6</v>
      </c>
      <c r="AX42" s="18">
        <f t="shared" si="13"/>
        <v>0</v>
      </c>
      <c r="AY42" s="32">
        <f t="shared" si="14"/>
        <v>1.625</v>
      </c>
      <c r="AZ42" s="24">
        <f t="shared" si="15"/>
        <v>13.5</v>
      </c>
      <c r="BA42" s="18">
        <f t="shared" si="16"/>
        <v>19</v>
      </c>
      <c r="BB42" s="18">
        <f t="shared" si="17"/>
        <v>18</v>
      </c>
      <c r="BC42" s="18">
        <f t="shared" si="18"/>
        <v>2</v>
      </c>
      <c r="BD42" s="32">
        <f t="shared" si="19"/>
        <v>1.4074074074074074</v>
      </c>
    </row>
    <row r="43" spans="2:56" ht="16" thickBot="1" x14ac:dyDescent="0.25">
      <c r="B43" s="243">
        <f t="shared" si="3"/>
        <v>39</v>
      </c>
      <c r="C43" s="75">
        <f t="shared" si="21"/>
        <v>36</v>
      </c>
      <c r="D43" s="283" t="s">
        <v>147</v>
      </c>
      <c r="E43" s="284" t="s">
        <v>74</v>
      </c>
      <c r="F43" s="33" t="str">
        <f>IFERROR(IF(VLOOKUP($D43,'Oct 25'!$C$8:$AH$51,31,0)=0,"",VLOOKUP($D43,'Oct 25'!$C$8:$AH$51,31,0)),"")</f>
        <v/>
      </c>
      <c r="G43" s="41" t="str">
        <f>IFERROR(IF(VLOOKUP($D43,'Oct 25'!$C$8:$AH$51,32,0)=0,"",VLOOKUP($D43,'Oct 25'!$C$8:$AH$51,32,0)),"")</f>
        <v/>
      </c>
      <c r="H43" s="38"/>
      <c r="I43" s="34"/>
      <c r="J43" s="34" t="s">
        <v>83</v>
      </c>
      <c r="K43" s="34" t="s">
        <v>83</v>
      </c>
      <c r="L43" s="78"/>
      <c r="M43" s="302" t="s">
        <v>19</v>
      </c>
      <c r="N43" s="34"/>
      <c r="O43" s="34" t="s">
        <v>34</v>
      </c>
      <c r="P43" s="34"/>
      <c r="Q43" s="34"/>
      <c r="R43" s="34" t="s">
        <v>83</v>
      </c>
      <c r="S43" s="79"/>
      <c r="T43" s="77"/>
      <c r="U43" s="34"/>
      <c r="V43" s="34"/>
      <c r="W43" s="34"/>
      <c r="X43" s="78" t="s">
        <v>77</v>
      </c>
      <c r="Y43" s="34"/>
      <c r="Z43" s="77"/>
      <c r="AA43" s="77" t="s">
        <v>30</v>
      </c>
      <c r="AB43" s="34"/>
      <c r="AC43" s="34"/>
      <c r="AD43" s="34"/>
      <c r="AE43" s="34"/>
      <c r="AF43" s="34" t="s">
        <v>30</v>
      </c>
      <c r="AG43" s="79"/>
      <c r="AH43" s="293"/>
      <c r="AI43" s="41"/>
      <c r="AK43" s="29">
        <f>IFERROR(VLOOKUP($D43,'Oct 25'!$C$8:$BC$51,49,0),0)</f>
        <v>10</v>
      </c>
      <c r="AL43" s="30">
        <f>IFERROR(VLOOKUP($D43,'Oct 25'!$C$8:$BC$51,50,0),0)</f>
        <v>14</v>
      </c>
      <c r="AM43" s="30">
        <f>IFERROR(VLOOKUP($D43,'Oct 25'!$C$8:$BC$51,51,0),0)</f>
        <v>13</v>
      </c>
      <c r="AN43" s="31">
        <f>IFERROR(VLOOKUP($D43,'Oct 25'!$C$8:$BC$51,52,0),0)</f>
        <v>3</v>
      </c>
      <c r="AO43" s="271">
        <f t="shared" si="4"/>
        <v>1</v>
      </c>
      <c r="AP43" s="48">
        <f t="shared" si="5"/>
        <v>1</v>
      </c>
      <c r="AQ43" s="48">
        <f t="shared" si="6"/>
        <v>0</v>
      </c>
      <c r="AR43" s="48">
        <f t="shared" si="7"/>
        <v>1</v>
      </c>
      <c r="AS43" s="48">
        <f t="shared" si="8"/>
        <v>1</v>
      </c>
      <c r="AT43" s="279">
        <f t="shared" si="9"/>
        <v>1</v>
      </c>
      <c r="AU43" s="33">
        <f t="shared" si="10"/>
        <v>3.5</v>
      </c>
      <c r="AV43" s="34">
        <f t="shared" si="11"/>
        <v>5</v>
      </c>
      <c r="AW43" s="35">
        <f t="shared" si="12"/>
        <v>6</v>
      </c>
      <c r="AX43" s="34">
        <f t="shared" si="13"/>
        <v>0</v>
      </c>
      <c r="AY43" s="36">
        <f t="shared" si="14"/>
        <v>1.4285714285714286</v>
      </c>
      <c r="AZ43" s="38">
        <f t="shared" si="15"/>
        <v>13.5</v>
      </c>
      <c r="BA43" s="34">
        <f t="shared" si="16"/>
        <v>19</v>
      </c>
      <c r="BB43" s="34">
        <f t="shared" si="17"/>
        <v>19</v>
      </c>
      <c r="BC43" s="34">
        <f t="shared" si="18"/>
        <v>3</v>
      </c>
      <c r="BD43" s="36">
        <f t="shared" si="19"/>
        <v>1.4074074074074074</v>
      </c>
    </row>
    <row r="45" spans="2:56" x14ac:dyDescent="0.2">
      <c r="E45" s="3" t="s">
        <v>161</v>
      </c>
      <c r="H45" s="1" t="b">
        <f>AND(H46=1,H47=1,H48=1,H49=1,H50=1,H53=1,OR(SUM(H51:H52)=0,SUM(H51:H52)=4))</f>
        <v>1</v>
      </c>
      <c r="I45" s="1" t="b">
        <f t="shared" ref="I45:AI45" si="22">AND(I46=1,I47=1,I48=1,I49=1,I50=1,I53=1,OR(SUM(I51:I52)=0,SUM(I51:I52)=4))</f>
        <v>1</v>
      </c>
      <c r="J45" s="1" t="b">
        <f t="shared" si="22"/>
        <v>1</v>
      </c>
      <c r="K45" s="1" t="b">
        <f t="shared" si="22"/>
        <v>1</v>
      </c>
      <c r="L45" s="1" t="b">
        <f t="shared" si="22"/>
        <v>1</v>
      </c>
      <c r="M45" s="1" t="b">
        <f t="shared" si="22"/>
        <v>1</v>
      </c>
      <c r="N45" s="1" t="b">
        <f t="shared" si="22"/>
        <v>1</v>
      </c>
      <c r="O45" s="1" t="b">
        <f t="shared" si="22"/>
        <v>1</v>
      </c>
      <c r="P45" s="1" t="b">
        <f t="shared" si="22"/>
        <v>1</v>
      </c>
      <c r="Q45" s="1" t="b">
        <f t="shared" si="22"/>
        <v>1</v>
      </c>
      <c r="R45" s="1" t="b">
        <f t="shared" si="22"/>
        <v>1</v>
      </c>
      <c r="S45" s="1" t="b">
        <f t="shared" si="22"/>
        <v>0</v>
      </c>
      <c r="T45" s="1" t="b">
        <f t="shared" si="22"/>
        <v>1</v>
      </c>
      <c r="U45" s="1" t="b">
        <f t="shared" si="22"/>
        <v>1</v>
      </c>
      <c r="V45" s="1" t="b">
        <f t="shared" si="22"/>
        <v>1</v>
      </c>
      <c r="W45" s="1" t="b">
        <f t="shared" si="22"/>
        <v>1</v>
      </c>
      <c r="X45" s="1" t="b">
        <f t="shared" si="22"/>
        <v>1</v>
      </c>
      <c r="Y45" s="1" t="b">
        <f t="shared" si="22"/>
        <v>1</v>
      </c>
      <c r="Z45" s="1" t="b">
        <f t="shared" si="22"/>
        <v>1</v>
      </c>
      <c r="AA45" s="1" t="b">
        <f t="shared" si="22"/>
        <v>1</v>
      </c>
      <c r="AB45" s="1" t="b">
        <f t="shared" si="22"/>
        <v>1</v>
      </c>
      <c r="AC45" s="1" t="b">
        <f t="shared" si="22"/>
        <v>1</v>
      </c>
      <c r="AD45" s="1" t="b">
        <f t="shared" si="22"/>
        <v>1</v>
      </c>
      <c r="AE45" s="1" t="b">
        <f t="shared" si="22"/>
        <v>1</v>
      </c>
      <c r="AF45" s="1" t="b">
        <f t="shared" si="22"/>
        <v>1</v>
      </c>
      <c r="AG45" s="1" t="b">
        <f t="shared" si="22"/>
        <v>1</v>
      </c>
      <c r="AH45" s="1" t="b">
        <f t="shared" ref="AH45" si="23">AND(AH46=1,AH47=1,AH48=1,AH49=1,AH50=1,AH53=1,OR(SUM(AH51:AH52)=0,SUM(AH51:AH52)=4))</f>
        <v>1</v>
      </c>
      <c r="AI45" s="1" t="b">
        <f t="shared" si="22"/>
        <v>1</v>
      </c>
    </row>
    <row r="46" spans="2:56" x14ac:dyDescent="0.2">
      <c r="E46" s="3" t="s">
        <v>30</v>
      </c>
      <c r="H46" s="1">
        <f t="shared" ref="H46:Q51" si="24">COUNTIFS(H$8:H$43,$E46)</f>
        <v>1</v>
      </c>
      <c r="I46" s="1">
        <f t="shared" si="24"/>
        <v>1</v>
      </c>
      <c r="J46" s="1">
        <f t="shared" si="24"/>
        <v>1</v>
      </c>
      <c r="K46" s="1">
        <f t="shared" si="24"/>
        <v>1</v>
      </c>
      <c r="L46" s="1">
        <f t="shared" si="24"/>
        <v>1</v>
      </c>
      <c r="M46" s="1">
        <f t="shared" si="24"/>
        <v>1</v>
      </c>
      <c r="N46" s="1">
        <f t="shared" si="24"/>
        <v>1</v>
      </c>
      <c r="O46" s="1">
        <f t="shared" si="24"/>
        <v>1</v>
      </c>
      <c r="P46" s="1">
        <f t="shared" si="24"/>
        <v>1</v>
      </c>
      <c r="Q46" s="1">
        <f t="shared" si="24"/>
        <v>1</v>
      </c>
      <c r="R46" s="1">
        <f t="shared" ref="R46:AA51" si="25">COUNTIFS(R$8:R$43,$E46)</f>
        <v>1</v>
      </c>
      <c r="S46" s="1">
        <f t="shared" si="25"/>
        <v>1</v>
      </c>
      <c r="T46" s="1">
        <f t="shared" si="25"/>
        <v>1</v>
      </c>
      <c r="U46" s="1">
        <f t="shared" si="25"/>
        <v>1</v>
      </c>
      <c r="V46" s="1">
        <f t="shared" si="25"/>
        <v>1</v>
      </c>
      <c r="W46" s="1">
        <f t="shared" si="25"/>
        <v>1</v>
      </c>
      <c r="X46" s="1">
        <f t="shared" si="25"/>
        <v>1</v>
      </c>
      <c r="Y46" s="1">
        <f t="shared" si="25"/>
        <v>1</v>
      </c>
      <c r="Z46" s="1">
        <f t="shared" si="25"/>
        <v>1</v>
      </c>
      <c r="AA46" s="1">
        <f t="shared" si="25"/>
        <v>1</v>
      </c>
      <c r="AB46" s="1">
        <f t="shared" ref="AB46:AI51" si="26">COUNTIFS(AB$8:AB$43,$E46)</f>
        <v>1</v>
      </c>
      <c r="AC46" s="1">
        <f t="shared" si="26"/>
        <v>1</v>
      </c>
      <c r="AD46" s="1">
        <f t="shared" si="26"/>
        <v>1</v>
      </c>
      <c r="AE46" s="1">
        <f t="shared" si="26"/>
        <v>1</v>
      </c>
      <c r="AF46" s="1">
        <f t="shared" si="26"/>
        <v>1</v>
      </c>
      <c r="AG46" s="1">
        <f t="shared" si="26"/>
        <v>1</v>
      </c>
      <c r="AH46" s="1">
        <f t="shared" si="26"/>
        <v>1</v>
      </c>
      <c r="AI46" s="1">
        <f t="shared" si="26"/>
        <v>1</v>
      </c>
    </row>
    <row r="47" spans="2:56" x14ac:dyDescent="0.2">
      <c r="E47" s="3" t="s">
        <v>34</v>
      </c>
      <c r="H47" s="1">
        <f t="shared" si="24"/>
        <v>1</v>
      </c>
      <c r="I47" s="1">
        <f t="shared" si="24"/>
        <v>1</v>
      </c>
      <c r="J47" s="1">
        <f t="shared" si="24"/>
        <v>1</v>
      </c>
      <c r="K47" s="1">
        <f t="shared" si="24"/>
        <v>1</v>
      </c>
      <c r="L47" s="1">
        <f t="shared" si="24"/>
        <v>1</v>
      </c>
      <c r="M47" s="1">
        <f t="shared" si="24"/>
        <v>1</v>
      </c>
      <c r="N47" s="1">
        <f t="shared" si="24"/>
        <v>1</v>
      </c>
      <c r="O47" s="1">
        <f t="shared" si="24"/>
        <v>1</v>
      </c>
      <c r="P47" s="1">
        <f t="shared" si="24"/>
        <v>1</v>
      </c>
      <c r="Q47" s="1">
        <f t="shared" si="24"/>
        <v>1</v>
      </c>
      <c r="R47" s="1">
        <f t="shared" si="25"/>
        <v>1</v>
      </c>
      <c r="S47" s="1">
        <f t="shared" si="25"/>
        <v>1</v>
      </c>
      <c r="T47" s="1">
        <f t="shared" si="25"/>
        <v>1</v>
      </c>
      <c r="U47" s="1">
        <f t="shared" si="25"/>
        <v>1</v>
      </c>
      <c r="V47" s="1">
        <f t="shared" si="25"/>
        <v>1</v>
      </c>
      <c r="W47" s="1">
        <f t="shared" si="25"/>
        <v>1</v>
      </c>
      <c r="X47" s="1">
        <f t="shared" si="25"/>
        <v>1</v>
      </c>
      <c r="Y47" s="1">
        <f t="shared" si="25"/>
        <v>1</v>
      </c>
      <c r="Z47" s="1">
        <f t="shared" si="25"/>
        <v>1</v>
      </c>
      <c r="AA47" s="1">
        <f t="shared" si="25"/>
        <v>1</v>
      </c>
      <c r="AB47" s="1">
        <f t="shared" si="26"/>
        <v>1</v>
      </c>
      <c r="AC47" s="1">
        <f t="shared" si="26"/>
        <v>1</v>
      </c>
      <c r="AD47" s="1">
        <f t="shared" si="26"/>
        <v>1</v>
      </c>
      <c r="AE47" s="1">
        <f t="shared" si="26"/>
        <v>1</v>
      </c>
      <c r="AF47" s="1">
        <f t="shared" si="26"/>
        <v>1</v>
      </c>
      <c r="AG47" s="1">
        <f t="shared" si="26"/>
        <v>1</v>
      </c>
      <c r="AH47" s="1">
        <f t="shared" si="26"/>
        <v>1</v>
      </c>
      <c r="AI47" s="1">
        <f t="shared" si="26"/>
        <v>1</v>
      </c>
    </row>
    <row r="48" spans="2:56" x14ac:dyDescent="0.2">
      <c r="E48" s="3" t="s">
        <v>32</v>
      </c>
      <c r="H48" s="1">
        <f t="shared" si="24"/>
        <v>1</v>
      </c>
      <c r="I48" s="1">
        <f t="shared" si="24"/>
        <v>1</v>
      </c>
      <c r="J48" s="1">
        <f t="shared" si="24"/>
        <v>1</v>
      </c>
      <c r="K48" s="1">
        <f t="shared" si="24"/>
        <v>1</v>
      </c>
      <c r="L48" s="1">
        <f t="shared" si="24"/>
        <v>1</v>
      </c>
      <c r="M48" s="1">
        <f t="shared" si="24"/>
        <v>1</v>
      </c>
      <c r="N48" s="1">
        <f t="shared" si="24"/>
        <v>1</v>
      </c>
      <c r="O48" s="1">
        <f t="shared" si="24"/>
        <v>1</v>
      </c>
      <c r="P48" s="1">
        <f t="shared" si="24"/>
        <v>1</v>
      </c>
      <c r="Q48" s="1">
        <f t="shared" si="24"/>
        <v>1</v>
      </c>
      <c r="R48" s="1">
        <f t="shared" si="25"/>
        <v>1</v>
      </c>
      <c r="S48" s="1">
        <f t="shared" si="25"/>
        <v>1</v>
      </c>
      <c r="T48" s="1">
        <f t="shared" si="25"/>
        <v>1</v>
      </c>
      <c r="U48" s="1">
        <f t="shared" si="25"/>
        <v>1</v>
      </c>
      <c r="V48" s="1">
        <f t="shared" si="25"/>
        <v>1</v>
      </c>
      <c r="W48" s="1">
        <f t="shared" si="25"/>
        <v>1</v>
      </c>
      <c r="X48" s="1">
        <f t="shared" si="25"/>
        <v>1</v>
      </c>
      <c r="Y48" s="1">
        <f t="shared" si="25"/>
        <v>1</v>
      </c>
      <c r="Z48" s="1">
        <f t="shared" si="25"/>
        <v>1</v>
      </c>
      <c r="AA48" s="1">
        <f t="shared" si="25"/>
        <v>1</v>
      </c>
      <c r="AB48" s="1">
        <f t="shared" si="26"/>
        <v>1</v>
      </c>
      <c r="AC48" s="1">
        <f t="shared" si="26"/>
        <v>1</v>
      </c>
      <c r="AD48" s="1">
        <f t="shared" si="26"/>
        <v>1</v>
      </c>
      <c r="AE48" s="1">
        <f t="shared" si="26"/>
        <v>1</v>
      </c>
      <c r="AF48" s="1">
        <f t="shared" si="26"/>
        <v>1</v>
      </c>
      <c r="AG48" s="1">
        <f t="shared" si="26"/>
        <v>1</v>
      </c>
      <c r="AH48" s="1">
        <f t="shared" si="26"/>
        <v>1</v>
      </c>
      <c r="AI48" s="1">
        <f t="shared" si="26"/>
        <v>1</v>
      </c>
    </row>
    <row r="49" spans="4:35" x14ac:dyDescent="0.2">
      <c r="E49" s="3" t="s">
        <v>29</v>
      </c>
      <c r="H49" s="1">
        <f t="shared" si="24"/>
        <v>1</v>
      </c>
      <c r="I49" s="1">
        <f t="shared" si="24"/>
        <v>1</v>
      </c>
      <c r="J49" s="1">
        <f t="shared" si="24"/>
        <v>1</v>
      </c>
      <c r="K49" s="1">
        <f t="shared" si="24"/>
        <v>1</v>
      </c>
      <c r="L49" s="1">
        <f t="shared" si="24"/>
        <v>1</v>
      </c>
      <c r="M49" s="1">
        <f t="shared" si="24"/>
        <v>1</v>
      </c>
      <c r="N49" s="1">
        <f t="shared" si="24"/>
        <v>1</v>
      </c>
      <c r="O49" s="1">
        <f t="shared" si="24"/>
        <v>1</v>
      </c>
      <c r="P49" s="1">
        <f t="shared" si="24"/>
        <v>1</v>
      </c>
      <c r="Q49" s="1">
        <f t="shared" si="24"/>
        <v>1</v>
      </c>
      <c r="R49" s="1">
        <f t="shared" si="25"/>
        <v>1</v>
      </c>
      <c r="S49" s="1">
        <f t="shared" si="25"/>
        <v>1</v>
      </c>
      <c r="T49" s="1">
        <f t="shared" si="25"/>
        <v>1</v>
      </c>
      <c r="U49" s="1">
        <f t="shared" si="25"/>
        <v>1</v>
      </c>
      <c r="V49" s="1">
        <f t="shared" si="25"/>
        <v>1</v>
      </c>
      <c r="W49" s="1">
        <f t="shared" si="25"/>
        <v>1</v>
      </c>
      <c r="X49" s="1">
        <f t="shared" si="25"/>
        <v>1</v>
      </c>
      <c r="Y49" s="1">
        <f t="shared" si="25"/>
        <v>1</v>
      </c>
      <c r="Z49" s="1">
        <f t="shared" si="25"/>
        <v>1</v>
      </c>
      <c r="AA49" s="1">
        <f t="shared" si="25"/>
        <v>1</v>
      </c>
      <c r="AB49" s="1">
        <f t="shared" si="26"/>
        <v>1</v>
      </c>
      <c r="AC49" s="1">
        <f t="shared" si="26"/>
        <v>1</v>
      </c>
      <c r="AD49" s="1">
        <f t="shared" si="26"/>
        <v>1</v>
      </c>
      <c r="AE49" s="1">
        <f t="shared" si="26"/>
        <v>1</v>
      </c>
      <c r="AF49" s="1">
        <f t="shared" si="26"/>
        <v>1</v>
      </c>
      <c r="AG49" s="1">
        <f t="shared" si="26"/>
        <v>1</v>
      </c>
      <c r="AH49" s="1">
        <f t="shared" si="26"/>
        <v>1</v>
      </c>
      <c r="AI49" s="1">
        <f t="shared" si="26"/>
        <v>1</v>
      </c>
    </row>
    <row r="50" spans="4:35" x14ac:dyDescent="0.2">
      <c r="E50" s="3" t="s">
        <v>31</v>
      </c>
      <c r="H50" s="1">
        <f t="shared" si="24"/>
        <v>1</v>
      </c>
      <c r="I50" s="1">
        <f t="shared" si="24"/>
        <v>1</v>
      </c>
      <c r="J50" s="1">
        <f t="shared" si="24"/>
        <v>1</v>
      </c>
      <c r="K50" s="1">
        <f t="shared" si="24"/>
        <v>1</v>
      </c>
      <c r="L50" s="1">
        <f t="shared" si="24"/>
        <v>1</v>
      </c>
      <c r="M50" s="1">
        <f t="shared" si="24"/>
        <v>1</v>
      </c>
      <c r="N50" s="1">
        <f t="shared" si="24"/>
        <v>1</v>
      </c>
      <c r="O50" s="1">
        <f t="shared" si="24"/>
        <v>1</v>
      </c>
      <c r="P50" s="1">
        <f t="shared" si="24"/>
        <v>1</v>
      </c>
      <c r="Q50" s="1">
        <f t="shared" si="24"/>
        <v>1</v>
      </c>
      <c r="R50" s="1">
        <f t="shared" si="25"/>
        <v>1</v>
      </c>
      <c r="S50" s="1">
        <f t="shared" si="25"/>
        <v>1</v>
      </c>
      <c r="T50" s="1">
        <f t="shared" si="25"/>
        <v>1</v>
      </c>
      <c r="U50" s="1">
        <f t="shared" si="25"/>
        <v>1</v>
      </c>
      <c r="V50" s="1">
        <f t="shared" si="25"/>
        <v>1</v>
      </c>
      <c r="W50" s="1">
        <f t="shared" si="25"/>
        <v>1</v>
      </c>
      <c r="X50" s="1">
        <f t="shared" si="25"/>
        <v>1</v>
      </c>
      <c r="Y50" s="1">
        <f t="shared" si="25"/>
        <v>1</v>
      </c>
      <c r="Z50" s="1">
        <f t="shared" si="25"/>
        <v>1</v>
      </c>
      <c r="AA50" s="1">
        <f t="shared" si="25"/>
        <v>1</v>
      </c>
      <c r="AB50" s="1">
        <f t="shared" si="26"/>
        <v>1</v>
      </c>
      <c r="AC50" s="1">
        <f t="shared" si="26"/>
        <v>1</v>
      </c>
      <c r="AD50" s="1">
        <f t="shared" si="26"/>
        <v>1</v>
      </c>
      <c r="AE50" s="1">
        <f t="shared" si="26"/>
        <v>1</v>
      </c>
      <c r="AF50" s="1">
        <f t="shared" si="26"/>
        <v>1</v>
      </c>
      <c r="AG50" s="1">
        <f t="shared" si="26"/>
        <v>1</v>
      </c>
      <c r="AH50" s="1">
        <f t="shared" si="26"/>
        <v>1</v>
      </c>
      <c r="AI50" s="1">
        <f t="shared" si="26"/>
        <v>1</v>
      </c>
    </row>
    <row r="51" spans="4:35" x14ac:dyDescent="0.2">
      <c r="E51" s="3" t="s">
        <v>19</v>
      </c>
      <c r="H51" s="1">
        <f t="shared" si="24"/>
        <v>0</v>
      </c>
      <c r="I51" s="1">
        <f t="shared" si="24"/>
        <v>0</v>
      </c>
      <c r="J51" s="1">
        <f t="shared" si="24"/>
        <v>0</v>
      </c>
      <c r="K51" s="1">
        <f t="shared" si="24"/>
        <v>0</v>
      </c>
      <c r="L51" s="1">
        <f t="shared" si="24"/>
        <v>1</v>
      </c>
      <c r="M51" s="1">
        <f t="shared" si="24"/>
        <v>1</v>
      </c>
      <c r="N51" s="1">
        <f t="shared" si="24"/>
        <v>0</v>
      </c>
      <c r="O51" s="1">
        <f t="shared" si="24"/>
        <v>0</v>
      </c>
      <c r="P51" s="1">
        <f t="shared" si="24"/>
        <v>0</v>
      </c>
      <c r="Q51" s="1">
        <f t="shared" si="24"/>
        <v>0</v>
      </c>
      <c r="R51" s="1">
        <f t="shared" si="25"/>
        <v>0</v>
      </c>
      <c r="S51" s="1">
        <f t="shared" si="25"/>
        <v>1</v>
      </c>
      <c r="T51" s="1">
        <f t="shared" si="25"/>
        <v>1</v>
      </c>
      <c r="U51" s="1">
        <f t="shared" si="25"/>
        <v>0</v>
      </c>
      <c r="V51" s="1">
        <f t="shared" si="25"/>
        <v>0</v>
      </c>
      <c r="W51" s="1">
        <f t="shared" si="25"/>
        <v>0</v>
      </c>
      <c r="X51" s="1">
        <f t="shared" si="25"/>
        <v>0</v>
      </c>
      <c r="Y51" s="1">
        <f t="shared" si="25"/>
        <v>0</v>
      </c>
      <c r="Z51" s="1">
        <f t="shared" si="25"/>
        <v>1</v>
      </c>
      <c r="AA51" s="1">
        <f t="shared" si="25"/>
        <v>1</v>
      </c>
      <c r="AB51" s="1">
        <f t="shared" si="26"/>
        <v>0</v>
      </c>
      <c r="AC51" s="1">
        <f t="shared" si="26"/>
        <v>0</v>
      </c>
      <c r="AD51" s="1">
        <f t="shared" si="26"/>
        <v>0</v>
      </c>
      <c r="AE51" s="1">
        <f t="shared" si="26"/>
        <v>0</v>
      </c>
      <c r="AF51" s="1">
        <f t="shared" si="26"/>
        <v>0</v>
      </c>
      <c r="AG51" s="1">
        <f t="shared" si="26"/>
        <v>1</v>
      </c>
      <c r="AH51" s="1">
        <f t="shared" si="26"/>
        <v>1</v>
      </c>
      <c r="AI51" s="1">
        <f t="shared" si="26"/>
        <v>0</v>
      </c>
    </row>
    <row r="52" spans="4:35" x14ac:dyDescent="0.2">
      <c r="E52" s="3" t="s">
        <v>57</v>
      </c>
      <c r="H52" s="1">
        <f t="shared" ref="H52:AI52" si="27">COUNTIFS(H$8:H$43,"WR*")</f>
        <v>0</v>
      </c>
      <c r="I52" s="1">
        <f t="shared" si="27"/>
        <v>0</v>
      </c>
      <c r="J52" s="1">
        <f t="shared" si="27"/>
        <v>0</v>
      </c>
      <c r="K52" s="1">
        <f t="shared" si="27"/>
        <v>0</v>
      </c>
      <c r="L52" s="1">
        <f t="shared" si="27"/>
        <v>3</v>
      </c>
      <c r="M52" s="1">
        <f t="shared" si="27"/>
        <v>3</v>
      </c>
      <c r="N52" s="1">
        <f t="shared" si="27"/>
        <v>0</v>
      </c>
      <c r="O52" s="1">
        <f t="shared" si="27"/>
        <v>0</v>
      </c>
      <c r="P52" s="1">
        <f t="shared" si="27"/>
        <v>0</v>
      </c>
      <c r="Q52" s="1">
        <f t="shared" si="27"/>
        <v>0</v>
      </c>
      <c r="R52" s="1">
        <f t="shared" si="27"/>
        <v>0</v>
      </c>
      <c r="S52" s="1">
        <f t="shared" si="27"/>
        <v>4</v>
      </c>
      <c r="T52" s="1">
        <f t="shared" si="27"/>
        <v>3</v>
      </c>
      <c r="U52" s="1">
        <f t="shared" si="27"/>
        <v>0</v>
      </c>
      <c r="V52" s="1">
        <f t="shared" si="27"/>
        <v>0</v>
      </c>
      <c r="W52" s="1">
        <f t="shared" si="27"/>
        <v>0</v>
      </c>
      <c r="X52" s="1">
        <f t="shared" si="27"/>
        <v>0</v>
      </c>
      <c r="Y52" s="1">
        <f t="shared" si="27"/>
        <v>0</v>
      </c>
      <c r="Z52" s="1">
        <f t="shared" si="27"/>
        <v>3</v>
      </c>
      <c r="AA52" s="1">
        <f t="shared" si="27"/>
        <v>3</v>
      </c>
      <c r="AB52" s="1">
        <f t="shared" si="27"/>
        <v>0</v>
      </c>
      <c r="AC52" s="1">
        <f t="shared" si="27"/>
        <v>0</v>
      </c>
      <c r="AD52" s="1">
        <f t="shared" si="27"/>
        <v>0</v>
      </c>
      <c r="AE52" s="1">
        <f t="shared" si="27"/>
        <v>0</v>
      </c>
      <c r="AF52" s="1">
        <f t="shared" si="27"/>
        <v>0</v>
      </c>
      <c r="AG52" s="1">
        <f t="shared" si="27"/>
        <v>3</v>
      </c>
      <c r="AH52" s="1">
        <f t="shared" si="27"/>
        <v>3</v>
      </c>
      <c r="AI52" s="1">
        <f t="shared" si="27"/>
        <v>0</v>
      </c>
    </row>
    <row r="53" spans="4:35" x14ac:dyDescent="0.2">
      <c r="E53" s="3" t="s">
        <v>70</v>
      </c>
      <c r="H53" s="1">
        <f t="shared" ref="H53:AI53" si="28">COUNTIFS(H$8:H$43,"S")</f>
        <v>1</v>
      </c>
      <c r="I53" s="1">
        <f t="shared" si="28"/>
        <v>1</v>
      </c>
      <c r="J53" s="1">
        <f t="shared" si="28"/>
        <v>1</v>
      </c>
      <c r="K53" s="1">
        <f t="shared" si="28"/>
        <v>1</v>
      </c>
      <c r="L53" s="1">
        <f t="shared" si="28"/>
        <v>1</v>
      </c>
      <c r="M53" s="1">
        <f t="shared" si="28"/>
        <v>1</v>
      </c>
      <c r="N53" s="1">
        <f t="shared" si="28"/>
        <v>1</v>
      </c>
      <c r="O53" s="1">
        <f t="shared" si="28"/>
        <v>1</v>
      </c>
      <c r="P53" s="1">
        <f t="shared" si="28"/>
        <v>1</v>
      </c>
      <c r="Q53" s="1">
        <f t="shared" si="28"/>
        <v>1</v>
      </c>
      <c r="R53" s="1">
        <f t="shared" si="28"/>
        <v>1</v>
      </c>
      <c r="S53" s="1">
        <f t="shared" si="28"/>
        <v>1</v>
      </c>
      <c r="T53" s="1">
        <f t="shared" si="28"/>
        <v>1</v>
      </c>
      <c r="U53" s="1">
        <f t="shared" si="28"/>
        <v>1</v>
      </c>
      <c r="V53" s="1">
        <f t="shared" si="28"/>
        <v>1</v>
      </c>
      <c r="W53" s="1">
        <f t="shared" si="28"/>
        <v>1</v>
      </c>
      <c r="X53" s="1">
        <f t="shared" si="28"/>
        <v>1</v>
      </c>
      <c r="Y53" s="1">
        <f t="shared" si="28"/>
        <v>1</v>
      </c>
      <c r="Z53" s="1">
        <f t="shared" si="28"/>
        <v>1</v>
      </c>
      <c r="AA53" s="1">
        <f t="shared" si="28"/>
        <v>1</v>
      </c>
      <c r="AB53" s="1">
        <f t="shared" si="28"/>
        <v>1</v>
      </c>
      <c r="AC53" s="1">
        <f t="shared" si="28"/>
        <v>1</v>
      </c>
      <c r="AD53" s="1">
        <f t="shared" si="28"/>
        <v>1</v>
      </c>
      <c r="AE53" s="1">
        <f t="shared" si="28"/>
        <v>1</v>
      </c>
      <c r="AF53" s="1">
        <f t="shared" si="28"/>
        <v>1</v>
      </c>
      <c r="AG53" s="1">
        <f t="shared" si="28"/>
        <v>1</v>
      </c>
      <c r="AH53" s="1">
        <f t="shared" si="28"/>
        <v>1</v>
      </c>
      <c r="AI53" s="1">
        <f t="shared" si="28"/>
        <v>1</v>
      </c>
    </row>
    <row r="56" spans="4:35" x14ac:dyDescent="0.2">
      <c r="D56" s="3" t="s">
        <v>189</v>
      </c>
      <c r="E56" s="237" t="str">
        <f>TEXT(D3-1,"mmm yy")</f>
        <v>Oct 25</v>
      </c>
    </row>
    <row r="57" spans="4:35" x14ac:dyDescent="0.2">
      <c r="D57" s="3" t="s">
        <v>190</v>
      </c>
      <c r="E57" s="239">
        <v>53</v>
      </c>
    </row>
    <row r="58" spans="4:35" x14ac:dyDescent="0.2">
      <c r="D58" s="3" t="s">
        <v>192</v>
      </c>
      <c r="E58" s="3" t="str">
        <f>SUBSTITUTE(ADDRESS(1,COLUMN(D5)+E57-1,4),"1","")</f>
        <v>BD</v>
      </c>
    </row>
    <row r="59" spans="4:35" x14ac:dyDescent="0.2">
      <c r="D59" s="3" t="s">
        <v>191</v>
      </c>
      <c r="E59" s="239">
        <v>37</v>
      </c>
    </row>
  </sheetData>
  <mergeCells count="7">
    <mergeCell ref="AK3:AN3"/>
    <mergeCell ref="AK4:AN4"/>
    <mergeCell ref="AO4:BD4"/>
    <mergeCell ref="AK5:AN6"/>
    <mergeCell ref="AO5:AT6"/>
    <mergeCell ref="AU5:AY6"/>
    <mergeCell ref="AZ5:BD6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8329-57EA-3A49-B65E-D1C1677653E7}">
  <dimension ref="A2:BO67"/>
  <sheetViews>
    <sheetView showGridLines="0" workbookViewId="0">
      <pane xSplit="4" ySplit="7" topLeftCell="S8" activePane="bottomRight" state="frozen"/>
      <selection pane="topRight" activeCell="F1" sqref="F1"/>
      <selection pane="bottomLeft" activeCell="A8" sqref="A8"/>
      <selection pane="bottomRight" activeCell="AE30" sqref="AE30:AH30"/>
    </sheetView>
  </sheetViews>
  <sheetFormatPr baseColWidth="10" defaultColWidth="10.83203125" defaultRowHeight="15" x14ac:dyDescent="0.2"/>
  <cols>
    <col min="1" max="1" width="5.1640625" style="1" customWidth="1"/>
    <col min="2" max="2" width="3.83203125" style="3" bestFit="1" customWidth="1"/>
    <col min="3" max="3" width="20.1640625" style="3" bestFit="1" customWidth="1"/>
    <col min="4" max="4" width="11.83203125" style="3" bestFit="1" customWidth="1"/>
    <col min="5" max="34" width="10.83203125" style="1"/>
    <col min="35" max="35" width="3.1640625" style="1" customWidth="1"/>
    <col min="36" max="37" width="10.83203125" style="1"/>
    <col min="38" max="38" width="14.1640625" style="1" bestFit="1" customWidth="1"/>
    <col min="39" max="39" width="17" style="1" bestFit="1" customWidth="1"/>
    <col min="40" max="40" width="10.83203125" style="1"/>
    <col min="41" max="41" width="13.5" style="1" bestFit="1" customWidth="1"/>
    <col min="42" max="42" width="11.5" style="1" bestFit="1" customWidth="1"/>
    <col min="43" max="47" width="10.83203125" style="1"/>
    <col min="48" max="48" width="14.1640625" style="1" bestFit="1" customWidth="1"/>
    <col min="49" max="49" width="17" style="1" bestFit="1" customWidth="1"/>
    <col min="50" max="50" width="22.83203125" style="1" bestFit="1" customWidth="1"/>
    <col min="51" max="52" width="10.83203125" style="1"/>
    <col min="53" max="53" width="14.1640625" style="1" bestFit="1" customWidth="1"/>
    <col min="54" max="54" width="17" style="1" bestFit="1" customWidth="1"/>
    <col min="55" max="55" width="22.83203125" style="1" bestFit="1" customWidth="1"/>
    <col min="56" max="16384" width="10.83203125" style="1"/>
  </cols>
  <sheetData>
    <row r="2" spans="1:67" x14ac:dyDescent="0.2">
      <c r="B2" s="1"/>
      <c r="C2" s="1">
        <v>1</v>
      </c>
      <c r="D2" s="1">
        <f>C2+1</f>
        <v>2</v>
      </c>
      <c r="E2" s="1">
        <f t="shared" ref="E2:BC2" si="0">D2+1</f>
        <v>3</v>
      </c>
      <c r="F2" s="1">
        <f t="shared" si="0"/>
        <v>4</v>
      </c>
      <c r="G2" s="1">
        <f>F2+1</f>
        <v>5</v>
      </c>
      <c r="H2" s="1">
        <f t="shared" si="0"/>
        <v>6</v>
      </c>
      <c r="I2" s="1">
        <f t="shared" si="0"/>
        <v>7</v>
      </c>
      <c r="J2" s="1">
        <f t="shared" si="0"/>
        <v>8</v>
      </c>
      <c r="K2" s="1">
        <f t="shared" si="0"/>
        <v>9</v>
      </c>
      <c r="L2" s="1">
        <f t="shared" si="0"/>
        <v>10</v>
      </c>
      <c r="M2" s="1">
        <f t="shared" si="0"/>
        <v>11</v>
      </c>
      <c r="N2" s="1">
        <f t="shared" si="0"/>
        <v>12</v>
      </c>
      <c r="O2" s="1">
        <f t="shared" si="0"/>
        <v>13</v>
      </c>
      <c r="P2" s="1">
        <f t="shared" si="0"/>
        <v>14</v>
      </c>
      <c r="Q2" s="1">
        <f t="shared" si="0"/>
        <v>15</v>
      </c>
      <c r="R2" s="1">
        <f t="shared" si="0"/>
        <v>16</v>
      </c>
      <c r="S2" s="1">
        <f t="shared" si="0"/>
        <v>17</v>
      </c>
      <c r="T2" s="1">
        <f t="shared" si="0"/>
        <v>18</v>
      </c>
      <c r="U2" s="1">
        <f t="shared" si="0"/>
        <v>19</v>
      </c>
      <c r="V2" s="1">
        <f t="shared" si="0"/>
        <v>20</v>
      </c>
      <c r="W2" s="1">
        <f t="shared" si="0"/>
        <v>21</v>
      </c>
      <c r="X2" s="1">
        <f t="shared" si="0"/>
        <v>22</v>
      </c>
      <c r="Y2" s="1">
        <f t="shared" si="0"/>
        <v>23</v>
      </c>
      <c r="Z2" s="1">
        <f t="shared" si="0"/>
        <v>24</v>
      </c>
      <c r="AA2" s="1">
        <f t="shared" si="0"/>
        <v>25</v>
      </c>
      <c r="AB2" s="1">
        <f t="shared" si="0"/>
        <v>26</v>
      </c>
      <c r="AC2" s="1">
        <f t="shared" si="0"/>
        <v>27</v>
      </c>
      <c r="AD2" s="1">
        <f t="shared" si="0"/>
        <v>28</v>
      </c>
      <c r="AE2" s="1">
        <f t="shared" si="0"/>
        <v>29</v>
      </c>
      <c r="AF2" s="1">
        <f t="shared" si="0"/>
        <v>30</v>
      </c>
      <c r="AG2" s="1">
        <f t="shared" si="0"/>
        <v>31</v>
      </c>
      <c r="AH2" s="1">
        <f>AG2+1</f>
        <v>32</v>
      </c>
      <c r="AI2" s="1">
        <f t="shared" si="0"/>
        <v>33</v>
      </c>
      <c r="AJ2" s="1">
        <f t="shared" si="0"/>
        <v>34</v>
      </c>
      <c r="AK2" s="1">
        <f t="shared" si="0"/>
        <v>35</v>
      </c>
      <c r="AL2" s="1">
        <f t="shared" si="0"/>
        <v>36</v>
      </c>
      <c r="AM2" s="1">
        <f t="shared" si="0"/>
        <v>37</v>
      </c>
      <c r="AN2" s="1">
        <f t="shared" si="0"/>
        <v>38</v>
      </c>
      <c r="AO2" s="1">
        <f t="shared" si="0"/>
        <v>39</v>
      </c>
      <c r="AP2" s="1">
        <f t="shared" si="0"/>
        <v>40</v>
      </c>
      <c r="AQ2" s="1">
        <f t="shared" si="0"/>
        <v>41</v>
      </c>
      <c r="AR2" s="1">
        <f t="shared" si="0"/>
        <v>42</v>
      </c>
      <c r="AS2" s="1">
        <f t="shared" si="0"/>
        <v>43</v>
      </c>
      <c r="AT2" s="1">
        <f t="shared" si="0"/>
        <v>44</v>
      </c>
      <c r="AU2" s="1">
        <f t="shared" si="0"/>
        <v>45</v>
      </c>
      <c r="AV2" s="1">
        <f t="shared" si="0"/>
        <v>46</v>
      </c>
      <c r="AW2" s="1">
        <f t="shared" si="0"/>
        <v>47</v>
      </c>
      <c r="AX2" s="1">
        <f t="shared" si="0"/>
        <v>48</v>
      </c>
      <c r="AY2" s="1">
        <f t="shared" si="0"/>
        <v>49</v>
      </c>
      <c r="AZ2" s="1">
        <f t="shared" si="0"/>
        <v>50</v>
      </c>
      <c r="BA2" s="1">
        <f t="shared" si="0"/>
        <v>51</v>
      </c>
      <c r="BB2" s="1">
        <f t="shared" si="0"/>
        <v>52</v>
      </c>
      <c r="BC2" s="249">
        <f t="shared" si="0"/>
        <v>53</v>
      </c>
    </row>
    <row r="3" spans="1:67" ht="27" thickBot="1" x14ac:dyDescent="0.25">
      <c r="C3" s="238">
        <v>45931</v>
      </c>
      <c r="D3" s="3" t="s">
        <v>159</v>
      </c>
      <c r="E3" s="242" t="s">
        <v>160</v>
      </c>
      <c r="F3" s="242" t="s">
        <v>160</v>
      </c>
      <c r="G3" s="242" t="s">
        <v>160</v>
      </c>
      <c r="H3" s="242" t="s">
        <v>160</v>
      </c>
      <c r="I3" s="242" t="s">
        <v>160</v>
      </c>
      <c r="J3" s="242" t="s">
        <v>160</v>
      </c>
      <c r="K3" s="242" t="s">
        <v>160</v>
      </c>
      <c r="L3" s="242" t="s">
        <v>160</v>
      </c>
      <c r="M3" s="242" t="s">
        <v>160</v>
      </c>
      <c r="N3" s="242" t="s">
        <v>160</v>
      </c>
      <c r="O3" s="242" t="s">
        <v>160</v>
      </c>
      <c r="P3" s="242" t="s">
        <v>160</v>
      </c>
      <c r="Q3" s="242" t="s">
        <v>160</v>
      </c>
      <c r="R3" s="242" t="s">
        <v>160</v>
      </c>
      <c r="S3" s="242" t="s">
        <v>160</v>
      </c>
      <c r="T3" s="242" t="s">
        <v>193</v>
      </c>
      <c r="U3" s="242" t="s">
        <v>160</v>
      </c>
      <c r="V3" s="242" t="s">
        <v>160</v>
      </c>
      <c r="W3" s="242" t="s">
        <v>160</v>
      </c>
      <c r="X3" s="242" t="s">
        <v>160</v>
      </c>
      <c r="Y3" s="242" t="s">
        <v>160</v>
      </c>
      <c r="Z3" s="242" t="s">
        <v>160</v>
      </c>
      <c r="AA3" s="242" t="s">
        <v>160</v>
      </c>
      <c r="AB3" s="242" t="s">
        <v>160</v>
      </c>
      <c r="AC3" s="242" t="s">
        <v>160</v>
      </c>
      <c r="AD3" s="242" t="s">
        <v>160</v>
      </c>
      <c r="AE3" s="242" t="s">
        <v>160</v>
      </c>
      <c r="AF3" s="242" t="s">
        <v>160</v>
      </c>
      <c r="AG3" s="242" t="s">
        <v>160</v>
      </c>
      <c r="AH3" s="242" t="s">
        <v>160</v>
      </c>
      <c r="AJ3" s="423" t="s">
        <v>120</v>
      </c>
      <c r="AK3" s="423"/>
      <c r="AL3" s="423"/>
      <c r="AM3" s="423"/>
    </row>
    <row r="4" spans="1:67" ht="16" thickBot="1" x14ac:dyDescent="0.25">
      <c r="E4" s="1" t="s">
        <v>133</v>
      </c>
      <c r="G4" s="1" t="s">
        <v>1</v>
      </c>
      <c r="AJ4" s="405" t="s">
        <v>133</v>
      </c>
      <c r="AK4" s="406"/>
      <c r="AL4" s="406"/>
      <c r="AM4" s="407"/>
      <c r="AN4" s="408" t="s">
        <v>175</v>
      </c>
      <c r="AO4" s="409"/>
      <c r="AP4" s="409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10"/>
    </row>
    <row r="5" spans="1:67" x14ac:dyDescent="0.2">
      <c r="A5" s="1">
        <v>1</v>
      </c>
      <c r="E5" s="241">
        <v>45935</v>
      </c>
      <c r="F5" s="251">
        <f>E5+1</f>
        <v>45936</v>
      </c>
      <c r="G5" s="57">
        <f>F5+1</f>
        <v>45937</v>
      </c>
      <c r="H5" s="58">
        <f>G5+1</f>
        <v>45938</v>
      </c>
      <c r="I5" s="58">
        <f>H5+1</f>
        <v>45939</v>
      </c>
      <c r="J5" s="58">
        <f>I5+1</f>
        <v>45940</v>
      </c>
      <c r="K5" s="58">
        <f t="shared" ref="K5:AG5" si="1">J5+1</f>
        <v>45941</v>
      </c>
      <c r="L5" s="58">
        <f t="shared" si="1"/>
        <v>45942</v>
      </c>
      <c r="M5" s="58">
        <f t="shared" si="1"/>
        <v>45943</v>
      </c>
      <c r="N5" s="58">
        <f t="shared" si="1"/>
        <v>45944</v>
      </c>
      <c r="O5" s="58">
        <f t="shared" si="1"/>
        <v>45945</v>
      </c>
      <c r="P5" s="58">
        <f t="shared" si="1"/>
        <v>45946</v>
      </c>
      <c r="Q5" s="58">
        <f t="shared" si="1"/>
        <v>45947</v>
      </c>
      <c r="R5" s="58">
        <f t="shared" si="1"/>
        <v>45948</v>
      </c>
      <c r="S5" s="58">
        <f t="shared" si="1"/>
        <v>45949</v>
      </c>
      <c r="T5" s="58">
        <f t="shared" si="1"/>
        <v>45950</v>
      </c>
      <c r="U5" s="58">
        <f t="shared" si="1"/>
        <v>45951</v>
      </c>
      <c r="V5" s="58">
        <f t="shared" si="1"/>
        <v>45952</v>
      </c>
      <c r="W5" s="58">
        <f t="shared" si="1"/>
        <v>45953</v>
      </c>
      <c r="X5" s="58">
        <f t="shared" si="1"/>
        <v>45954</v>
      </c>
      <c r="Y5" s="58">
        <f t="shared" si="1"/>
        <v>45955</v>
      </c>
      <c r="Z5" s="58">
        <f t="shared" si="1"/>
        <v>45956</v>
      </c>
      <c r="AA5" s="58">
        <f t="shared" si="1"/>
        <v>45957</v>
      </c>
      <c r="AB5" s="58">
        <f t="shared" si="1"/>
        <v>45958</v>
      </c>
      <c r="AC5" s="58">
        <f t="shared" si="1"/>
        <v>45959</v>
      </c>
      <c r="AD5" s="58">
        <f t="shared" si="1"/>
        <v>45960</v>
      </c>
      <c r="AE5" s="58">
        <f t="shared" si="1"/>
        <v>45961</v>
      </c>
      <c r="AF5" s="58">
        <f t="shared" si="1"/>
        <v>45962</v>
      </c>
      <c r="AG5" s="58">
        <f t="shared" si="1"/>
        <v>45963</v>
      </c>
      <c r="AH5" s="59">
        <f>AG5+1</f>
        <v>45964</v>
      </c>
      <c r="AI5" s="5"/>
      <c r="AJ5" s="411" t="s">
        <v>170</v>
      </c>
      <c r="AK5" s="412"/>
      <c r="AL5" s="412"/>
      <c r="AM5" s="413"/>
      <c r="AN5" s="417" t="s">
        <v>176</v>
      </c>
      <c r="AO5" s="418"/>
      <c r="AP5" s="418"/>
      <c r="AQ5" s="418"/>
      <c r="AR5" s="418"/>
      <c r="AS5" s="419"/>
      <c r="AT5" s="417" t="s">
        <v>188</v>
      </c>
      <c r="AU5" s="418"/>
      <c r="AV5" s="418"/>
      <c r="AW5" s="418"/>
      <c r="AX5" s="419"/>
      <c r="AY5" s="417" t="s">
        <v>170</v>
      </c>
      <c r="AZ5" s="418"/>
      <c r="BA5" s="418"/>
      <c r="BB5" s="418"/>
      <c r="BC5" s="419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</row>
    <row r="6" spans="1:67" ht="16" thickBot="1" x14ac:dyDescent="0.25">
      <c r="A6" s="1">
        <f>A5+1</f>
        <v>2</v>
      </c>
      <c r="E6" s="60">
        <f>WEEKDAY(E5,2)</f>
        <v>7</v>
      </c>
      <c r="F6" s="252">
        <f>WEEKDAY(F5,2)</f>
        <v>1</v>
      </c>
      <c r="G6" s="60">
        <f t="shared" ref="G6:AH6" si="2">WEEKDAY(G5,2)</f>
        <v>2</v>
      </c>
      <c r="H6" s="51">
        <f t="shared" si="2"/>
        <v>3</v>
      </c>
      <c r="I6" s="51">
        <f t="shared" si="2"/>
        <v>4</v>
      </c>
      <c r="J6" s="51">
        <f t="shared" si="2"/>
        <v>5</v>
      </c>
      <c r="K6" s="51">
        <f t="shared" si="2"/>
        <v>6</v>
      </c>
      <c r="L6" s="51">
        <f t="shared" si="2"/>
        <v>7</v>
      </c>
      <c r="M6" s="51">
        <f t="shared" si="2"/>
        <v>1</v>
      </c>
      <c r="N6" s="51">
        <f t="shared" si="2"/>
        <v>2</v>
      </c>
      <c r="O6" s="51">
        <f t="shared" si="2"/>
        <v>3</v>
      </c>
      <c r="P6" s="51">
        <f t="shared" si="2"/>
        <v>4</v>
      </c>
      <c r="Q6" s="51">
        <f t="shared" si="2"/>
        <v>5</v>
      </c>
      <c r="R6" s="51">
        <f t="shared" si="2"/>
        <v>6</v>
      </c>
      <c r="S6" s="265">
        <v>6</v>
      </c>
      <c r="T6" s="265">
        <v>6</v>
      </c>
      <c r="U6" s="51">
        <f t="shared" si="2"/>
        <v>2</v>
      </c>
      <c r="V6" s="51">
        <f t="shared" si="2"/>
        <v>3</v>
      </c>
      <c r="W6" s="51">
        <f t="shared" si="2"/>
        <v>4</v>
      </c>
      <c r="X6" s="51">
        <f t="shared" si="2"/>
        <v>5</v>
      </c>
      <c r="Y6" s="51">
        <f t="shared" si="2"/>
        <v>6</v>
      </c>
      <c r="Z6" s="51">
        <f t="shared" si="2"/>
        <v>7</v>
      </c>
      <c r="AA6" s="51">
        <f t="shared" si="2"/>
        <v>1</v>
      </c>
      <c r="AB6" s="51">
        <f t="shared" si="2"/>
        <v>2</v>
      </c>
      <c r="AC6" s="51">
        <f t="shared" si="2"/>
        <v>3</v>
      </c>
      <c r="AD6" s="51">
        <f t="shared" si="2"/>
        <v>4</v>
      </c>
      <c r="AE6" s="51">
        <f t="shared" si="2"/>
        <v>5</v>
      </c>
      <c r="AF6" s="51">
        <f t="shared" si="2"/>
        <v>6</v>
      </c>
      <c r="AG6" s="51">
        <f t="shared" si="2"/>
        <v>7</v>
      </c>
      <c r="AH6" s="61">
        <f t="shared" si="2"/>
        <v>1</v>
      </c>
      <c r="AI6" s="5"/>
      <c r="AJ6" s="414"/>
      <c r="AK6" s="415"/>
      <c r="AL6" s="415"/>
      <c r="AM6" s="416"/>
      <c r="AN6" s="420"/>
      <c r="AO6" s="421"/>
      <c r="AP6" s="421"/>
      <c r="AQ6" s="421"/>
      <c r="AR6" s="421"/>
      <c r="AS6" s="422"/>
      <c r="AT6" s="420"/>
      <c r="AU6" s="421"/>
      <c r="AV6" s="421"/>
      <c r="AW6" s="421"/>
      <c r="AX6" s="422"/>
      <c r="AY6" s="420"/>
      <c r="AZ6" s="421"/>
      <c r="BA6" s="421"/>
      <c r="BB6" s="421"/>
      <c r="BC6" s="422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</row>
    <row r="7" spans="1:67" ht="16" thickBot="1" x14ac:dyDescent="0.25">
      <c r="A7" s="1">
        <f t="shared" ref="A7:A39" si="3">A6+1</f>
        <v>3</v>
      </c>
      <c r="B7" s="52" t="s">
        <v>158</v>
      </c>
      <c r="C7" s="53" t="s">
        <v>132</v>
      </c>
      <c r="D7" s="63" t="s">
        <v>4</v>
      </c>
      <c r="E7" s="234" t="str">
        <f>VLOOKUP(WEEKDAY(E5,2),Index!$B$2:$C$8,2,0)</f>
        <v>Sunday</v>
      </c>
      <c r="F7" s="264" t="str">
        <f>VLOOKUP(WEEKDAY(F5,2),Index!$B$2:$C$8,2,0)</f>
        <v>Monday</v>
      </c>
      <c r="G7" s="84" t="str">
        <f>VLOOKUP(WEEKDAY(G5,2),Index!$B$2:$C$8,2,0)</f>
        <v>Tuesday</v>
      </c>
      <c r="H7" s="250" t="str">
        <f>VLOOKUP(WEEKDAY(H5,2),Index!$B$2:$C$8,2,0)</f>
        <v>Wednesday</v>
      </c>
      <c r="I7" s="250" t="str">
        <f>VLOOKUP(WEEKDAY(I5,2),Index!$B$2:$C$8,2,0)</f>
        <v>Thursday</v>
      </c>
      <c r="J7" s="250" t="str">
        <f>VLOOKUP(WEEKDAY(J5,2),Index!$B$2:$C$8,2,0)</f>
        <v>Friday</v>
      </c>
      <c r="K7" s="55" t="str">
        <f>VLOOKUP(WEEKDAY(K5,2),Index!$B$2:$C$8,2,0)</f>
        <v>Saturday</v>
      </c>
      <c r="L7" s="55" t="str">
        <f>VLOOKUP(WEEKDAY(L5,2),Index!$B$2:$C$8,2,0)</f>
        <v>Sunday</v>
      </c>
      <c r="M7" s="250" t="str">
        <f>VLOOKUP(WEEKDAY(M5,2),Index!$B$2:$C$8,2,0)</f>
        <v>Monday</v>
      </c>
      <c r="N7" s="250" t="str">
        <f>VLOOKUP(WEEKDAY(N5,2),Index!$B$2:$C$8,2,0)</f>
        <v>Tuesday</v>
      </c>
      <c r="O7" s="250" t="str">
        <f>VLOOKUP(WEEKDAY(O5,2),Index!$B$2:$C$8,2,0)</f>
        <v>Wednesday</v>
      </c>
      <c r="P7" s="250" t="str">
        <f>VLOOKUP(WEEKDAY(P5,2),Index!$B$2:$C$8,2,0)</f>
        <v>Thursday</v>
      </c>
      <c r="Q7" s="250" t="str">
        <f>VLOOKUP(WEEKDAY(Q5,2),Index!$B$2:$C$8,2,0)</f>
        <v>Friday</v>
      </c>
      <c r="R7" s="55" t="str">
        <f>VLOOKUP(WEEKDAY(R5,2),Index!$B$2:$C$8,2,0)</f>
        <v>Saturday</v>
      </c>
      <c r="S7" s="55" t="str">
        <f>VLOOKUP(WEEKDAY(S5,2),Index!$B$2:$C$8,2,0)</f>
        <v>Sunday</v>
      </c>
      <c r="T7" s="55" t="str">
        <f>VLOOKUP(WEEKDAY(T5,2),Index!$B$2:$C$8,2,0)</f>
        <v>Monday</v>
      </c>
      <c r="U7" s="250" t="str">
        <f>VLOOKUP(WEEKDAY(U5,2),Index!$B$2:$C$8,2,0)</f>
        <v>Tuesday</v>
      </c>
      <c r="V7" s="250" t="str">
        <f>VLOOKUP(WEEKDAY(V5,2),Index!$B$2:$C$8,2,0)</f>
        <v>Wednesday</v>
      </c>
      <c r="W7" s="250" t="str">
        <f>VLOOKUP(WEEKDAY(W5,2),Index!$B$2:$C$8,2,0)</f>
        <v>Thursday</v>
      </c>
      <c r="X7" s="250" t="str">
        <f>VLOOKUP(WEEKDAY(X5,2),Index!$B$2:$C$8,2,0)</f>
        <v>Friday</v>
      </c>
      <c r="Y7" s="55" t="str">
        <f>VLOOKUP(WEEKDAY(Y5,2),Index!$B$2:$C$8,2,0)</f>
        <v>Saturday</v>
      </c>
      <c r="Z7" s="55" t="str">
        <f>VLOOKUP(WEEKDAY(Z5,2),Index!$B$2:$C$8,2,0)</f>
        <v>Sunday</v>
      </c>
      <c r="AA7" s="250" t="str">
        <f>VLOOKUP(WEEKDAY(AA5,2),Index!$B$2:$C$8,2,0)</f>
        <v>Monday</v>
      </c>
      <c r="AB7" s="250" t="str">
        <f>VLOOKUP(WEEKDAY(AB5,2),Index!$B$2:$C$8,2,0)</f>
        <v>Tuesday</v>
      </c>
      <c r="AC7" s="250" t="str">
        <f>VLOOKUP(WEEKDAY(AC5,2),Index!$B$2:$C$8,2,0)</f>
        <v>Wednesday</v>
      </c>
      <c r="AD7" s="250" t="str">
        <f>VLOOKUP(WEEKDAY(AD5,2),Index!$B$2:$C$8,2,0)</f>
        <v>Thursday</v>
      </c>
      <c r="AE7" s="250" t="str">
        <f>VLOOKUP(WEEKDAY(AE5,2),Index!$B$2:$C$8,2,0)</f>
        <v>Friday</v>
      </c>
      <c r="AF7" s="55" t="str">
        <f>VLOOKUP(WEEKDAY(AF5,2),Index!$B$2:$C$8,2,0)</f>
        <v>Saturday</v>
      </c>
      <c r="AG7" s="55" t="str">
        <f>VLOOKUP(WEEKDAY(AG5,2),Index!$B$2:$C$8,2,0)</f>
        <v>Sunday</v>
      </c>
      <c r="AH7" s="255" t="str">
        <f>VLOOKUP(WEEKDAY(AH5,2),Index!$B$2:$C$8,2,0)</f>
        <v>Monday</v>
      </c>
      <c r="AJ7" s="272" t="s">
        <v>171</v>
      </c>
      <c r="AK7" s="273" t="s">
        <v>172</v>
      </c>
      <c r="AL7" s="273" t="s">
        <v>173</v>
      </c>
      <c r="AM7" s="274" t="s">
        <v>174</v>
      </c>
      <c r="AN7" s="80" t="s">
        <v>169</v>
      </c>
      <c r="AO7" s="81" t="s">
        <v>177</v>
      </c>
      <c r="AP7" s="81" t="s">
        <v>178</v>
      </c>
      <c r="AQ7" s="81" t="s">
        <v>168</v>
      </c>
      <c r="AR7" s="82" t="s">
        <v>19</v>
      </c>
      <c r="AS7" s="83" t="s">
        <v>77</v>
      </c>
      <c r="AT7" s="234" t="s">
        <v>171</v>
      </c>
      <c r="AU7" s="235" t="s">
        <v>172</v>
      </c>
      <c r="AV7" s="235" t="s">
        <v>173</v>
      </c>
      <c r="AW7" s="235" t="s">
        <v>174</v>
      </c>
      <c r="AX7" s="236" t="s">
        <v>180</v>
      </c>
      <c r="AY7" s="84" t="s">
        <v>171</v>
      </c>
      <c r="AZ7" s="82" t="s">
        <v>172</v>
      </c>
      <c r="BA7" s="82" t="s">
        <v>173</v>
      </c>
      <c r="BB7" s="82" t="s">
        <v>174</v>
      </c>
      <c r="BC7" s="83" t="s">
        <v>180</v>
      </c>
    </row>
    <row r="8" spans="1:67" x14ac:dyDescent="0.2">
      <c r="A8" s="1">
        <f t="shared" si="3"/>
        <v>4</v>
      </c>
      <c r="B8" s="64">
        <v>1</v>
      </c>
      <c r="C8" s="65" t="s">
        <v>137</v>
      </c>
      <c r="D8" s="256">
        <v>31</v>
      </c>
      <c r="E8" s="230" t="str">
        <f>IFERROR(IF(VLOOKUP($C8,'Sep 25'!$D$8:$AN$43,36,0)=0,"",VLOOKUP($C8,'Sep 25'!$D$8:$AN$43,36,0)),"")</f>
        <v/>
      </c>
      <c r="F8" s="70" t="str">
        <f>IFERROR(IF(VLOOKUP($C8,'Sep 25'!$D$8:$AN$43,37,0)=0,"",VLOOKUP($C8,'Sep 25'!$D$8:$AN$43,37,0)),"")</f>
        <v>HO1</v>
      </c>
      <c r="G8" s="37"/>
      <c r="H8" s="23"/>
      <c r="I8" s="23"/>
      <c r="J8" s="23"/>
      <c r="K8" s="253"/>
      <c r="L8" s="253" t="s">
        <v>19</v>
      </c>
      <c r="M8" s="23"/>
      <c r="N8" s="23"/>
      <c r="O8" s="23"/>
      <c r="P8" s="23"/>
      <c r="Q8" s="23" t="s">
        <v>77</v>
      </c>
      <c r="R8" s="253"/>
      <c r="S8" s="253"/>
      <c r="T8" s="253" t="s">
        <v>30</v>
      </c>
      <c r="U8" s="23"/>
      <c r="V8" s="23"/>
      <c r="W8" s="23"/>
      <c r="X8" s="254"/>
      <c r="Y8" s="253" t="s">
        <v>20</v>
      </c>
      <c r="Z8" s="253"/>
      <c r="AA8" s="23"/>
      <c r="AB8" s="23"/>
      <c r="AC8" s="23"/>
      <c r="AD8" s="23"/>
      <c r="AE8" s="23" t="s">
        <v>30</v>
      </c>
      <c r="AF8" s="253"/>
      <c r="AG8" s="253"/>
      <c r="AH8" s="39"/>
      <c r="AJ8" s="266">
        <f>IFERROR(VLOOKUP($C8,'Sep 25'!$D$5:$BH$43,54,0),0)</f>
        <v>6</v>
      </c>
      <c r="AK8" s="267">
        <f>IFERROR(VLOOKUP($C8,'Sep 25'!$D$5:$BH$43,55,0),0)</f>
        <v>8.5</v>
      </c>
      <c r="AL8" s="267">
        <f>IFERROR(VLOOKUP($C8,'Sep 25'!$D$5:$BH$43,56,0),0)</f>
        <v>6</v>
      </c>
      <c r="AM8" s="268">
        <f>IFERROR(VLOOKUP($C8,'Sep 25'!$D$5:$BH$43,57,0),0)</f>
        <v>1</v>
      </c>
      <c r="AN8" s="86">
        <f>COUNTIFS(G8:AH8,"HO*",$G$6:$AH$6,"&lt;5")</f>
        <v>0</v>
      </c>
      <c r="AO8" s="66">
        <f>COUNTIFS(G8:AH8,"HO*",$G$6:$AH$6,"5")</f>
        <v>1</v>
      </c>
      <c r="AP8" s="66">
        <f>COUNTIFS(G8:AH8,"HO*",$G$6:$AH$6,"6")-COUNTIFS(G8:AH8,"HO6",$G$6:$AH$6,"6")</f>
        <v>1</v>
      </c>
      <c r="AQ8" s="66">
        <f>COUNTIFS(G8:AH8,"HO*",$G$6:$AH$6,"7")-COUNTIFS(G8:AH8,"HO6",$G$6:$AH$6,"7")</f>
        <v>0</v>
      </c>
      <c r="AR8" s="66">
        <f>COUNTIF(G8:AH8,"HO6")</f>
        <v>1</v>
      </c>
      <c r="AS8" s="277">
        <f>COUNTIF(G8:AH8,"S")</f>
        <v>1</v>
      </c>
      <c r="AT8" s="230">
        <f>SUM(AN8:AQ8)+AR8*0.5</f>
        <v>2.5</v>
      </c>
      <c r="AU8" s="66">
        <f>AN8*1+AO8*1.5+AP8*2.5+AQ8*2+AR8*0.5</f>
        <v>4.5</v>
      </c>
      <c r="AV8" s="275">
        <f>COUNTIFS(G8:AH8,"",$G$6:$AH$6,"&gt;5")+COUNTIFS(G8:AH8,"X",$G$6:$AH$6,"&gt;5")</f>
        <v>6</v>
      </c>
      <c r="AW8" s="66">
        <f>COUNTIF(G8:AH8,"WR*")</f>
        <v>1</v>
      </c>
      <c r="AX8" s="276">
        <f>AU8/AT8</f>
        <v>1.8</v>
      </c>
      <c r="AY8" s="37">
        <f>AT8+AJ8</f>
        <v>8.5</v>
      </c>
      <c r="AZ8" s="23">
        <f>AU8+AK8</f>
        <v>13</v>
      </c>
      <c r="BA8" s="23">
        <f>AV8+AL8</f>
        <v>12</v>
      </c>
      <c r="BB8" s="23">
        <f>AW8+AM8</f>
        <v>2</v>
      </c>
      <c r="BC8" s="47">
        <f>AZ8/AY8</f>
        <v>1.5294117647058822</v>
      </c>
    </row>
    <row r="9" spans="1:67" x14ac:dyDescent="0.2">
      <c r="A9" s="1">
        <f t="shared" si="3"/>
        <v>5</v>
      </c>
      <c r="B9" s="71">
        <f>B8+1</f>
        <v>2</v>
      </c>
      <c r="C9" s="6" t="s">
        <v>138</v>
      </c>
      <c r="D9" s="257">
        <v>31</v>
      </c>
      <c r="E9" s="25" t="str">
        <f>IFERROR(IF(VLOOKUP($C9,'Sep 25'!$D$8:$AN$43,36,0)=0,"",VLOOKUP($C9,'Sep 25'!$D$8:$AN$43,36,0)),"")</f>
        <v>HO6</v>
      </c>
      <c r="F9" s="26" t="str">
        <f>IFERROR(IF(VLOOKUP($C9,'Sep 25'!$D$8:$AN$43,37,0)=0,"",VLOOKUP($C9,'Sep 25'!$D$8:$AN$43,37,0)),"")</f>
        <v/>
      </c>
      <c r="G9" s="24"/>
      <c r="H9" s="18" t="s">
        <v>30</v>
      </c>
      <c r="I9" s="15"/>
      <c r="J9" s="18"/>
      <c r="K9" s="232" t="s">
        <v>30</v>
      </c>
      <c r="L9" s="17"/>
      <c r="M9" s="18"/>
      <c r="N9" s="18"/>
      <c r="O9" s="18" t="s">
        <v>30</v>
      </c>
      <c r="P9" s="18"/>
      <c r="Q9" s="18"/>
      <c r="R9" s="16" t="s">
        <v>85</v>
      </c>
      <c r="S9" s="17" t="s">
        <v>31</v>
      </c>
      <c r="T9" s="17"/>
      <c r="U9" s="18"/>
      <c r="V9" s="18" t="s">
        <v>77</v>
      </c>
      <c r="W9" s="18"/>
      <c r="X9" s="18"/>
      <c r="Y9" s="232"/>
      <c r="Z9" s="17"/>
      <c r="AA9" s="18"/>
      <c r="AB9" s="15" t="s">
        <v>30</v>
      </c>
      <c r="AC9" s="18"/>
      <c r="AD9" s="18" t="s">
        <v>83</v>
      </c>
      <c r="AE9" s="18" t="s">
        <v>83</v>
      </c>
      <c r="AF9" s="17" t="s">
        <v>19</v>
      </c>
      <c r="AG9" s="232"/>
      <c r="AH9" s="26"/>
      <c r="AJ9" s="27">
        <f>IFERROR(VLOOKUP($C9,'Sep 25'!$D$5:$BH$43,54,0),0)</f>
        <v>4.5</v>
      </c>
      <c r="AK9" s="21">
        <f>IFERROR(VLOOKUP($C9,'Sep 25'!$D$5:$BH$43,55,0),0)</f>
        <v>5.5</v>
      </c>
      <c r="AL9" s="21">
        <f>IFERROR(VLOOKUP($C9,'Sep 25'!$D$5:$BH$43,56,0),0)</f>
        <v>7</v>
      </c>
      <c r="AM9" s="28">
        <f>IFERROR(VLOOKUP($C9,'Sep 25'!$D$5:$BH$43,57,0),0)</f>
        <v>1</v>
      </c>
      <c r="AN9" s="37">
        <f t="shared" ref="AN9:AN51" si="4">COUNTIFS(G9:AH9,"HO*",$G$6:$AH$6,"&lt;5")</f>
        <v>3</v>
      </c>
      <c r="AO9" s="23">
        <f t="shared" ref="AO9:AO51" si="5">COUNTIFS(G9:AH9,"HO*",$G$6:$AH$6,"5")</f>
        <v>0</v>
      </c>
      <c r="AP9" s="23">
        <f t="shared" ref="AP9:AP51" si="6">COUNTIFS(G9:AH9,"HO*",$G$6:$AH$6,"6")-COUNTIFS(G9:AH9,"HO6",$G$6:$AH$6,"6")</f>
        <v>2</v>
      </c>
      <c r="AQ9" s="23">
        <f t="shared" ref="AQ9:AQ51" si="7">COUNTIFS(G9:AH9,"HO*",$G$6:$AH$6,"7")-COUNTIFS(G9:AH9,"HO6",$G$6:$AH$6,"7")</f>
        <v>0</v>
      </c>
      <c r="AR9" s="23">
        <f t="shared" ref="AR9:AR51" si="8">COUNTIF(G9:AH9,"HO6")</f>
        <v>1</v>
      </c>
      <c r="AS9" s="278">
        <f t="shared" ref="AS9:AS51" si="9">COUNTIF(G9:AH9,"S")</f>
        <v>1</v>
      </c>
      <c r="AT9" s="25">
        <f t="shared" ref="AT9:AT51" si="10">SUM(AN9:AQ9)+AR9*0.5</f>
        <v>5.5</v>
      </c>
      <c r="AU9" s="18">
        <f t="shared" ref="AU9:AU51" si="11">AN9*1+AO9*1.5+AP9*2.5+AQ9*2+AR9*0.5</f>
        <v>8.5</v>
      </c>
      <c r="AV9" s="22">
        <f t="shared" ref="AV9:AV51" si="12">COUNTIFS(G9:AH9,"",$G$6:$AH$6,"&gt;5")+COUNTIFS(G9:AH9,"X",$G$6:$AH$6,"&gt;5")</f>
        <v>6</v>
      </c>
      <c r="AW9" s="18">
        <f t="shared" ref="AW9:AW51" si="13">COUNTIF(G9:AH9,"WR*")</f>
        <v>0</v>
      </c>
      <c r="AX9" s="32">
        <f t="shared" ref="AX9:AX51" si="14">AU9/AT9</f>
        <v>1.5454545454545454</v>
      </c>
      <c r="AY9" s="24">
        <f t="shared" ref="AY9:BB51" si="15">AT9+AJ9</f>
        <v>10</v>
      </c>
      <c r="AZ9" s="18">
        <f t="shared" si="15"/>
        <v>14</v>
      </c>
      <c r="BA9" s="18">
        <f t="shared" si="15"/>
        <v>13</v>
      </c>
      <c r="BB9" s="18">
        <f t="shared" si="15"/>
        <v>1</v>
      </c>
      <c r="BC9" s="32">
        <f t="shared" ref="BC9:BC51" si="16">AZ9/AY9</f>
        <v>1.4</v>
      </c>
    </row>
    <row r="10" spans="1:67" x14ac:dyDescent="0.2">
      <c r="A10" s="1">
        <f t="shared" si="3"/>
        <v>6</v>
      </c>
      <c r="B10" s="71">
        <f t="shared" ref="B10:B39" si="17">B9+1</f>
        <v>3</v>
      </c>
      <c r="C10" s="6" t="s">
        <v>128</v>
      </c>
      <c r="D10" s="257">
        <v>31</v>
      </c>
      <c r="E10" s="25" t="str">
        <f>IFERROR(IF(VLOOKUP($C10,'Sep 25'!$D$8:$AN$43,36,0)=0,"",VLOOKUP($C10,'Sep 25'!$D$8:$AN$43,36,0)),"")</f>
        <v>HO4</v>
      </c>
      <c r="F10" s="26" t="str">
        <f>IFERROR(IF(VLOOKUP($C10,'Sep 25'!$D$8:$AN$43,37,0)=0,"",VLOOKUP($C10,'Sep 25'!$D$8:$AN$43,37,0)),"")</f>
        <v/>
      </c>
      <c r="G10" s="24"/>
      <c r="H10" s="18"/>
      <c r="I10" s="18" t="s">
        <v>83</v>
      </c>
      <c r="J10" s="18" t="s">
        <v>83</v>
      </c>
      <c r="K10" s="16" t="s">
        <v>85</v>
      </c>
      <c r="L10" s="16" t="s">
        <v>85</v>
      </c>
      <c r="M10" s="18" t="s">
        <v>83</v>
      </c>
      <c r="N10" s="18" t="s">
        <v>83</v>
      </c>
      <c r="O10" s="18" t="s">
        <v>83</v>
      </c>
      <c r="P10" s="18"/>
      <c r="Q10" s="18" t="s">
        <v>30</v>
      </c>
      <c r="R10" s="17"/>
      <c r="S10" s="17"/>
      <c r="T10" s="17"/>
      <c r="U10" s="18"/>
      <c r="V10" s="18" t="s">
        <v>29</v>
      </c>
      <c r="W10" s="18"/>
      <c r="X10" s="18"/>
      <c r="Y10" s="17"/>
      <c r="Z10" s="15" t="s">
        <v>30</v>
      </c>
      <c r="AA10" s="18"/>
      <c r="AB10" s="269" t="s">
        <v>182</v>
      </c>
      <c r="AC10" s="269" t="s">
        <v>182</v>
      </c>
      <c r="AD10" s="269" t="s">
        <v>182</v>
      </c>
      <c r="AE10" s="269" t="s">
        <v>182</v>
      </c>
      <c r="AF10" s="269" t="s">
        <v>182</v>
      </c>
      <c r="AG10" s="269" t="s">
        <v>182</v>
      </c>
      <c r="AH10" s="270" t="s">
        <v>182</v>
      </c>
      <c r="AJ10" s="27">
        <f>IFERROR(VLOOKUP($C10,'Sep 25'!$D$5:$BH$43,54,0),0)</f>
        <v>14</v>
      </c>
      <c r="AK10" s="21">
        <f>IFERROR(VLOOKUP($C10,'Sep 25'!$D$5:$BH$43,55,0),0)</f>
        <v>21.5</v>
      </c>
      <c r="AL10" s="21">
        <f>IFERROR(VLOOKUP($C10,'Sep 25'!$D$5:$BH$43,56,0),0)</f>
        <v>16</v>
      </c>
      <c r="AM10" s="28">
        <f>IFERROR(VLOOKUP($C10,'Sep 25'!$D$5:$BH$43,57,0),0)</f>
        <v>2</v>
      </c>
      <c r="AN10" s="37">
        <f t="shared" si="4"/>
        <v>1</v>
      </c>
      <c r="AO10" s="23">
        <f t="shared" si="5"/>
        <v>1</v>
      </c>
      <c r="AP10" s="23">
        <f t="shared" si="6"/>
        <v>0</v>
      </c>
      <c r="AQ10" s="23">
        <f t="shared" si="7"/>
        <v>1</v>
      </c>
      <c r="AR10" s="23">
        <f t="shared" si="8"/>
        <v>0</v>
      </c>
      <c r="AS10" s="278">
        <f t="shared" si="9"/>
        <v>0</v>
      </c>
      <c r="AT10" s="25">
        <f t="shared" si="10"/>
        <v>3</v>
      </c>
      <c r="AU10" s="18">
        <f t="shared" si="11"/>
        <v>4.5</v>
      </c>
      <c r="AV10" s="22">
        <f t="shared" si="12"/>
        <v>6</v>
      </c>
      <c r="AW10" s="18">
        <f t="shared" si="13"/>
        <v>0</v>
      </c>
      <c r="AX10" s="32">
        <f t="shared" si="14"/>
        <v>1.5</v>
      </c>
      <c r="AY10" s="24">
        <f t="shared" si="15"/>
        <v>17</v>
      </c>
      <c r="AZ10" s="18">
        <f t="shared" si="15"/>
        <v>26</v>
      </c>
      <c r="BA10" s="18">
        <f t="shared" si="15"/>
        <v>22</v>
      </c>
      <c r="BB10" s="18">
        <f t="shared" si="15"/>
        <v>2</v>
      </c>
      <c r="BC10" s="32">
        <f t="shared" si="16"/>
        <v>1.5294117647058822</v>
      </c>
    </row>
    <row r="11" spans="1:67" x14ac:dyDescent="0.2">
      <c r="A11" s="1">
        <f t="shared" si="3"/>
        <v>7</v>
      </c>
      <c r="B11" s="71">
        <f t="shared" si="17"/>
        <v>4</v>
      </c>
      <c r="C11" s="6" t="s">
        <v>134</v>
      </c>
      <c r="D11" s="257">
        <v>55</v>
      </c>
      <c r="E11" s="25" t="str">
        <f>IFERROR(IF(VLOOKUP($C11,'Sep 25'!$D$8:$AN$43,36,0)=0,"",VLOOKUP($C11,'Sep 25'!$D$8:$AN$43,36,0)),"")</f>
        <v>HO1</v>
      </c>
      <c r="F11" s="26" t="str">
        <f>IFERROR(IF(VLOOKUP($C11,'Sep 25'!$D$8:$AN$43,37,0)=0,"",VLOOKUP($C11,'Sep 25'!$D$8:$AN$43,37,0)),"")</f>
        <v/>
      </c>
      <c r="G11" s="24"/>
      <c r="H11" s="18" t="s">
        <v>77</v>
      </c>
      <c r="I11" s="18"/>
      <c r="J11" s="18"/>
      <c r="K11" s="17"/>
      <c r="L11" s="232" t="s">
        <v>81</v>
      </c>
      <c r="M11" s="18"/>
      <c r="N11" s="18"/>
      <c r="O11" s="18"/>
      <c r="P11" s="18" t="s">
        <v>83</v>
      </c>
      <c r="Q11" s="18" t="s">
        <v>83</v>
      </c>
      <c r="R11" s="16" t="s">
        <v>85</v>
      </c>
      <c r="S11" s="16" t="s">
        <v>85</v>
      </c>
      <c r="T11" s="17"/>
      <c r="U11" s="18" t="s">
        <v>30</v>
      </c>
      <c r="V11" s="18"/>
      <c r="W11" s="18"/>
      <c r="X11" s="244"/>
      <c r="Y11" s="232" t="s">
        <v>30</v>
      </c>
      <c r="Z11" s="17"/>
      <c r="AA11" s="18" t="s">
        <v>32</v>
      </c>
      <c r="AB11" s="18"/>
      <c r="AC11" s="18"/>
      <c r="AD11" s="233" t="s">
        <v>210</v>
      </c>
      <c r="AE11" s="233" t="s">
        <v>210</v>
      </c>
      <c r="AF11" s="17"/>
      <c r="AG11" s="17"/>
      <c r="AH11" s="26"/>
      <c r="AJ11" s="27">
        <f>IFERROR(VLOOKUP($C11,'Sep 25'!$D$5:$BH$43,54,0),0)</f>
        <v>5</v>
      </c>
      <c r="AK11" s="21">
        <f>IFERROR(VLOOKUP($C11,'Sep 25'!$D$5:$BH$43,55,0),0)</f>
        <v>8</v>
      </c>
      <c r="AL11" s="21">
        <f>IFERROR(VLOOKUP($C11,'Sep 25'!$D$5:$BH$43,56,0),0)</f>
        <v>6</v>
      </c>
      <c r="AM11" s="28">
        <f>IFERROR(VLOOKUP($C11,'Sep 25'!$D$5:$BH$43,57,0),0)</f>
        <v>1</v>
      </c>
      <c r="AN11" s="37">
        <f t="shared" si="4"/>
        <v>2</v>
      </c>
      <c r="AO11" s="23">
        <f t="shared" si="5"/>
        <v>0</v>
      </c>
      <c r="AP11" s="23">
        <f t="shared" si="6"/>
        <v>1</v>
      </c>
      <c r="AQ11" s="23">
        <f t="shared" si="7"/>
        <v>0</v>
      </c>
      <c r="AR11" s="23">
        <f t="shared" si="8"/>
        <v>0</v>
      </c>
      <c r="AS11" s="278">
        <f t="shared" si="9"/>
        <v>1</v>
      </c>
      <c r="AT11" s="25">
        <f t="shared" si="10"/>
        <v>3</v>
      </c>
      <c r="AU11" s="18">
        <f t="shared" si="11"/>
        <v>4.5</v>
      </c>
      <c r="AV11" s="22">
        <f t="shared" si="12"/>
        <v>7</v>
      </c>
      <c r="AW11" s="18">
        <f t="shared" si="13"/>
        <v>1</v>
      </c>
      <c r="AX11" s="32">
        <f t="shared" si="14"/>
        <v>1.5</v>
      </c>
      <c r="AY11" s="24">
        <f t="shared" si="15"/>
        <v>8</v>
      </c>
      <c r="AZ11" s="18">
        <f t="shared" si="15"/>
        <v>12.5</v>
      </c>
      <c r="BA11" s="18">
        <f t="shared" si="15"/>
        <v>13</v>
      </c>
      <c r="BB11" s="18">
        <f t="shared" si="15"/>
        <v>2</v>
      </c>
      <c r="BC11" s="32">
        <f t="shared" si="16"/>
        <v>1.5625</v>
      </c>
    </row>
    <row r="12" spans="1:67" x14ac:dyDescent="0.2">
      <c r="A12" s="1">
        <f t="shared" si="3"/>
        <v>8</v>
      </c>
      <c r="B12" s="71">
        <f t="shared" si="17"/>
        <v>5</v>
      </c>
      <c r="C12" s="6" t="s">
        <v>135</v>
      </c>
      <c r="D12" s="257">
        <v>55</v>
      </c>
      <c r="E12" s="25" t="str">
        <f>IFERROR(IF(VLOOKUP($C12,'Sep 25'!$D$8:$AN$43,36,0)=0,"",VLOOKUP($C12,'Sep 25'!$D$8:$AN$43,36,0)),"")</f>
        <v/>
      </c>
      <c r="F12" s="26" t="str">
        <f>IFERROR(IF(VLOOKUP($C12,'Sep 25'!$D$8:$AN$43,37,0)=0,"",VLOOKUP($C12,'Sep 25'!$D$8:$AN$43,37,0)),"")</f>
        <v/>
      </c>
      <c r="G12" s="24"/>
      <c r="H12" s="18"/>
      <c r="I12" s="18" t="s">
        <v>77</v>
      </c>
      <c r="J12" s="18"/>
      <c r="K12" s="16" t="s">
        <v>85</v>
      </c>
      <c r="L12" s="17" t="s">
        <v>30</v>
      </c>
      <c r="M12" s="18"/>
      <c r="N12" s="18"/>
      <c r="O12" s="18"/>
      <c r="P12" s="15" t="s">
        <v>31</v>
      </c>
      <c r="Q12" s="18"/>
      <c r="R12" s="17"/>
      <c r="S12" s="17"/>
      <c r="T12" s="17" t="s">
        <v>21</v>
      </c>
      <c r="U12" s="18"/>
      <c r="V12" s="18"/>
      <c r="W12" s="233" t="s">
        <v>34</v>
      </c>
      <c r="X12" s="18"/>
      <c r="Y12" s="16" t="s">
        <v>85</v>
      </c>
      <c r="Z12" s="17" t="s">
        <v>20</v>
      </c>
      <c r="AA12" s="18"/>
      <c r="AB12" s="18"/>
      <c r="AC12" s="18"/>
      <c r="AD12" s="15" t="s">
        <v>30</v>
      </c>
      <c r="AE12" s="18"/>
      <c r="AF12" s="17"/>
      <c r="AG12" s="17"/>
      <c r="AH12" s="26" t="s">
        <v>30</v>
      </c>
      <c r="AJ12" s="27">
        <f>IFERROR(VLOOKUP($C12,'Sep 25'!$D$5:$BH$43,54,0),0)</f>
        <v>5</v>
      </c>
      <c r="AK12" s="21">
        <f>IFERROR(VLOOKUP($C12,'Sep 25'!$D$5:$BH$43,55,0),0)</f>
        <v>8.5</v>
      </c>
      <c r="AL12" s="21">
        <f>IFERROR(VLOOKUP($C12,'Sep 25'!$D$5:$BH$43,56,0),0)</f>
        <v>7</v>
      </c>
      <c r="AM12" s="28">
        <f>IFERROR(VLOOKUP($C12,'Sep 25'!$D$5:$BH$43,57,0),0)</f>
        <v>0</v>
      </c>
      <c r="AN12" s="37">
        <f t="shared" si="4"/>
        <v>4</v>
      </c>
      <c r="AO12" s="23">
        <f t="shared" si="5"/>
        <v>0</v>
      </c>
      <c r="AP12" s="23">
        <f t="shared" si="6"/>
        <v>0</v>
      </c>
      <c r="AQ12" s="23">
        <f t="shared" si="7"/>
        <v>1</v>
      </c>
      <c r="AR12" s="23">
        <f t="shared" si="8"/>
        <v>0</v>
      </c>
      <c r="AS12" s="278">
        <f t="shared" si="9"/>
        <v>1</v>
      </c>
      <c r="AT12" s="25">
        <f t="shared" si="10"/>
        <v>5</v>
      </c>
      <c r="AU12" s="18">
        <f t="shared" si="11"/>
        <v>6</v>
      </c>
      <c r="AV12" s="22">
        <f t="shared" si="12"/>
        <v>6</v>
      </c>
      <c r="AW12" s="18">
        <f t="shared" si="13"/>
        <v>2</v>
      </c>
      <c r="AX12" s="32">
        <f t="shared" si="14"/>
        <v>1.2</v>
      </c>
      <c r="AY12" s="24">
        <f t="shared" si="15"/>
        <v>10</v>
      </c>
      <c r="AZ12" s="18">
        <f t="shared" si="15"/>
        <v>14.5</v>
      </c>
      <c r="BA12" s="18">
        <f t="shared" si="15"/>
        <v>13</v>
      </c>
      <c r="BB12" s="18">
        <f t="shared" si="15"/>
        <v>2</v>
      </c>
      <c r="BC12" s="32">
        <f t="shared" si="16"/>
        <v>1.45</v>
      </c>
    </row>
    <row r="13" spans="1:67" x14ac:dyDescent="0.2">
      <c r="A13" s="1">
        <f t="shared" si="3"/>
        <v>9</v>
      </c>
      <c r="B13" s="71">
        <f t="shared" si="17"/>
        <v>6</v>
      </c>
      <c r="C13" s="6" t="s">
        <v>136</v>
      </c>
      <c r="D13" s="257">
        <v>51</v>
      </c>
      <c r="E13" s="25" t="str">
        <f>IFERROR(IF(VLOOKUP($C13,'Sep 25'!$D$8:$AN$43,36,0)=0,"",VLOOKUP($C13,'Sep 25'!$D$8:$AN$43,36,0)),"")</f>
        <v/>
      </c>
      <c r="F13" s="26" t="str">
        <f>IFERROR(IF(VLOOKUP($C13,'Sep 25'!$D$8:$AN$43,37,0)=0,"",VLOOKUP($C13,'Sep 25'!$D$8:$AN$43,37,0)),"")</f>
        <v/>
      </c>
      <c r="G13" s="24"/>
      <c r="H13" s="18"/>
      <c r="I13" s="18"/>
      <c r="J13" s="18" t="s">
        <v>31</v>
      </c>
      <c r="K13" s="17"/>
      <c r="L13" s="17"/>
      <c r="M13" s="18"/>
      <c r="N13" s="15" t="s">
        <v>30</v>
      </c>
      <c r="O13" s="18" t="s">
        <v>83</v>
      </c>
      <c r="P13" s="18" t="s">
        <v>83</v>
      </c>
      <c r="Q13" s="18" t="s">
        <v>83</v>
      </c>
      <c r="R13" s="16" t="s">
        <v>85</v>
      </c>
      <c r="S13" s="16" t="s">
        <v>85</v>
      </c>
      <c r="T13" s="17" t="s">
        <v>20</v>
      </c>
      <c r="U13" s="18"/>
      <c r="V13" s="18"/>
      <c r="W13" s="15" t="s">
        <v>30</v>
      </c>
      <c r="X13" s="18"/>
      <c r="Y13" s="17"/>
      <c r="Z13" s="17" t="s">
        <v>77</v>
      </c>
      <c r="AA13" s="18"/>
      <c r="AB13" s="18"/>
      <c r="AC13" s="18" t="s">
        <v>30</v>
      </c>
      <c r="AD13" s="18"/>
      <c r="AE13" s="18"/>
      <c r="AF13" s="17" t="s">
        <v>30</v>
      </c>
      <c r="AG13" s="17"/>
      <c r="AH13" s="26"/>
      <c r="AJ13" s="27">
        <f>IFERROR(VLOOKUP($C13,'Sep 25'!$D$5:$BH$43,54,0),0)</f>
        <v>5</v>
      </c>
      <c r="AK13" s="21">
        <f>IFERROR(VLOOKUP($C13,'Sep 25'!$D$5:$BH$43,55,0),0)</f>
        <v>8</v>
      </c>
      <c r="AL13" s="21">
        <f>IFERROR(VLOOKUP($C13,'Sep 25'!$D$5:$BH$43,56,0),0)</f>
        <v>7</v>
      </c>
      <c r="AM13" s="28">
        <f>IFERROR(VLOOKUP($C13,'Sep 25'!$D$5:$BH$43,57,0),0)</f>
        <v>0</v>
      </c>
      <c r="AN13" s="37">
        <f t="shared" si="4"/>
        <v>3</v>
      </c>
      <c r="AO13" s="23">
        <f t="shared" si="5"/>
        <v>1</v>
      </c>
      <c r="AP13" s="23">
        <f t="shared" si="6"/>
        <v>1</v>
      </c>
      <c r="AQ13" s="23">
        <f t="shared" si="7"/>
        <v>0</v>
      </c>
      <c r="AR13" s="23">
        <f t="shared" si="8"/>
        <v>0</v>
      </c>
      <c r="AS13" s="278">
        <f t="shared" si="9"/>
        <v>1</v>
      </c>
      <c r="AT13" s="25">
        <f t="shared" si="10"/>
        <v>5</v>
      </c>
      <c r="AU13" s="18">
        <f t="shared" si="11"/>
        <v>7</v>
      </c>
      <c r="AV13" s="22">
        <f t="shared" si="12"/>
        <v>6</v>
      </c>
      <c r="AW13" s="18">
        <f t="shared" si="13"/>
        <v>1</v>
      </c>
      <c r="AX13" s="32">
        <f t="shared" si="14"/>
        <v>1.4</v>
      </c>
      <c r="AY13" s="24">
        <f t="shared" si="15"/>
        <v>10</v>
      </c>
      <c r="AZ13" s="18">
        <f t="shared" si="15"/>
        <v>15</v>
      </c>
      <c r="BA13" s="18">
        <f t="shared" si="15"/>
        <v>13</v>
      </c>
      <c r="BB13" s="18">
        <f t="shared" si="15"/>
        <v>1</v>
      </c>
      <c r="BC13" s="32">
        <f t="shared" si="16"/>
        <v>1.5</v>
      </c>
    </row>
    <row r="14" spans="1:67" x14ac:dyDescent="0.2">
      <c r="A14" s="1">
        <f t="shared" si="3"/>
        <v>10</v>
      </c>
      <c r="B14" s="71">
        <f t="shared" si="17"/>
        <v>7</v>
      </c>
      <c r="C14" s="8" t="s">
        <v>194</v>
      </c>
      <c r="D14" s="258">
        <v>46</v>
      </c>
      <c r="E14" s="25" t="str">
        <f>IFERROR(IF(VLOOKUP($C14,'Sep 25'!$D$8:$AN$43,36,0)=0,"",VLOOKUP($C14,'Sep 25'!$D$8:$AN$43,36,0)),"")</f>
        <v/>
      </c>
      <c r="F14" s="26" t="str">
        <f>IFERROR(IF(VLOOKUP($C14,'Sep 25'!$D$8:$AN$43,37,0)=0,"",VLOOKUP($C14,'Sep 25'!$D$8:$AN$43,37,0)),"")</f>
        <v/>
      </c>
      <c r="G14" s="24" t="s">
        <v>34</v>
      </c>
      <c r="H14" s="18"/>
      <c r="I14" s="18"/>
      <c r="J14" s="18"/>
      <c r="K14" s="17"/>
      <c r="L14" s="17"/>
      <c r="M14" s="18" t="s">
        <v>34</v>
      </c>
      <c r="N14" s="18"/>
      <c r="O14" s="18"/>
      <c r="P14" s="18"/>
      <c r="Q14" s="18" t="s">
        <v>34</v>
      </c>
      <c r="R14" s="17"/>
      <c r="S14" s="17"/>
      <c r="T14" s="15" t="s">
        <v>34</v>
      </c>
      <c r="U14" s="18"/>
      <c r="V14" s="18"/>
      <c r="W14" s="18"/>
      <c r="X14" s="18"/>
      <c r="Y14" s="17" t="s">
        <v>81</v>
      </c>
      <c r="Z14" s="17"/>
      <c r="AA14" s="233"/>
      <c r="AB14" s="18"/>
      <c r="AC14" s="18" t="s">
        <v>77</v>
      </c>
      <c r="AD14" s="18"/>
      <c r="AE14" s="16" t="s">
        <v>85</v>
      </c>
      <c r="AF14" s="16" t="s">
        <v>85</v>
      </c>
      <c r="AG14" s="17" t="s">
        <v>34</v>
      </c>
      <c r="AH14" s="26"/>
      <c r="AJ14" s="27">
        <f>IFERROR(VLOOKUP($C14,'Sep 25'!$D$5:$BH$43,54,0),0)</f>
        <v>5</v>
      </c>
      <c r="AK14" s="21">
        <f>IFERROR(VLOOKUP($C14,'Sep 25'!$D$5:$BH$43,55,0),0)</f>
        <v>7.5</v>
      </c>
      <c r="AL14" s="21">
        <f>IFERROR(VLOOKUP($C14,'Sep 25'!$D$5:$BH$43,56,0),0)</f>
        <v>5</v>
      </c>
      <c r="AM14" s="28">
        <f>IFERROR(VLOOKUP($C14,'Sep 25'!$D$5:$BH$43,57,0),0)</f>
        <v>1</v>
      </c>
      <c r="AN14" s="37">
        <f t="shared" si="4"/>
        <v>2</v>
      </c>
      <c r="AO14" s="23">
        <f t="shared" si="5"/>
        <v>1</v>
      </c>
      <c r="AP14" s="23">
        <f t="shared" si="6"/>
        <v>1</v>
      </c>
      <c r="AQ14" s="23">
        <f t="shared" si="7"/>
        <v>1</v>
      </c>
      <c r="AR14" s="23">
        <f t="shared" si="8"/>
        <v>0</v>
      </c>
      <c r="AS14" s="278">
        <f t="shared" si="9"/>
        <v>1</v>
      </c>
      <c r="AT14" s="25">
        <f t="shared" si="10"/>
        <v>5</v>
      </c>
      <c r="AU14" s="18">
        <f t="shared" si="11"/>
        <v>8</v>
      </c>
      <c r="AV14" s="22">
        <f t="shared" si="12"/>
        <v>6</v>
      </c>
      <c r="AW14" s="18">
        <f t="shared" si="13"/>
        <v>1</v>
      </c>
      <c r="AX14" s="32">
        <f t="shared" si="14"/>
        <v>1.6</v>
      </c>
      <c r="AY14" s="24">
        <f t="shared" si="15"/>
        <v>10</v>
      </c>
      <c r="AZ14" s="18">
        <f t="shared" si="15"/>
        <v>15.5</v>
      </c>
      <c r="BA14" s="18">
        <f t="shared" si="15"/>
        <v>11</v>
      </c>
      <c r="BB14" s="18">
        <f t="shared" si="15"/>
        <v>2</v>
      </c>
      <c r="BC14" s="32">
        <f t="shared" si="16"/>
        <v>1.55</v>
      </c>
    </row>
    <row r="15" spans="1:67" x14ac:dyDescent="0.2">
      <c r="A15" s="1">
        <f t="shared" si="3"/>
        <v>11</v>
      </c>
      <c r="B15" s="71">
        <f t="shared" si="17"/>
        <v>8</v>
      </c>
      <c r="C15" s="8" t="s">
        <v>139</v>
      </c>
      <c r="D15" s="258">
        <v>56</v>
      </c>
      <c r="E15" s="25" t="str">
        <f>IFERROR(IF(VLOOKUP($C15,'Sep 25'!$D$8:$AN$43,36,0)=0,"",VLOOKUP($C15,'Sep 25'!$D$8:$AN$43,36,0)),"")</f>
        <v/>
      </c>
      <c r="F15" s="26" t="str">
        <f>IFERROR(IF(VLOOKUP($C15,'Sep 25'!$D$8:$AN$43,37,0)=0,"",VLOOKUP($C15,'Sep 25'!$D$8:$AN$43,37,0)),"")</f>
        <v/>
      </c>
      <c r="G15" s="24"/>
      <c r="H15" s="18" t="s">
        <v>32</v>
      </c>
      <c r="I15" s="15"/>
      <c r="J15" s="18"/>
      <c r="K15" s="17" t="s">
        <v>21</v>
      </c>
      <c r="L15" s="17"/>
      <c r="M15" s="18"/>
      <c r="N15" s="233" t="s">
        <v>31</v>
      </c>
      <c r="O15" s="18"/>
      <c r="P15" s="18"/>
      <c r="Q15" s="18"/>
      <c r="R15" s="17" t="s">
        <v>34</v>
      </c>
      <c r="S15" s="16" t="s">
        <v>85</v>
      </c>
      <c r="T15" s="16" t="s">
        <v>85</v>
      </c>
      <c r="U15" s="18"/>
      <c r="V15" s="233" t="s">
        <v>34</v>
      </c>
      <c r="W15" s="15"/>
      <c r="X15" s="18"/>
      <c r="Y15" s="232" t="s">
        <v>19</v>
      </c>
      <c r="Z15" s="17"/>
      <c r="AA15" s="18"/>
      <c r="AB15" s="233" t="s">
        <v>34</v>
      </c>
      <c r="AC15" s="18"/>
      <c r="AD15" s="18"/>
      <c r="AE15" s="18"/>
      <c r="AF15" s="17" t="s">
        <v>34</v>
      </c>
      <c r="AG15" s="17"/>
      <c r="AH15" s="26"/>
      <c r="AJ15" s="27">
        <f>IFERROR(VLOOKUP($C15,'Sep 25'!$D$5:$BH$43,54,0),0)</f>
        <v>3.5</v>
      </c>
      <c r="AK15" s="21">
        <f>IFERROR(VLOOKUP($C15,'Sep 25'!$D$5:$BH$43,55,0),0)</f>
        <v>3.5</v>
      </c>
      <c r="AL15" s="21">
        <f>IFERROR(VLOOKUP($C15,'Sep 25'!$D$5:$BH$43,56,0),0)</f>
        <v>7</v>
      </c>
      <c r="AM15" s="28">
        <f>IFERROR(VLOOKUP($C15,'Sep 25'!$D$5:$BH$43,57,0),0)</f>
        <v>0</v>
      </c>
      <c r="AN15" s="37">
        <f t="shared" si="4"/>
        <v>4</v>
      </c>
      <c r="AO15" s="23">
        <f t="shared" si="5"/>
        <v>0</v>
      </c>
      <c r="AP15" s="23">
        <f t="shared" si="6"/>
        <v>2</v>
      </c>
      <c r="AQ15" s="23">
        <f t="shared" si="7"/>
        <v>0</v>
      </c>
      <c r="AR15" s="23">
        <f t="shared" si="8"/>
        <v>1</v>
      </c>
      <c r="AS15" s="278">
        <f t="shared" si="9"/>
        <v>0</v>
      </c>
      <c r="AT15" s="25">
        <f t="shared" si="10"/>
        <v>6.5</v>
      </c>
      <c r="AU15" s="18">
        <f t="shared" si="11"/>
        <v>9.5</v>
      </c>
      <c r="AV15" s="22">
        <f t="shared" si="12"/>
        <v>5</v>
      </c>
      <c r="AW15" s="18">
        <f t="shared" si="13"/>
        <v>1</v>
      </c>
      <c r="AX15" s="32">
        <f t="shared" si="14"/>
        <v>1.4615384615384615</v>
      </c>
      <c r="AY15" s="24">
        <f t="shared" si="15"/>
        <v>10</v>
      </c>
      <c r="AZ15" s="18">
        <f t="shared" si="15"/>
        <v>13</v>
      </c>
      <c r="BA15" s="18">
        <f t="shared" si="15"/>
        <v>12</v>
      </c>
      <c r="BB15" s="18">
        <f t="shared" si="15"/>
        <v>1</v>
      </c>
      <c r="BC15" s="32">
        <f t="shared" si="16"/>
        <v>1.3</v>
      </c>
    </row>
    <row r="16" spans="1:67" x14ac:dyDescent="0.2">
      <c r="A16" s="1">
        <f t="shared" si="3"/>
        <v>12</v>
      </c>
      <c r="B16" s="71">
        <f t="shared" si="17"/>
        <v>9</v>
      </c>
      <c r="C16" s="8" t="s">
        <v>143</v>
      </c>
      <c r="D16" s="258">
        <v>56</v>
      </c>
      <c r="E16" s="25" t="str">
        <f>IFERROR(IF(VLOOKUP($C16,'Sep 25'!$D$8:$AN$43,36,0)=0,"",VLOOKUP($C16,'Sep 25'!$D$8:$AN$43,36,0)),"")</f>
        <v/>
      </c>
      <c r="F16" s="26" t="str">
        <f>IFERROR(IF(VLOOKUP($C16,'Sep 25'!$D$8:$AN$43,37,0)=0,"",VLOOKUP($C16,'Sep 25'!$D$8:$AN$43,37,0)),"")</f>
        <v/>
      </c>
      <c r="G16" s="24"/>
      <c r="H16" s="18"/>
      <c r="I16" s="281" t="s">
        <v>196</v>
      </c>
      <c r="J16" s="18"/>
      <c r="K16" s="16" t="s">
        <v>85</v>
      </c>
      <c r="L16" s="16" t="s">
        <v>85</v>
      </c>
      <c r="M16" s="18" t="s">
        <v>83</v>
      </c>
      <c r="N16" s="18" t="s">
        <v>83</v>
      </c>
      <c r="O16" s="18"/>
      <c r="P16" s="15" t="s">
        <v>34</v>
      </c>
      <c r="Q16" s="18"/>
      <c r="R16" s="17"/>
      <c r="S16" s="17"/>
      <c r="T16" s="17"/>
      <c r="U16" s="18" t="s">
        <v>34</v>
      </c>
      <c r="V16" s="18"/>
      <c r="W16" s="233"/>
      <c r="X16" s="18"/>
      <c r="Y16" s="17" t="s">
        <v>34</v>
      </c>
      <c r="Z16" s="17"/>
      <c r="AA16" s="18"/>
      <c r="AB16" s="18"/>
      <c r="AC16" s="18" t="s">
        <v>34</v>
      </c>
      <c r="AD16" s="18"/>
      <c r="AE16" s="18"/>
      <c r="AF16" s="17"/>
      <c r="AG16" s="17" t="s">
        <v>77</v>
      </c>
      <c r="AH16" s="26"/>
      <c r="AJ16" s="27">
        <f>IFERROR(VLOOKUP($C16,'Sep 25'!$D$5:$BH$43,54,0),0)</f>
        <v>5</v>
      </c>
      <c r="AK16" s="21">
        <f>IFERROR(VLOOKUP($C16,'Sep 25'!$D$5:$BH$43,55,0),0)</f>
        <v>7.5</v>
      </c>
      <c r="AL16" s="21">
        <f>IFERROR(VLOOKUP($C16,'Sep 25'!$D$5:$BH$43,56,0),0)</f>
        <v>7</v>
      </c>
      <c r="AM16" s="28">
        <f>IFERROR(VLOOKUP($C16,'Sep 25'!$D$5:$BH$43,57,0),0)</f>
        <v>0</v>
      </c>
      <c r="AN16" s="37">
        <f t="shared" si="4"/>
        <v>3</v>
      </c>
      <c r="AO16" s="23">
        <f t="shared" si="5"/>
        <v>0</v>
      </c>
      <c r="AP16" s="23">
        <f t="shared" si="6"/>
        <v>1</v>
      </c>
      <c r="AQ16" s="23">
        <f t="shared" si="7"/>
        <v>0</v>
      </c>
      <c r="AR16" s="23">
        <f t="shared" si="8"/>
        <v>0</v>
      </c>
      <c r="AS16" s="278">
        <f t="shared" si="9"/>
        <v>1</v>
      </c>
      <c r="AT16" s="25">
        <f t="shared" si="10"/>
        <v>4</v>
      </c>
      <c r="AU16" s="18">
        <f t="shared" si="11"/>
        <v>5.5</v>
      </c>
      <c r="AV16" s="22">
        <f t="shared" si="12"/>
        <v>7</v>
      </c>
      <c r="AW16" s="18">
        <f t="shared" si="13"/>
        <v>0</v>
      </c>
      <c r="AX16" s="32">
        <f t="shared" si="14"/>
        <v>1.375</v>
      </c>
      <c r="AY16" s="24">
        <f t="shared" si="15"/>
        <v>9</v>
      </c>
      <c r="AZ16" s="18">
        <f t="shared" si="15"/>
        <v>13</v>
      </c>
      <c r="BA16" s="18">
        <f t="shared" si="15"/>
        <v>14</v>
      </c>
      <c r="BB16" s="18">
        <f t="shared" si="15"/>
        <v>0</v>
      </c>
      <c r="BC16" s="32">
        <f t="shared" si="16"/>
        <v>1.4444444444444444</v>
      </c>
    </row>
    <row r="17" spans="1:55" x14ac:dyDescent="0.2">
      <c r="A17" s="1">
        <f t="shared" si="3"/>
        <v>13</v>
      </c>
      <c r="B17" s="71">
        <f t="shared" si="17"/>
        <v>10</v>
      </c>
      <c r="C17" s="8" t="s">
        <v>144</v>
      </c>
      <c r="D17" s="258">
        <v>56</v>
      </c>
      <c r="E17" s="25" t="str">
        <f>IFERROR(IF(VLOOKUP($C17,'Sep 25'!$D$8:$AN$43,36,0)=0,"",VLOOKUP($C17,'Sep 25'!$D$8:$AN$43,36,0)),"")</f>
        <v/>
      </c>
      <c r="F17" s="26" t="str">
        <f>IFERROR(IF(VLOOKUP($C17,'Sep 25'!$D$8:$AN$43,37,0)=0,"",VLOOKUP($C17,'Sep 25'!$D$8:$AN$43,37,0)),"")</f>
        <v>HO2</v>
      </c>
      <c r="G17" s="24"/>
      <c r="H17" s="18"/>
      <c r="I17" s="18"/>
      <c r="J17" s="18"/>
      <c r="K17" s="17" t="s">
        <v>34</v>
      </c>
      <c r="L17" s="17"/>
      <c r="M17" s="18"/>
      <c r="N17" s="15" t="s">
        <v>34</v>
      </c>
      <c r="O17" s="18"/>
      <c r="P17" s="18"/>
      <c r="Q17" s="18"/>
      <c r="R17" s="17" t="s">
        <v>184</v>
      </c>
      <c r="S17" s="17" t="s">
        <v>184</v>
      </c>
      <c r="T17" s="17"/>
      <c r="U17" s="18" t="s">
        <v>83</v>
      </c>
      <c r="V17" s="18" t="s">
        <v>83</v>
      </c>
      <c r="W17" s="18" t="s">
        <v>83</v>
      </c>
      <c r="X17" s="18" t="s">
        <v>83</v>
      </c>
      <c r="Y17" s="16" t="s">
        <v>85</v>
      </c>
      <c r="Z17" s="16" t="s">
        <v>85</v>
      </c>
      <c r="AA17" s="18" t="s">
        <v>30</v>
      </c>
      <c r="AB17" s="18"/>
      <c r="AC17" s="18"/>
      <c r="AD17" s="18"/>
      <c r="AE17" s="18"/>
      <c r="AF17" s="17"/>
      <c r="AG17" s="17"/>
      <c r="AH17" s="26" t="s">
        <v>34</v>
      </c>
      <c r="AJ17" s="27">
        <f>IFERROR(VLOOKUP($C17,'Sep 25'!$D$5:$BH$43,54,0),0)</f>
        <v>5.5</v>
      </c>
      <c r="AK17" s="21">
        <f>IFERROR(VLOOKUP($C17,'Sep 25'!$D$5:$BH$43,55,0),0)</f>
        <v>7</v>
      </c>
      <c r="AL17" s="21">
        <f>IFERROR(VLOOKUP($C17,'Sep 25'!$D$5:$BH$43,56,0),0)</f>
        <v>8</v>
      </c>
      <c r="AM17" s="28">
        <f>IFERROR(VLOOKUP($C17,'Sep 25'!$D$5:$BH$43,57,0),0)</f>
        <v>0</v>
      </c>
      <c r="AN17" s="37">
        <f t="shared" si="4"/>
        <v>3</v>
      </c>
      <c r="AO17" s="23">
        <f t="shared" si="5"/>
        <v>0</v>
      </c>
      <c r="AP17" s="23">
        <f t="shared" si="6"/>
        <v>1</v>
      </c>
      <c r="AQ17" s="23">
        <f t="shared" si="7"/>
        <v>0</v>
      </c>
      <c r="AR17" s="23">
        <f t="shared" si="8"/>
        <v>0</v>
      </c>
      <c r="AS17" s="278">
        <f t="shared" si="9"/>
        <v>0</v>
      </c>
      <c r="AT17" s="25">
        <f t="shared" si="10"/>
        <v>4</v>
      </c>
      <c r="AU17" s="18">
        <f t="shared" si="11"/>
        <v>5.5</v>
      </c>
      <c r="AV17" s="22">
        <f t="shared" si="12"/>
        <v>6</v>
      </c>
      <c r="AW17" s="18">
        <f t="shared" si="13"/>
        <v>0</v>
      </c>
      <c r="AX17" s="32">
        <f t="shared" si="14"/>
        <v>1.375</v>
      </c>
      <c r="AY17" s="24">
        <f t="shared" si="15"/>
        <v>9.5</v>
      </c>
      <c r="AZ17" s="18">
        <f t="shared" si="15"/>
        <v>12.5</v>
      </c>
      <c r="BA17" s="18">
        <f t="shared" si="15"/>
        <v>14</v>
      </c>
      <c r="BB17" s="18">
        <f t="shared" si="15"/>
        <v>0</v>
      </c>
      <c r="BC17" s="32">
        <f t="shared" si="16"/>
        <v>1.3157894736842106</v>
      </c>
    </row>
    <row r="18" spans="1:55" x14ac:dyDescent="0.2">
      <c r="A18" s="1">
        <f>A17+1</f>
        <v>14</v>
      </c>
      <c r="B18" s="71">
        <f>B17+1</f>
        <v>11</v>
      </c>
      <c r="C18" s="8" t="s">
        <v>140</v>
      </c>
      <c r="D18" s="258">
        <v>85</v>
      </c>
      <c r="E18" s="25" t="str">
        <f>IFERROR(IF(VLOOKUP($C18,'Sep 25'!$D$8:$AN$43,36,0)=0,"",VLOOKUP($C18,'Sep 25'!$D$8:$AN$43,36,0)),"")</f>
        <v>S</v>
      </c>
      <c r="F18" s="26" t="str">
        <f>IFERROR(IF(VLOOKUP($C18,'Sep 25'!$D$8:$AN$43,37,0)=0,"",VLOOKUP($C18,'Sep 25'!$D$8:$AN$43,37,0)),"")</f>
        <v/>
      </c>
      <c r="G18" s="24"/>
      <c r="H18" s="18" t="s">
        <v>34</v>
      </c>
      <c r="I18" s="15"/>
      <c r="J18" s="18"/>
      <c r="K18" s="17" t="s">
        <v>81</v>
      </c>
      <c r="L18" s="17"/>
      <c r="M18" s="18"/>
      <c r="N18" s="18"/>
      <c r="O18" s="18"/>
      <c r="P18" s="18"/>
      <c r="Q18" s="18"/>
      <c r="R18" s="16" t="s">
        <v>85</v>
      </c>
      <c r="S18" s="17" t="s">
        <v>34</v>
      </c>
      <c r="T18" s="17"/>
      <c r="U18" s="18"/>
      <c r="V18" s="18"/>
      <c r="W18" s="18"/>
      <c r="X18" s="18" t="s">
        <v>34</v>
      </c>
      <c r="Y18" s="16" t="s">
        <v>85</v>
      </c>
      <c r="Z18" s="17"/>
      <c r="AA18" s="18" t="s">
        <v>77</v>
      </c>
      <c r="AB18" s="18"/>
      <c r="AC18" s="18"/>
      <c r="AD18" s="18" t="s">
        <v>34</v>
      </c>
      <c r="AE18" s="18"/>
      <c r="AF18" s="17"/>
      <c r="AG18" s="17" t="s">
        <v>19</v>
      </c>
      <c r="AH18" s="26"/>
      <c r="AJ18" s="27">
        <f>IFERROR(VLOOKUP($C18,'Sep 25'!$D$5:$BH$43,54,0),0)</f>
        <v>5</v>
      </c>
      <c r="AK18" s="21">
        <f>IFERROR(VLOOKUP($C18,'Sep 25'!$D$5:$BH$43,55,0),0)</f>
        <v>7.5</v>
      </c>
      <c r="AL18" s="21">
        <f>IFERROR(VLOOKUP($C18,'Sep 25'!$D$5:$BH$43,56,0),0)</f>
        <v>7</v>
      </c>
      <c r="AM18" s="28">
        <f>IFERROR(VLOOKUP($C18,'Sep 25'!$D$5:$BH$43,57,0),0)</f>
        <v>0</v>
      </c>
      <c r="AN18" s="37">
        <f t="shared" si="4"/>
        <v>2</v>
      </c>
      <c r="AO18" s="23">
        <f t="shared" si="5"/>
        <v>1</v>
      </c>
      <c r="AP18" s="23">
        <f t="shared" si="6"/>
        <v>1</v>
      </c>
      <c r="AQ18" s="23">
        <f t="shared" si="7"/>
        <v>0</v>
      </c>
      <c r="AR18" s="23">
        <f t="shared" si="8"/>
        <v>1</v>
      </c>
      <c r="AS18" s="278">
        <f t="shared" si="9"/>
        <v>1</v>
      </c>
      <c r="AT18" s="25">
        <f t="shared" si="10"/>
        <v>4.5</v>
      </c>
      <c r="AU18" s="18">
        <f t="shared" si="11"/>
        <v>6.5</v>
      </c>
      <c r="AV18" s="22">
        <f t="shared" si="12"/>
        <v>6</v>
      </c>
      <c r="AW18" s="18">
        <f t="shared" si="13"/>
        <v>1</v>
      </c>
      <c r="AX18" s="32">
        <f t="shared" si="14"/>
        <v>1.4444444444444444</v>
      </c>
      <c r="AY18" s="24">
        <f t="shared" si="15"/>
        <v>9.5</v>
      </c>
      <c r="AZ18" s="18">
        <f t="shared" si="15"/>
        <v>14</v>
      </c>
      <c r="BA18" s="18">
        <f t="shared" si="15"/>
        <v>13</v>
      </c>
      <c r="BB18" s="18">
        <f t="shared" si="15"/>
        <v>1</v>
      </c>
      <c r="BC18" s="32">
        <f t="shared" si="16"/>
        <v>1.4736842105263157</v>
      </c>
    </row>
    <row r="19" spans="1:55" x14ac:dyDescent="0.2">
      <c r="A19" s="1">
        <f t="shared" si="3"/>
        <v>15</v>
      </c>
      <c r="B19" s="71">
        <f t="shared" si="17"/>
        <v>12</v>
      </c>
      <c r="C19" s="8" t="s">
        <v>141</v>
      </c>
      <c r="D19" s="258">
        <v>85</v>
      </c>
      <c r="E19" s="25" t="str">
        <f>IFERROR(IF(VLOOKUP($C19,'Sep 25'!$D$8:$AN$43,36,0)=0,"",VLOOKUP($C19,'Sep 25'!$D$8:$AN$43,36,0)),"")</f>
        <v/>
      </c>
      <c r="F19" s="26" t="str">
        <f>IFERROR(IF(VLOOKUP($C19,'Sep 25'!$D$8:$AN$43,37,0)=0,"",VLOOKUP($C19,'Sep 25'!$D$8:$AN$43,37,0)),"")</f>
        <v/>
      </c>
      <c r="G19" s="24"/>
      <c r="H19" s="18"/>
      <c r="I19" s="18"/>
      <c r="J19" s="18"/>
      <c r="K19" s="16" t="s">
        <v>85</v>
      </c>
      <c r="L19" s="17" t="s">
        <v>34</v>
      </c>
      <c r="M19" s="18"/>
      <c r="N19" s="18"/>
      <c r="O19" s="15" t="s">
        <v>34</v>
      </c>
      <c r="P19" s="18"/>
      <c r="Q19" s="18"/>
      <c r="R19" s="16" t="s">
        <v>77</v>
      </c>
      <c r="S19" s="17"/>
      <c r="T19" s="17"/>
      <c r="U19" s="18" t="s">
        <v>29</v>
      </c>
      <c r="V19" s="18"/>
      <c r="W19" s="18"/>
      <c r="X19" s="18"/>
      <c r="Y19" s="232" t="s">
        <v>21</v>
      </c>
      <c r="Z19" s="17" t="s">
        <v>34</v>
      </c>
      <c r="AA19" s="18"/>
      <c r="AB19" s="18"/>
      <c r="AC19" s="18"/>
      <c r="AD19" s="18" t="s">
        <v>77</v>
      </c>
      <c r="AE19" s="18"/>
      <c r="AF19" s="17"/>
      <c r="AG19" s="17"/>
      <c r="AH19" s="26"/>
      <c r="AJ19" s="27">
        <f>IFERROR(VLOOKUP($C19,'Sep 25'!$D$5:$BH$43,54,0),0)</f>
        <v>5</v>
      </c>
      <c r="AK19" s="21">
        <f>IFERROR(VLOOKUP($C19,'Sep 25'!$D$5:$BH$43,55,0),0)</f>
        <v>8</v>
      </c>
      <c r="AL19" s="21">
        <f>IFERROR(VLOOKUP($C19,'Sep 25'!$D$5:$BH$43,56,0),0)</f>
        <v>7</v>
      </c>
      <c r="AM19" s="28">
        <f>IFERROR(VLOOKUP($C19,'Sep 25'!$D$5:$BH$43,57,0),0)</f>
        <v>1</v>
      </c>
      <c r="AN19" s="37">
        <f t="shared" si="4"/>
        <v>2</v>
      </c>
      <c r="AO19" s="23">
        <f t="shared" si="5"/>
        <v>0</v>
      </c>
      <c r="AP19" s="23">
        <f t="shared" si="6"/>
        <v>0</v>
      </c>
      <c r="AQ19" s="23">
        <f t="shared" si="7"/>
        <v>2</v>
      </c>
      <c r="AR19" s="23">
        <f t="shared" si="8"/>
        <v>0</v>
      </c>
      <c r="AS19" s="278">
        <f t="shared" si="9"/>
        <v>2</v>
      </c>
      <c r="AT19" s="25">
        <f t="shared" si="10"/>
        <v>4</v>
      </c>
      <c r="AU19" s="18">
        <f t="shared" si="11"/>
        <v>6</v>
      </c>
      <c r="AV19" s="22">
        <f t="shared" si="12"/>
        <v>5</v>
      </c>
      <c r="AW19" s="18">
        <f t="shared" si="13"/>
        <v>1</v>
      </c>
      <c r="AX19" s="32">
        <f t="shared" si="14"/>
        <v>1.5</v>
      </c>
      <c r="AY19" s="24">
        <f t="shared" si="15"/>
        <v>9</v>
      </c>
      <c r="AZ19" s="18">
        <f t="shared" si="15"/>
        <v>14</v>
      </c>
      <c r="BA19" s="18">
        <f t="shared" si="15"/>
        <v>12</v>
      </c>
      <c r="BB19" s="18">
        <f t="shared" si="15"/>
        <v>2</v>
      </c>
      <c r="BC19" s="32">
        <f t="shared" si="16"/>
        <v>1.5555555555555556</v>
      </c>
    </row>
    <row r="20" spans="1:55" x14ac:dyDescent="0.2">
      <c r="A20" s="1">
        <f t="shared" si="3"/>
        <v>16</v>
      </c>
      <c r="B20" s="71">
        <f t="shared" si="17"/>
        <v>13</v>
      </c>
      <c r="C20" s="11" t="s">
        <v>126</v>
      </c>
      <c r="D20" s="259">
        <v>66</v>
      </c>
      <c r="E20" s="25" t="str">
        <f>IFERROR(IF(VLOOKUP($C20,'Sep 25'!$D$8:$AN$43,36,0)=0,"",VLOOKUP($C20,'Sep 25'!$D$8:$AN$43,36,0)),"")</f>
        <v>HO3</v>
      </c>
      <c r="F20" s="26" t="str">
        <f>IFERROR(IF(VLOOKUP($C20,'Sep 25'!$D$8:$AN$43,37,0)=0,"",VLOOKUP($C20,'Sep 25'!$D$8:$AN$43,37,0)),"")</f>
        <v/>
      </c>
      <c r="G20" s="24"/>
      <c r="H20" s="18"/>
      <c r="I20" s="15" t="s">
        <v>32</v>
      </c>
      <c r="J20" s="18"/>
      <c r="K20" s="17"/>
      <c r="L20" s="17"/>
      <c r="M20" s="18"/>
      <c r="N20" s="18"/>
      <c r="O20" s="18"/>
      <c r="P20" s="15"/>
      <c r="Q20" s="18"/>
      <c r="R20" s="17" t="s">
        <v>81</v>
      </c>
      <c r="S20" s="16" t="s">
        <v>85</v>
      </c>
      <c r="T20" s="16" t="s">
        <v>85</v>
      </c>
      <c r="U20" s="18" t="s">
        <v>83</v>
      </c>
      <c r="V20" s="18" t="s">
        <v>83</v>
      </c>
      <c r="W20" s="18"/>
      <c r="X20" s="18"/>
      <c r="Y20" s="17" t="s">
        <v>77</v>
      </c>
      <c r="Z20" s="17"/>
      <c r="AA20" s="18"/>
      <c r="AB20" s="269" t="s">
        <v>182</v>
      </c>
      <c r="AC20" s="269" t="s">
        <v>182</v>
      </c>
      <c r="AD20" s="269" t="s">
        <v>182</v>
      </c>
      <c r="AE20" s="269" t="s">
        <v>182</v>
      </c>
      <c r="AF20" s="269" t="s">
        <v>182</v>
      </c>
      <c r="AG20" s="269" t="s">
        <v>182</v>
      </c>
      <c r="AH20" s="270" t="s">
        <v>182</v>
      </c>
      <c r="AJ20" s="27">
        <f>IFERROR(VLOOKUP($C20,'Sep 25'!$D$5:$BH$43,54,0),0)</f>
        <v>17</v>
      </c>
      <c r="AK20" s="21">
        <f>IFERROR(VLOOKUP($C20,'Sep 25'!$D$5:$BH$43,55,0),0)</f>
        <v>22</v>
      </c>
      <c r="AL20" s="21">
        <f>IFERROR(VLOOKUP($C20,'Sep 25'!$D$5:$BH$43,56,0),0)</f>
        <v>18</v>
      </c>
      <c r="AM20" s="28">
        <f>IFERROR(VLOOKUP($C20,'Sep 25'!$D$5:$BH$43,57,0),0)</f>
        <v>4</v>
      </c>
      <c r="AN20" s="37">
        <f t="shared" si="4"/>
        <v>1</v>
      </c>
      <c r="AO20" s="23">
        <f t="shared" si="5"/>
        <v>0</v>
      </c>
      <c r="AP20" s="23">
        <f t="shared" si="6"/>
        <v>0</v>
      </c>
      <c r="AQ20" s="23">
        <f t="shared" si="7"/>
        <v>0</v>
      </c>
      <c r="AR20" s="23">
        <f t="shared" si="8"/>
        <v>0</v>
      </c>
      <c r="AS20" s="278">
        <f t="shared" si="9"/>
        <v>1</v>
      </c>
      <c r="AT20" s="25">
        <f t="shared" si="10"/>
        <v>1</v>
      </c>
      <c r="AU20" s="18">
        <f t="shared" si="11"/>
        <v>1</v>
      </c>
      <c r="AV20" s="22">
        <f t="shared" si="12"/>
        <v>5</v>
      </c>
      <c r="AW20" s="18">
        <f t="shared" si="13"/>
        <v>1</v>
      </c>
      <c r="AX20" s="32">
        <f t="shared" si="14"/>
        <v>1</v>
      </c>
      <c r="AY20" s="24">
        <f t="shared" si="15"/>
        <v>18</v>
      </c>
      <c r="AZ20" s="18">
        <f t="shared" si="15"/>
        <v>23</v>
      </c>
      <c r="BA20" s="18">
        <f t="shared" si="15"/>
        <v>23</v>
      </c>
      <c r="BB20" s="18">
        <f t="shared" si="15"/>
        <v>5</v>
      </c>
      <c r="BC20" s="32">
        <f t="shared" si="16"/>
        <v>1.2777777777777777</v>
      </c>
    </row>
    <row r="21" spans="1:55" x14ac:dyDescent="0.2">
      <c r="A21" s="1">
        <f t="shared" si="3"/>
        <v>17</v>
      </c>
      <c r="B21" s="71">
        <f t="shared" si="17"/>
        <v>14</v>
      </c>
      <c r="C21" s="11" t="s">
        <v>148</v>
      </c>
      <c r="D21" s="259">
        <v>66</v>
      </c>
      <c r="E21" s="25" t="str">
        <f>IFERROR(IF(VLOOKUP($C21,'Sep 25'!$D$8:$AN$43,36,0)=0,"",VLOOKUP($C21,'Sep 25'!$D$8:$AN$43,36,0)),"")</f>
        <v/>
      </c>
      <c r="F21" s="26" t="str">
        <f>IFERROR(IF(VLOOKUP($C21,'Sep 25'!$D$8:$AN$43,37,0)=0,"",VLOOKUP($C21,'Sep 25'!$D$8:$AN$43,37,0)),"")</f>
        <v/>
      </c>
      <c r="G21" s="24"/>
      <c r="H21" s="18"/>
      <c r="I21" s="18"/>
      <c r="J21" s="18" t="s">
        <v>32</v>
      </c>
      <c r="K21" s="17"/>
      <c r="L21" s="17"/>
      <c r="M21" s="15" t="s">
        <v>32</v>
      </c>
      <c r="N21" s="18"/>
      <c r="O21" s="18" t="s">
        <v>83</v>
      </c>
      <c r="P21" s="18" t="s">
        <v>83</v>
      </c>
      <c r="Q21" s="18" t="s">
        <v>83</v>
      </c>
      <c r="R21" s="16" t="s">
        <v>85</v>
      </c>
      <c r="S21" s="17" t="s">
        <v>21</v>
      </c>
      <c r="T21" s="17"/>
      <c r="U21" s="15" t="s">
        <v>32</v>
      </c>
      <c r="V21" s="18"/>
      <c r="W21" s="18"/>
      <c r="X21" s="18" t="s">
        <v>77</v>
      </c>
      <c r="Y21" s="16" t="s">
        <v>85</v>
      </c>
      <c r="Z21" s="17"/>
      <c r="AA21" s="18"/>
      <c r="AB21" s="18"/>
      <c r="AC21" s="18" t="s">
        <v>32</v>
      </c>
      <c r="AD21" s="18"/>
      <c r="AE21" s="18"/>
      <c r="AF21" s="17"/>
      <c r="AG21" s="17" t="s">
        <v>32</v>
      </c>
      <c r="AH21" s="26"/>
      <c r="AJ21" s="27">
        <f>IFERROR(VLOOKUP($C21,'Sep 25'!$D$5:$BH$43,54,0),0)</f>
        <v>5</v>
      </c>
      <c r="AK21" s="21">
        <f>IFERROR(VLOOKUP($C21,'Sep 25'!$D$5:$BH$43,55,0),0)</f>
        <v>6.5</v>
      </c>
      <c r="AL21" s="21">
        <f>IFERROR(VLOOKUP($C21,'Sep 25'!$D$5:$BH$43,56,0),0)</f>
        <v>7</v>
      </c>
      <c r="AM21" s="28">
        <f>IFERROR(VLOOKUP($C21,'Sep 25'!$D$5:$BH$43,57,0),0)</f>
        <v>2</v>
      </c>
      <c r="AN21" s="37">
        <f t="shared" si="4"/>
        <v>3</v>
      </c>
      <c r="AO21" s="23">
        <f t="shared" si="5"/>
        <v>1</v>
      </c>
      <c r="AP21" s="23">
        <f t="shared" si="6"/>
        <v>0</v>
      </c>
      <c r="AQ21" s="23">
        <f t="shared" si="7"/>
        <v>1</v>
      </c>
      <c r="AR21" s="23">
        <f t="shared" si="8"/>
        <v>0</v>
      </c>
      <c r="AS21" s="278">
        <f t="shared" si="9"/>
        <v>1</v>
      </c>
      <c r="AT21" s="25">
        <f t="shared" si="10"/>
        <v>5</v>
      </c>
      <c r="AU21" s="18">
        <f t="shared" si="11"/>
        <v>6.5</v>
      </c>
      <c r="AV21" s="22">
        <f t="shared" si="12"/>
        <v>7</v>
      </c>
      <c r="AW21" s="18">
        <f t="shared" si="13"/>
        <v>1</v>
      </c>
      <c r="AX21" s="32">
        <f t="shared" si="14"/>
        <v>1.3</v>
      </c>
      <c r="AY21" s="24">
        <f t="shared" si="15"/>
        <v>10</v>
      </c>
      <c r="AZ21" s="18">
        <f t="shared" si="15"/>
        <v>13</v>
      </c>
      <c r="BA21" s="18">
        <f t="shared" si="15"/>
        <v>14</v>
      </c>
      <c r="BB21" s="18">
        <f t="shared" si="15"/>
        <v>3</v>
      </c>
      <c r="BC21" s="32">
        <f t="shared" si="16"/>
        <v>1.3</v>
      </c>
    </row>
    <row r="22" spans="1:55" x14ac:dyDescent="0.2">
      <c r="A22" s="1">
        <f t="shared" si="3"/>
        <v>18</v>
      </c>
      <c r="B22" s="71">
        <f t="shared" si="17"/>
        <v>15</v>
      </c>
      <c r="C22" s="11" t="s">
        <v>149</v>
      </c>
      <c r="D22" s="259">
        <v>66</v>
      </c>
      <c r="E22" s="25" t="str">
        <f>IFERROR(IF(VLOOKUP($C22,'Sep 25'!$D$8:$AN$43,36,0)=0,"",VLOOKUP($C22,'Sep 25'!$D$8:$AN$43,36,0)),"")</f>
        <v/>
      </c>
      <c r="F22" s="26" t="str">
        <f>IFERROR(IF(VLOOKUP($C22,'Sep 25'!$D$8:$AN$43,37,0)=0,"",VLOOKUP($C22,'Sep 25'!$D$8:$AN$43,37,0)),"")</f>
        <v/>
      </c>
      <c r="G22" s="24"/>
      <c r="H22" s="18"/>
      <c r="I22" s="18"/>
      <c r="J22" s="18" t="s">
        <v>34</v>
      </c>
      <c r="K22" s="17"/>
      <c r="L22" s="17"/>
      <c r="M22" s="18" t="s">
        <v>77</v>
      </c>
      <c r="N22" s="18"/>
      <c r="O22" s="18"/>
      <c r="P22" s="18"/>
      <c r="Q22" s="18" t="s">
        <v>32</v>
      </c>
      <c r="R22" s="17"/>
      <c r="S22" s="17"/>
      <c r="T22" s="17" t="s">
        <v>32</v>
      </c>
      <c r="U22" s="18"/>
      <c r="V22" s="18"/>
      <c r="W22" s="18"/>
      <c r="X22" s="18"/>
      <c r="Y22" s="17"/>
      <c r="Z22" s="17"/>
      <c r="AA22" s="18"/>
      <c r="AB22" s="18"/>
      <c r="AC22" s="18"/>
      <c r="AD22" s="18"/>
      <c r="AE22" s="18"/>
      <c r="AF22" s="17"/>
      <c r="AG22" s="17"/>
      <c r="AH22" s="26" t="s">
        <v>32</v>
      </c>
      <c r="AJ22" s="27">
        <f>IFERROR(VLOOKUP($C22,'Sep 25'!$D$5:$BH$43,54,0),0)</f>
        <v>6</v>
      </c>
      <c r="AK22" s="21">
        <f>IFERROR(VLOOKUP($C22,'Sep 25'!$D$5:$BH$43,55,0),0)</f>
        <v>9.5</v>
      </c>
      <c r="AL22" s="21">
        <f>IFERROR(VLOOKUP($C22,'Sep 25'!$D$5:$BH$43,56,0),0)</f>
        <v>6</v>
      </c>
      <c r="AM22" s="28">
        <f>IFERROR(VLOOKUP($C22,'Sep 25'!$D$5:$BH$43,57,0),0)</f>
        <v>1</v>
      </c>
      <c r="AN22" s="37">
        <f t="shared" si="4"/>
        <v>1</v>
      </c>
      <c r="AO22" s="23">
        <f t="shared" si="5"/>
        <v>2</v>
      </c>
      <c r="AP22" s="23">
        <f t="shared" si="6"/>
        <v>1</v>
      </c>
      <c r="AQ22" s="23">
        <f t="shared" si="7"/>
        <v>0</v>
      </c>
      <c r="AR22" s="23">
        <f t="shared" si="8"/>
        <v>0</v>
      </c>
      <c r="AS22" s="278">
        <f t="shared" si="9"/>
        <v>1</v>
      </c>
      <c r="AT22" s="25">
        <f t="shared" si="10"/>
        <v>4</v>
      </c>
      <c r="AU22" s="18">
        <f t="shared" si="11"/>
        <v>6.5</v>
      </c>
      <c r="AV22" s="22">
        <f t="shared" si="12"/>
        <v>8</v>
      </c>
      <c r="AW22" s="18">
        <f t="shared" si="13"/>
        <v>0</v>
      </c>
      <c r="AX22" s="32">
        <f t="shared" si="14"/>
        <v>1.625</v>
      </c>
      <c r="AY22" s="24">
        <f t="shared" si="15"/>
        <v>10</v>
      </c>
      <c r="AZ22" s="18">
        <f t="shared" si="15"/>
        <v>16</v>
      </c>
      <c r="BA22" s="18">
        <f t="shared" si="15"/>
        <v>14</v>
      </c>
      <c r="BB22" s="18">
        <f t="shared" si="15"/>
        <v>1</v>
      </c>
      <c r="BC22" s="32">
        <f t="shared" si="16"/>
        <v>1.6</v>
      </c>
    </row>
    <row r="23" spans="1:55" x14ac:dyDescent="0.2">
      <c r="A23" s="1">
        <f t="shared" si="3"/>
        <v>19</v>
      </c>
      <c r="B23" s="71">
        <f t="shared" si="17"/>
        <v>16</v>
      </c>
      <c r="C23" s="11" t="s">
        <v>152</v>
      </c>
      <c r="D23" s="259">
        <v>66</v>
      </c>
      <c r="E23" s="25" t="str">
        <f>IFERROR(IF(VLOOKUP($C23,'Sep 25'!$D$8:$AN$43,36,0)=0,"",VLOOKUP($C23,'Sep 25'!$D$8:$AN$43,36,0)),"")</f>
        <v/>
      </c>
      <c r="F23" s="26" t="str">
        <f>IFERROR(IF(VLOOKUP($C23,'Sep 25'!$D$8:$AN$43,37,0)=0,"",VLOOKUP($C23,'Sep 25'!$D$8:$AN$43,37,0)),"")</f>
        <v/>
      </c>
      <c r="G23" s="24"/>
      <c r="H23" s="18"/>
      <c r="I23" s="18"/>
      <c r="J23" s="18"/>
      <c r="K23" s="17" t="s">
        <v>32</v>
      </c>
      <c r="L23" s="17"/>
      <c r="M23" s="18"/>
      <c r="N23" s="18"/>
      <c r="O23" s="18"/>
      <c r="P23" s="15" t="s">
        <v>32</v>
      </c>
      <c r="Q23" s="18"/>
      <c r="R23" s="17"/>
      <c r="S23" s="17"/>
      <c r="T23" s="17"/>
      <c r="U23" s="18" t="s">
        <v>31</v>
      </c>
      <c r="V23" s="18"/>
      <c r="W23" s="18"/>
      <c r="X23" s="18"/>
      <c r="Y23" s="17"/>
      <c r="Z23" s="17" t="s">
        <v>31</v>
      </c>
      <c r="AA23" s="18"/>
      <c r="AB23" s="18"/>
      <c r="AC23" s="18"/>
      <c r="AD23" s="15" t="s">
        <v>32</v>
      </c>
      <c r="AE23" s="16" t="s">
        <v>85</v>
      </c>
      <c r="AF23" s="16" t="s">
        <v>85</v>
      </c>
      <c r="AG23" s="17"/>
      <c r="AH23" s="26"/>
      <c r="AJ23" s="27">
        <f>IFERROR(VLOOKUP($C23,'Sep 25'!$D$5:$BH$43,54,0),0)</f>
        <v>5</v>
      </c>
      <c r="AK23" s="21">
        <f>IFERROR(VLOOKUP($C23,'Sep 25'!$D$5:$BH$43,55,0),0)</f>
        <v>7</v>
      </c>
      <c r="AL23" s="21">
        <f>IFERROR(VLOOKUP($C23,'Sep 25'!$D$5:$BH$43,56,0),0)</f>
        <v>7</v>
      </c>
      <c r="AM23" s="28">
        <f>IFERROR(VLOOKUP($C23,'Sep 25'!$D$5:$BH$43,57,0),0)</f>
        <v>1</v>
      </c>
      <c r="AN23" s="37">
        <f t="shared" si="4"/>
        <v>3</v>
      </c>
      <c r="AO23" s="23">
        <f t="shared" si="5"/>
        <v>0</v>
      </c>
      <c r="AP23" s="23">
        <f t="shared" si="6"/>
        <v>1</v>
      </c>
      <c r="AQ23" s="23">
        <f t="shared" si="7"/>
        <v>1</v>
      </c>
      <c r="AR23" s="23">
        <f t="shared" si="8"/>
        <v>0</v>
      </c>
      <c r="AS23" s="278">
        <f t="shared" si="9"/>
        <v>0</v>
      </c>
      <c r="AT23" s="25">
        <f t="shared" si="10"/>
        <v>5</v>
      </c>
      <c r="AU23" s="18">
        <f t="shared" si="11"/>
        <v>7.5</v>
      </c>
      <c r="AV23" s="22">
        <f t="shared" si="12"/>
        <v>7</v>
      </c>
      <c r="AW23" s="18">
        <f t="shared" si="13"/>
        <v>0</v>
      </c>
      <c r="AX23" s="32">
        <f t="shared" si="14"/>
        <v>1.5</v>
      </c>
      <c r="AY23" s="24">
        <f t="shared" si="15"/>
        <v>10</v>
      </c>
      <c r="AZ23" s="18">
        <f t="shared" si="15"/>
        <v>14.5</v>
      </c>
      <c r="BA23" s="18">
        <f t="shared" si="15"/>
        <v>14</v>
      </c>
      <c r="BB23" s="18">
        <f t="shared" si="15"/>
        <v>1</v>
      </c>
      <c r="BC23" s="32">
        <f t="shared" si="16"/>
        <v>1.45</v>
      </c>
    </row>
    <row r="24" spans="1:55" x14ac:dyDescent="0.2">
      <c r="A24" s="1">
        <f t="shared" si="3"/>
        <v>20</v>
      </c>
      <c r="B24" s="71">
        <f t="shared" si="17"/>
        <v>17</v>
      </c>
      <c r="C24" s="11" t="s">
        <v>145</v>
      </c>
      <c r="D24" s="259">
        <v>86</v>
      </c>
      <c r="E24" s="25" t="str">
        <f>IFERROR(IF(VLOOKUP($C24,'Sep 25'!$D$8:$AN$43,36,0)=0,"",VLOOKUP($C24,'Sep 25'!$D$8:$AN$43,36,0)),"")</f>
        <v/>
      </c>
      <c r="F24" s="26" t="str">
        <f>IFERROR(IF(VLOOKUP($C24,'Sep 25'!$D$8:$AN$43,37,0)=0,"",VLOOKUP($C24,'Sep 25'!$D$8:$AN$43,37,0)),"")</f>
        <v>HO5</v>
      </c>
      <c r="G24" s="24"/>
      <c r="H24" s="18"/>
      <c r="I24" s="18"/>
      <c r="J24" s="18"/>
      <c r="K24" s="17" t="s">
        <v>31</v>
      </c>
      <c r="L24" s="17"/>
      <c r="M24" s="18"/>
      <c r="N24" s="18"/>
      <c r="O24" s="18"/>
      <c r="P24" s="18"/>
      <c r="Q24" s="18"/>
      <c r="R24" s="17" t="s">
        <v>19</v>
      </c>
      <c r="S24" s="17"/>
      <c r="T24" s="17"/>
      <c r="U24" s="18" t="s">
        <v>77</v>
      </c>
      <c r="V24" s="18"/>
      <c r="W24" s="18"/>
      <c r="X24" s="18" t="s">
        <v>30</v>
      </c>
      <c r="Y24" s="17"/>
      <c r="Z24" s="17"/>
      <c r="AA24" s="18"/>
      <c r="AB24" s="18" t="s">
        <v>31</v>
      </c>
      <c r="AC24" s="18"/>
      <c r="AD24" s="18"/>
      <c r="AE24" s="18"/>
      <c r="AF24" s="17"/>
      <c r="AG24" s="17"/>
      <c r="AH24" s="26"/>
      <c r="AJ24" s="27">
        <f>IFERROR(VLOOKUP($C24,'Sep 25'!$D$5:$BH$43,54,0),0)</f>
        <v>5</v>
      </c>
      <c r="AK24" s="21">
        <f>IFERROR(VLOOKUP($C24,'Sep 25'!$D$5:$BH$43,55,0),0)</f>
        <v>8.5</v>
      </c>
      <c r="AL24" s="21">
        <f>IFERROR(VLOOKUP($C24,'Sep 25'!$D$5:$BH$43,56,0),0)</f>
        <v>6</v>
      </c>
      <c r="AM24" s="28">
        <f>IFERROR(VLOOKUP($C24,'Sep 25'!$D$5:$BH$43,57,0),0)</f>
        <v>1</v>
      </c>
      <c r="AN24" s="37">
        <f t="shared" si="4"/>
        <v>1</v>
      </c>
      <c r="AO24" s="23">
        <f t="shared" si="5"/>
        <v>1</v>
      </c>
      <c r="AP24" s="23">
        <f t="shared" si="6"/>
        <v>1</v>
      </c>
      <c r="AQ24" s="23">
        <f t="shared" si="7"/>
        <v>0</v>
      </c>
      <c r="AR24" s="23">
        <f t="shared" si="8"/>
        <v>1</v>
      </c>
      <c r="AS24" s="278">
        <f t="shared" si="9"/>
        <v>1</v>
      </c>
      <c r="AT24" s="25">
        <f t="shared" si="10"/>
        <v>3.5</v>
      </c>
      <c r="AU24" s="18">
        <f t="shared" si="11"/>
        <v>5.5</v>
      </c>
      <c r="AV24" s="22">
        <f t="shared" si="12"/>
        <v>7</v>
      </c>
      <c r="AW24" s="18">
        <f t="shared" si="13"/>
        <v>0</v>
      </c>
      <c r="AX24" s="32">
        <f t="shared" si="14"/>
        <v>1.5714285714285714</v>
      </c>
      <c r="AY24" s="24">
        <f t="shared" si="15"/>
        <v>8.5</v>
      </c>
      <c r="AZ24" s="18">
        <f t="shared" si="15"/>
        <v>14</v>
      </c>
      <c r="BA24" s="18">
        <f t="shared" si="15"/>
        <v>13</v>
      </c>
      <c r="BB24" s="18">
        <f t="shared" si="15"/>
        <v>1</v>
      </c>
      <c r="BC24" s="32">
        <f t="shared" si="16"/>
        <v>1.6470588235294117</v>
      </c>
    </row>
    <row r="25" spans="1:55" x14ac:dyDescent="0.2">
      <c r="A25" s="1">
        <f t="shared" si="3"/>
        <v>21</v>
      </c>
      <c r="B25" s="71">
        <f t="shared" si="17"/>
        <v>18</v>
      </c>
      <c r="C25" s="11" t="s">
        <v>146</v>
      </c>
      <c r="D25" s="259">
        <v>86</v>
      </c>
      <c r="E25" s="25" t="str">
        <f>IFERROR(IF(VLOOKUP($C25,'Sep 25'!$D$8:$AN$43,36,0)=0,"",VLOOKUP($C25,'Sep 25'!$D$8:$AN$43,36,0)),"")</f>
        <v/>
      </c>
      <c r="F25" s="26" t="str">
        <f>IFERROR(IF(VLOOKUP($C25,'Sep 25'!$D$8:$AN$43,37,0)=0,"",VLOOKUP($C25,'Sep 25'!$D$8:$AN$43,37,0)),"")</f>
        <v/>
      </c>
      <c r="G25" s="24"/>
      <c r="H25" s="18" t="s">
        <v>31</v>
      </c>
      <c r="I25" s="15"/>
      <c r="J25" s="18"/>
      <c r="K25" s="17" t="s">
        <v>77</v>
      </c>
      <c r="L25" s="16" t="s">
        <v>85</v>
      </c>
      <c r="M25" s="18"/>
      <c r="N25" s="18" t="s">
        <v>83</v>
      </c>
      <c r="O25" s="18" t="s">
        <v>83</v>
      </c>
      <c r="P25" s="18"/>
      <c r="Q25" s="18"/>
      <c r="R25" s="17" t="s">
        <v>31</v>
      </c>
      <c r="S25" s="17"/>
      <c r="T25" s="17"/>
      <c r="U25" s="18"/>
      <c r="V25" s="18"/>
      <c r="W25" s="15" t="s">
        <v>31</v>
      </c>
      <c r="X25" s="244"/>
      <c r="Y25" s="16" t="s">
        <v>85</v>
      </c>
      <c r="Z25" s="17" t="s">
        <v>81</v>
      </c>
      <c r="AA25" s="18"/>
      <c r="AB25" s="18"/>
      <c r="AC25" s="18"/>
      <c r="AD25" s="18" t="s">
        <v>31</v>
      </c>
      <c r="AE25" s="18"/>
      <c r="AF25" s="17"/>
      <c r="AG25" s="17" t="s">
        <v>31</v>
      </c>
      <c r="AH25" s="26"/>
      <c r="AJ25" s="27">
        <f>IFERROR(VLOOKUP($C25,'Sep 25'!$D$5:$BH$43,54,0),0)</f>
        <v>4.5</v>
      </c>
      <c r="AK25" s="21">
        <f>IFERROR(VLOOKUP($C25,'Sep 25'!$D$5:$BH$43,55,0),0)</f>
        <v>5</v>
      </c>
      <c r="AL25" s="21">
        <f>IFERROR(VLOOKUP($C25,'Sep 25'!$D$5:$BH$43,56,0),0)</f>
        <v>7</v>
      </c>
      <c r="AM25" s="28">
        <f>IFERROR(VLOOKUP($C25,'Sep 25'!$D$5:$BH$43,57,0),0)</f>
        <v>1</v>
      </c>
      <c r="AN25" s="37">
        <f t="shared" si="4"/>
        <v>3</v>
      </c>
      <c r="AO25" s="23">
        <f t="shared" si="5"/>
        <v>0</v>
      </c>
      <c r="AP25" s="23">
        <f t="shared" si="6"/>
        <v>1</v>
      </c>
      <c r="AQ25" s="23">
        <f t="shared" si="7"/>
        <v>1</v>
      </c>
      <c r="AR25" s="23">
        <f t="shared" si="8"/>
        <v>0</v>
      </c>
      <c r="AS25" s="278">
        <f t="shared" si="9"/>
        <v>1</v>
      </c>
      <c r="AT25" s="25">
        <f t="shared" si="10"/>
        <v>5</v>
      </c>
      <c r="AU25" s="18">
        <f t="shared" si="11"/>
        <v>7.5</v>
      </c>
      <c r="AV25" s="22">
        <f t="shared" si="12"/>
        <v>5</v>
      </c>
      <c r="AW25" s="18">
        <f t="shared" si="13"/>
        <v>1</v>
      </c>
      <c r="AX25" s="32">
        <f t="shared" si="14"/>
        <v>1.5</v>
      </c>
      <c r="AY25" s="24">
        <f t="shared" si="15"/>
        <v>9.5</v>
      </c>
      <c r="AZ25" s="18">
        <f t="shared" si="15"/>
        <v>12.5</v>
      </c>
      <c r="BA25" s="18">
        <f t="shared" si="15"/>
        <v>12</v>
      </c>
      <c r="BB25" s="18">
        <f t="shared" si="15"/>
        <v>2</v>
      </c>
      <c r="BC25" s="32">
        <f t="shared" si="16"/>
        <v>1.3157894736842106</v>
      </c>
    </row>
    <row r="26" spans="1:55" x14ac:dyDescent="0.2">
      <c r="A26" s="1">
        <f t="shared" si="3"/>
        <v>22</v>
      </c>
      <c r="B26" s="71">
        <f t="shared" si="17"/>
        <v>19</v>
      </c>
      <c r="C26" s="11" t="s">
        <v>147</v>
      </c>
      <c r="D26" s="259">
        <v>86</v>
      </c>
      <c r="E26" s="25" t="str">
        <f>IFERROR(IF(VLOOKUP($C26,'Sep 25'!$D$8:$AN$43,36,0)=0,"",VLOOKUP($C26,'Sep 25'!$D$8:$AN$43,36,0)),"")</f>
        <v/>
      </c>
      <c r="F26" s="26" t="str">
        <f>IFERROR(IF(VLOOKUP($C26,'Sep 25'!$D$8:$AN$43,37,0)=0,"",VLOOKUP($C26,'Sep 25'!$D$8:$AN$43,37,0)),"")</f>
        <v/>
      </c>
      <c r="G26" s="24" t="s">
        <v>31</v>
      </c>
      <c r="H26" s="18"/>
      <c r="I26" s="18"/>
      <c r="J26" s="18" t="s">
        <v>77</v>
      </c>
      <c r="K26" s="17"/>
      <c r="L26" s="17"/>
      <c r="M26" s="15" t="s">
        <v>31</v>
      </c>
      <c r="N26" s="18"/>
      <c r="O26" s="18"/>
      <c r="P26" s="15"/>
      <c r="Q26" s="18"/>
      <c r="R26" s="16" t="s">
        <v>85</v>
      </c>
      <c r="S26" s="17" t="s">
        <v>81</v>
      </c>
      <c r="T26" s="17"/>
      <c r="U26" s="18"/>
      <c r="V26" s="18" t="s">
        <v>31</v>
      </c>
      <c r="W26" s="18"/>
      <c r="X26" s="18"/>
      <c r="Y26" s="16" t="s">
        <v>85</v>
      </c>
      <c r="Z26" s="17" t="s">
        <v>21</v>
      </c>
      <c r="AA26" s="18"/>
      <c r="AB26" s="18"/>
      <c r="AC26" s="18" t="s">
        <v>31</v>
      </c>
      <c r="AD26" s="18"/>
      <c r="AE26" s="18"/>
      <c r="AF26" s="17" t="s">
        <v>31</v>
      </c>
      <c r="AG26" s="17"/>
      <c r="AH26" s="26"/>
      <c r="AJ26" s="27">
        <f>IFERROR(VLOOKUP($C26,'Sep 25'!$D$5:$BH$43,54,0),0)</f>
        <v>5</v>
      </c>
      <c r="AK26" s="21">
        <f>IFERROR(VLOOKUP($C26,'Sep 25'!$D$5:$BH$43,55,0),0)</f>
        <v>7.5</v>
      </c>
      <c r="AL26" s="21">
        <f>IFERROR(VLOOKUP($C26,'Sep 25'!$D$5:$BH$43,56,0),0)</f>
        <v>7</v>
      </c>
      <c r="AM26" s="28">
        <f>IFERROR(VLOOKUP($C26,'Sep 25'!$D$5:$BH$43,57,0),0)</f>
        <v>1</v>
      </c>
      <c r="AN26" s="37">
        <f t="shared" si="4"/>
        <v>4</v>
      </c>
      <c r="AO26" s="23">
        <f t="shared" si="5"/>
        <v>0</v>
      </c>
      <c r="AP26" s="23">
        <f t="shared" si="6"/>
        <v>1</v>
      </c>
      <c r="AQ26" s="23">
        <f t="shared" si="7"/>
        <v>0</v>
      </c>
      <c r="AR26" s="23">
        <f t="shared" si="8"/>
        <v>0</v>
      </c>
      <c r="AS26" s="278">
        <f t="shared" si="9"/>
        <v>1</v>
      </c>
      <c r="AT26" s="25">
        <f t="shared" si="10"/>
        <v>5</v>
      </c>
      <c r="AU26" s="18">
        <f t="shared" si="11"/>
        <v>6.5</v>
      </c>
      <c r="AV26" s="22">
        <f t="shared" si="12"/>
        <v>6</v>
      </c>
      <c r="AW26" s="18">
        <f t="shared" si="13"/>
        <v>2</v>
      </c>
      <c r="AX26" s="32">
        <f t="shared" si="14"/>
        <v>1.3</v>
      </c>
      <c r="AY26" s="24">
        <f t="shared" si="15"/>
        <v>10</v>
      </c>
      <c r="AZ26" s="18">
        <f t="shared" si="15"/>
        <v>14</v>
      </c>
      <c r="BA26" s="18">
        <f t="shared" si="15"/>
        <v>13</v>
      </c>
      <c r="BB26" s="18">
        <f t="shared" si="15"/>
        <v>3</v>
      </c>
      <c r="BC26" s="32">
        <f t="shared" si="16"/>
        <v>1.4</v>
      </c>
    </row>
    <row r="27" spans="1:55" x14ac:dyDescent="0.2">
      <c r="A27" s="1">
        <f t="shared" si="3"/>
        <v>23</v>
      </c>
      <c r="B27" s="71">
        <f t="shared" si="17"/>
        <v>20</v>
      </c>
      <c r="C27" s="11" t="s">
        <v>150</v>
      </c>
      <c r="D27" s="259">
        <v>41</v>
      </c>
      <c r="E27" s="25" t="str">
        <f>IFERROR(IF(VLOOKUP($C27,'Sep 25'!$D$8:$AN$43,36,0)=0,"",VLOOKUP($C27,'Sep 25'!$D$8:$AN$43,36,0)),"")</f>
        <v/>
      </c>
      <c r="F27" s="26" t="str">
        <f>IFERROR(IF(VLOOKUP($C27,'Sep 25'!$D$8:$AN$43,37,0)=0,"",VLOOKUP($C27,'Sep 25'!$D$8:$AN$43,37,0)),"")</f>
        <v/>
      </c>
      <c r="G27" s="24" t="s">
        <v>32</v>
      </c>
      <c r="H27" s="18"/>
      <c r="I27" s="18"/>
      <c r="J27" s="18"/>
      <c r="K27" s="17"/>
      <c r="L27" s="17" t="s">
        <v>32</v>
      </c>
      <c r="M27" s="233"/>
      <c r="N27" s="18"/>
      <c r="O27" s="18"/>
      <c r="P27" s="18"/>
      <c r="Q27" s="18"/>
      <c r="R27" s="17" t="s">
        <v>32</v>
      </c>
      <c r="S27" s="17"/>
      <c r="T27" s="17"/>
      <c r="U27" s="18"/>
      <c r="V27" s="18"/>
      <c r="W27" s="18"/>
      <c r="X27" s="18" t="s">
        <v>32</v>
      </c>
      <c r="Y27" s="17"/>
      <c r="Z27" s="17"/>
      <c r="AA27" s="18"/>
      <c r="AB27" s="18" t="s">
        <v>77</v>
      </c>
      <c r="AC27" s="18"/>
      <c r="AD27" s="18"/>
      <c r="AE27" s="18" t="s">
        <v>32</v>
      </c>
      <c r="AF27" s="17"/>
      <c r="AG27" s="17"/>
      <c r="AH27" s="26" t="s">
        <v>77</v>
      </c>
      <c r="AJ27" s="27">
        <f>IFERROR(VLOOKUP($C27,'Sep 25'!$D$5:$BH$43,54,0),0)</f>
        <v>4.5</v>
      </c>
      <c r="AK27" s="21">
        <f>IFERROR(VLOOKUP($C27,'Sep 25'!$D$5:$BH$43,55,0),0)</f>
        <v>6.5</v>
      </c>
      <c r="AL27" s="21">
        <f>IFERROR(VLOOKUP($C27,'Sep 25'!$D$5:$BH$43,56,0),0)</f>
        <v>7</v>
      </c>
      <c r="AM27" s="28">
        <f>IFERROR(VLOOKUP($C27,'Sep 25'!$D$5:$BH$43,57,0),0)</f>
        <v>0</v>
      </c>
      <c r="AN27" s="37">
        <f t="shared" si="4"/>
        <v>1</v>
      </c>
      <c r="AO27" s="23">
        <f t="shared" si="5"/>
        <v>2</v>
      </c>
      <c r="AP27" s="23">
        <f t="shared" si="6"/>
        <v>1</v>
      </c>
      <c r="AQ27" s="23">
        <f t="shared" si="7"/>
        <v>1</v>
      </c>
      <c r="AR27" s="23">
        <f t="shared" si="8"/>
        <v>0</v>
      </c>
      <c r="AS27" s="278">
        <f t="shared" si="9"/>
        <v>2</v>
      </c>
      <c r="AT27" s="25">
        <f t="shared" si="10"/>
        <v>5</v>
      </c>
      <c r="AU27" s="18">
        <f t="shared" si="11"/>
        <v>8.5</v>
      </c>
      <c r="AV27" s="22">
        <f t="shared" si="12"/>
        <v>7</v>
      </c>
      <c r="AW27" s="18">
        <f t="shared" si="13"/>
        <v>0</v>
      </c>
      <c r="AX27" s="32">
        <f t="shared" si="14"/>
        <v>1.7</v>
      </c>
      <c r="AY27" s="24">
        <f t="shared" si="15"/>
        <v>9.5</v>
      </c>
      <c r="AZ27" s="18">
        <f t="shared" si="15"/>
        <v>15</v>
      </c>
      <c r="BA27" s="18">
        <f t="shared" si="15"/>
        <v>14</v>
      </c>
      <c r="BB27" s="18">
        <f t="shared" si="15"/>
        <v>0</v>
      </c>
      <c r="BC27" s="32">
        <f t="shared" si="16"/>
        <v>1.5789473684210527</v>
      </c>
    </row>
    <row r="28" spans="1:55" x14ac:dyDescent="0.2">
      <c r="A28" s="1">
        <f t="shared" si="3"/>
        <v>24</v>
      </c>
      <c r="B28" s="71">
        <f t="shared" si="17"/>
        <v>21</v>
      </c>
      <c r="C28" s="13" t="s">
        <v>154</v>
      </c>
      <c r="D28" s="260">
        <v>62</v>
      </c>
      <c r="E28" s="25" t="str">
        <f>IFERROR(IF(VLOOKUP($C28,'Sep 25'!$D$8:$AN$43,36,0)=0,"",VLOOKUP($C28,'Sep 25'!$D$8:$AN$43,36,0)),"")</f>
        <v>HO5</v>
      </c>
      <c r="F28" s="26" t="str">
        <f>IFERROR(IF(VLOOKUP($C28,'Sep 25'!$D$8:$AN$43,37,0)=0,"",VLOOKUP($C28,'Sep 25'!$D$8:$AN$43,37,0)),"")</f>
        <v/>
      </c>
      <c r="G28" s="24"/>
      <c r="H28" s="18"/>
      <c r="I28" s="18"/>
      <c r="J28" s="18" t="s">
        <v>83</v>
      </c>
      <c r="K28" s="16" t="s">
        <v>85</v>
      </c>
      <c r="L28" s="17"/>
      <c r="M28" s="15" t="s">
        <v>29</v>
      </c>
      <c r="N28" s="18"/>
      <c r="O28" s="18"/>
      <c r="P28" s="18"/>
      <c r="Q28" s="18"/>
      <c r="R28" s="16" t="s">
        <v>85</v>
      </c>
      <c r="S28" s="17" t="s">
        <v>32</v>
      </c>
      <c r="T28" s="17"/>
      <c r="U28" s="18"/>
      <c r="V28" s="18"/>
      <c r="W28" s="18"/>
      <c r="X28" s="18" t="s">
        <v>29</v>
      </c>
      <c r="Y28" s="17"/>
      <c r="Z28" s="17"/>
      <c r="AA28" s="18" t="s">
        <v>29</v>
      </c>
      <c r="AB28" s="18"/>
      <c r="AC28" s="18"/>
      <c r="AD28" s="18"/>
      <c r="AE28" s="18"/>
      <c r="AF28" s="17" t="s">
        <v>32</v>
      </c>
      <c r="AG28" s="17"/>
      <c r="AH28" s="26"/>
      <c r="AJ28" s="27">
        <f>IFERROR(VLOOKUP($C28,'Sep 25'!$D$5:$BH$43,54,0),0)</f>
        <v>4</v>
      </c>
      <c r="AK28" s="21">
        <f>IFERROR(VLOOKUP($C28,'Sep 25'!$D$5:$BH$43,55,0),0)</f>
        <v>6.5</v>
      </c>
      <c r="AL28" s="21">
        <f>IFERROR(VLOOKUP($C28,'Sep 25'!$D$5:$BH$43,56,0),0)</f>
        <v>6</v>
      </c>
      <c r="AM28" s="28">
        <f>IFERROR(VLOOKUP($C28,'Sep 25'!$D$5:$BH$43,57,0),0)</f>
        <v>1</v>
      </c>
      <c r="AN28" s="37">
        <f t="shared" si="4"/>
        <v>2</v>
      </c>
      <c r="AO28" s="23">
        <f t="shared" si="5"/>
        <v>1</v>
      </c>
      <c r="AP28" s="23">
        <f t="shared" si="6"/>
        <v>2</v>
      </c>
      <c r="AQ28" s="23">
        <f t="shared" si="7"/>
        <v>0</v>
      </c>
      <c r="AR28" s="23">
        <f t="shared" si="8"/>
        <v>0</v>
      </c>
      <c r="AS28" s="278">
        <f t="shared" si="9"/>
        <v>0</v>
      </c>
      <c r="AT28" s="25">
        <f t="shared" si="10"/>
        <v>5</v>
      </c>
      <c r="AU28" s="18">
        <f t="shared" si="11"/>
        <v>8.5</v>
      </c>
      <c r="AV28" s="22">
        <f t="shared" si="12"/>
        <v>7</v>
      </c>
      <c r="AW28" s="18">
        <f t="shared" si="13"/>
        <v>0</v>
      </c>
      <c r="AX28" s="32">
        <f t="shared" si="14"/>
        <v>1.7</v>
      </c>
      <c r="AY28" s="24">
        <f t="shared" si="15"/>
        <v>9</v>
      </c>
      <c r="AZ28" s="18">
        <f t="shared" si="15"/>
        <v>15</v>
      </c>
      <c r="BA28" s="18">
        <f t="shared" si="15"/>
        <v>13</v>
      </c>
      <c r="BB28" s="18">
        <f t="shared" si="15"/>
        <v>1</v>
      </c>
      <c r="BC28" s="32">
        <f t="shared" si="16"/>
        <v>1.6666666666666667</v>
      </c>
    </row>
    <row r="29" spans="1:55" x14ac:dyDescent="0.2">
      <c r="A29" s="1">
        <f t="shared" si="3"/>
        <v>25</v>
      </c>
      <c r="B29" s="71">
        <f t="shared" si="17"/>
        <v>22</v>
      </c>
      <c r="C29" s="13" t="s">
        <v>155</v>
      </c>
      <c r="D29" s="260">
        <v>62</v>
      </c>
      <c r="E29" s="25" t="str">
        <f>IFERROR(IF(VLOOKUP($C29,'Sep 25'!$D$8:$AN$43,36,0)=0,"",VLOOKUP($C29,'Sep 25'!$D$8:$AN$43,36,0)),"")</f>
        <v/>
      </c>
      <c r="F29" s="26" t="str">
        <f>IFERROR(IF(VLOOKUP($C29,'Sep 25'!$D$8:$AN$43,37,0)=0,"",VLOOKUP($C29,'Sep 25'!$D$8:$AN$43,37,0)),"")</f>
        <v>X</v>
      </c>
      <c r="G29" s="24"/>
      <c r="H29" s="18"/>
      <c r="I29" s="18"/>
      <c r="J29" s="15" t="s">
        <v>29</v>
      </c>
      <c r="K29" s="16" t="s">
        <v>85</v>
      </c>
      <c r="L29" s="17"/>
      <c r="M29" s="18"/>
      <c r="N29" s="18"/>
      <c r="O29" s="18" t="s">
        <v>32</v>
      </c>
      <c r="P29" s="18"/>
      <c r="Q29" s="18"/>
      <c r="R29" s="17" t="s">
        <v>21</v>
      </c>
      <c r="S29" s="17" t="s">
        <v>19</v>
      </c>
      <c r="T29" s="17"/>
      <c r="U29" s="18"/>
      <c r="V29" s="18"/>
      <c r="W29" s="18"/>
      <c r="X29" s="18"/>
      <c r="Y29" s="17" t="s">
        <v>32</v>
      </c>
      <c r="Z29" s="17"/>
      <c r="AA29" s="18"/>
      <c r="AB29" s="18"/>
      <c r="AC29" s="18" t="s">
        <v>29</v>
      </c>
      <c r="AD29" s="18"/>
      <c r="AE29" s="18"/>
      <c r="AF29" s="17"/>
      <c r="AG29" s="17" t="s">
        <v>30</v>
      </c>
      <c r="AH29" s="26"/>
      <c r="AJ29" s="27">
        <f>IFERROR(VLOOKUP($C29,'Sep 25'!$D$5:$BH$43,54,0),0)</f>
        <v>4</v>
      </c>
      <c r="AK29" s="21">
        <f>IFERROR(VLOOKUP($C29,'Sep 25'!$D$5:$BH$43,55,0),0)</f>
        <v>6.5</v>
      </c>
      <c r="AL29" s="21">
        <f>IFERROR(VLOOKUP($C29,'Sep 25'!$D$5:$BH$43,56,0),0)</f>
        <v>5</v>
      </c>
      <c r="AM29" s="28">
        <f>IFERROR(VLOOKUP($C29,'Sep 25'!$D$5:$BH$43,57,0),0)</f>
        <v>1</v>
      </c>
      <c r="AN29" s="37">
        <f t="shared" si="4"/>
        <v>2</v>
      </c>
      <c r="AO29" s="23">
        <f t="shared" si="5"/>
        <v>1</v>
      </c>
      <c r="AP29" s="23">
        <f t="shared" si="6"/>
        <v>1</v>
      </c>
      <c r="AQ29" s="23">
        <f t="shared" si="7"/>
        <v>1</v>
      </c>
      <c r="AR29" s="23">
        <f t="shared" si="8"/>
        <v>1</v>
      </c>
      <c r="AS29" s="278">
        <f t="shared" si="9"/>
        <v>0</v>
      </c>
      <c r="AT29" s="25">
        <f t="shared" si="10"/>
        <v>5.5</v>
      </c>
      <c r="AU29" s="18">
        <f t="shared" si="11"/>
        <v>8.5</v>
      </c>
      <c r="AV29" s="22">
        <f t="shared" si="12"/>
        <v>5</v>
      </c>
      <c r="AW29" s="18">
        <f t="shared" si="13"/>
        <v>1</v>
      </c>
      <c r="AX29" s="32">
        <f t="shared" si="14"/>
        <v>1.5454545454545454</v>
      </c>
      <c r="AY29" s="24">
        <f t="shared" si="15"/>
        <v>9.5</v>
      </c>
      <c r="AZ29" s="18">
        <f t="shared" si="15"/>
        <v>15</v>
      </c>
      <c r="BA29" s="18">
        <f t="shared" si="15"/>
        <v>10</v>
      </c>
      <c r="BB29" s="18">
        <f t="shared" si="15"/>
        <v>2</v>
      </c>
      <c r="BC29" s="32">
        <f t="shared" si="16"/>
        <v>1.5789473684210527</v>
      </c>
    </row>
    <row r="30" spans="1:55" x14ac:dyDescent="0.2">
      <c r="A30" s="1">
        <f t="shared" si="3"/>
        <v>26</v>
      </c>
      <c r="B30" s="71">
        <f t="shared" si="17"/>
        <v>23</v>
      </c>
      <c r="C30" s="13" t="s">
        <v>156</v>
      </c>
      <c r="D30" s="260">
        <v>62</v>
      </c>
      <c r="E30" s="25" t="str">
        <f>IFERROR(IF(VLOOKUP($C30,'Sep 25'!$D$8:$AN$43,36,0)=0,"",VLOOKUP($C30,'Sep 25'!$D$8:$AN$43,36,0)),"")</f>
        <v>WR3</v>
      </c>
      <c r="F30" s="26" t="str">
        <f>IFERROR(IF(VLOOKUP($C30,'Sep 25'!$D$8:$AN$43,37,0)=0,"",VLOOKUP($C30,'Sep 25'!$D$8:$AN$43,37,0)),"")</f>
        <v>X</v>
      </c>
      <c r="G30" s="24"/>
      <c r="H30" s="18"/>
      <c r="I30" s="18"/>
      <c r="J30" s="18"/>
      <c r="K30" s="17"/>
      <c r="L30" s="281" t="s">
        <v>29</v>
      </c>
      <c r="M30" s="18"/>
      <c r="N30" s="18"/>
      <c r="O30" s="18"/>
      <c r="P30" s="18"/>
      <c r="Q30" s="233"/>
      <c r="R30" s="16" t="s">
        <v>85</v>
      </c>
      <c r="S30" s="17" t="s">
        <v>20</v>
      </c>
      <c r="T30" s="17" t="s">
        <v>77</v>
      </c>
      <c r="U30" s="18"/>
      <c r="V30" s="18"/>
      <c r="W30" s="18"/>
      <c r="X30" s="18"/>
      <c r="Y30" s="17" t="s">
        <v>31</v>
      </c>
      <c r="Z30" s="17"/>
      <c r="AA30" s="18"/>
      <c r="AB30" s="18" t="s">
        <v>32</v>
      </c>
      <c r="AC30" s="18"/>
      <c r="AD30" s="18"/>
      <c r="AE30" s="18" t="s">
        <v>31</v>
      </c>
      <c r="AF30" s="17"/>
      <c r="AG30" s="17"/>
      <c r="AH30" s="26" t="s">
        <v>29</v>
      </c>
      <c r="AJ30" s="27">
        <f>IFERROR(VLOOKUP($C30,'Sep 25'!$D$5:$BH$43,54,0),0)</f>
        <v>5</v>
      </c>
      <c r="AK30" s="21">
        <f>IFERROR(VLOOKUP($C30,'Sep 25'!$D$5:$BH$43,55,0),0)</f>
        <v>7</v>
      </c>
      <c r="AL30" s="21">
        <f>IFERROR(VLOOKUP($C30,'Sep 25'!$D$5:$BH$43,56,0),0)</f>
        <v>7</v>
      </c>
      <c r="AM30" s="28">
        <f>IFERROR(VLOOKUP($C30,'Sep 25'!$D$5:$BH$43,57,0),0)</f>
        <v>1</v>
      </c>
      <c r="AN30" s="37">
        <f t="shared" si="4"/>
        <v>2</v>
      </c>
      <c r="AO30" s="23">
        <f t="shared" si="5"/>
        <v>1</v>
      </c>
      <c r="AP30" s="23">
        <f t="shared" si="6"/>
        <v>1</v>
      </c>
      <c r="AQ30" s="23">
        <f t="shared" si="7"/>
        <v>1</v>
      </c>
      <c r="AR30" s="23">
        <f t="shared" si="8"/>
        <v>0</v>
      </c>
      <c r="AS30" s="278">
        <f t="shared" si="9"/>
        <v>1</v>
      </c>
      <c r="AT30" s="25">
        <f t="shared" si="10"/>
        <v>5</v>
      </c>
      <c r="AU30" s="18">
        <f t="shared" si="11"/>
        <v>8</v>
      </c>
      <c r="AV30" s="22">
        <f t="shared" si="12"/>
        <v>5</v>
      </c>
      <c r="AW30" s="18">
        <f t="shared" si="13"/>
        <v>1</v>
      </c>
      <c r="AX30" s="32">
        <f t="shared" si="14"/>
        <v>1.6</v>
      </c>
      <c r="AY30" s="24">
        <f t="shared" si="15"/>
        <v>10</v>
      </c>
      <c r="AZ30" s="18">
        <f t="shared" si="15"/>
        <v>15</v>
      </c>
      <c r="BA30" s="18">
        <f t="shared" si="15"/>
        <v>12</v>
      </c>
      <c r="BB30" s="18">
        <f t="shared" si="15"/>
        <v>2</v>
      </c>
      <c r="BC30" s="32">
        <f t="shared" si="16"/>
        <v>1.5</v>
      </c>
    </row>
    <row r="31" spans="1:55" x14ac:dyDescent="0.2">
      <c r="A31" s="1">
        <f t="shared" si="3"/>
        <v>27</v>
      </c>
      <c r="B31" s="71">
        <f t="shared" si="17"/>
        <v>24</v>
      </c>
      <c r="C31" s="13" t="s">
        <v>157</v>
      </c>
      <c r="D31" s="260">
        <v>62</v>
      </c>
      <c r="E31" s="25" t="str">
        <f>IFERROR(IF(VLOOKUP($C31,'Sep 25'!$D$8:$AN$43,36,0)=0,"",VLOOKUP($C31,'Sep 25'!$D$8:$AN$43,36,0)),"")</f>
        <v/>
      </c>
      <c r="F31" s="26" t="str">
        <f>IFERROR(IF(VLOOKUP($C31,'Sep 25'!$D$8:$AN$43,37,0)=0,"",VLOOKUP($C31,'Sep 25'!$D$8:$AN$43,37,0)),"")</f>
        <v/>
      </c>
      <c r="G31" s="24" t="s">
        <v>29</v>
      </c>
      <c r="H31" s="18"/>
      <c r="I31" s="18"/>
      <c r="J31" s="18"/>
      <c r="K31" s="17"/>
      <c r="L31" s="17" t="s">
        <v>21</v>
      </c>
      <c r="M31" s="18"/>
      <c r="N31" s="15" t="s">
        <v>29</v>
      </c>
      <c r="O31" s="18"/>
      <c r="P31" s="18"/>
      <c r="Q31" s="18"/>
      <c r="R31" s="17" t="s">
        <v>29</v>
      </c>
      <c r="S31" s="17"/>
      <c r="T31" s="17"/>
      <c r="U31" s="18"/>
      <c r="V31" s="18"/>
      <c r="W31" s="233" t="s">
        <v>29</v>
      </c>
      <c r="X31" s="18"/>
      <c r="Y31" s="16" t="s">
        <v>85</v>
      </c>
      <c r="Z31" s="16" t="s">
        <v>85</v>
      </c>
      <c r="AA31" s="233" t="s">
        <v>34</v>
      </c>
      <c r="AB31" s="18"/>
      <c r="AC31" s="18"/>
      <c r="AD31" s="18"/>
      <c r="AE31" s="18" t="s">
        <v>29</v>
      </c>
      <c r="AF31" s="17"/>
      <c r="AG31" s="17"/>
      <c r="AH31" s="26"/>
      <c r="AJ31" s="27">
        <f>IFERROR(VLOOKUP($C31,'Sep 25'!$D$5:$BH$43,54,0),0)</f>
        <v>5</v>
      </c>
      <c r="AK31" s="21">
        <f>IFERROR(VLOOKUP($C31,'Sep 25'!$D$5:$BH$43,55,0),0)</f>
        <v>7</v>
      </c>
      <c r="AL31" s="21">
        <f>IFERROR(VLOOKUP($C31,'Sep 25'!$D$5:$BH$43,56,0),0)</f>
        <v>7</v>
      </c>
      <c r="AM31" s="28">
        <f>IFERROR(VLOOKUP($C31,'Sep 25'!$D$5:$BH$43,57,0),0)</f>
        <v>1</v>
      </c>
      <c r="AN31" s="37">
        <f t="shared" si="4"/>
        <v>4</v>
      </c>
      <c r="AO31" s="23">
        <f t="shared" si="5"/>
        <v>1</v>
      </c>
      <c r="AP31" s="23">
        <f t="shared" si="6"/>
        <v>1</v>
      </c>
      <c r="AQ31" s="23">
        <f t="shared" si="7"/>
        <v>0</v>
      </c>
      <c r="AR31" s="23">
        <f t="shared" si="8"/>
        <v>0</v>
      </c>
      <c r="AS31" s="278">
        <f t="shared" si="9"/>
        <v>0</v>
      </c>
      <c r="AT31" s="25">
        <f t="shared" si="10"/>
        <v>6</v>
      </c>
      <c r="AU31" s="18">
        <f t="shared" si="11"/>
        <v>8</v>
      </c>
      <c r="AV31" s="22">
        <f t="shared" si="12"/>
        <v>7</v>
      </c>
      <c r="AW31" s="18">
        <f t="shared" si="13"/>
        <v>1</v>
      </c>
      <c r="AX31" s="32">
        <f t="shared" si="14"/>
        <v>1.3333333333333333</v>
      </c>
      <c r="AY31" s="24">
        <f t="shared" si="15"/>
        <v>11</v>
      </c>
      <c r="AZ31" s="18">
        <f t="shared" si="15"/>
        <v>15</v>
      </c>
      <c r="BA31" s="18">
        <f t="shared" si="15"/>
        <v>14</v>
      </c>
      <c r="BB31" s="18">
        <f t="shared" si="15"/>
        <v>2</v>
      </c>
      <c r="BC31" s="32">
        <f t="shared" si="16"/>
        <v>1.3636363636363635</v>
      </c>
    </row>
    <row r="32" spans="1:55" x14ac:dyDescent="0.2">
      <c r="A32" s="1">
        <f t="shared" si="3"/>
        <v>28</v>
      </c>
      <c r="B32" s="71">
        <f t="shared" si="17"/>
        <v>25</v>
      </c>
      <c r="C32" s="13" t="s">
        <v>142</v>
      </c>
      <c r="D32" s="260">
        <v>62</v>
      </c>
      <c r="E32" s="25" t="str">
        <f>IFERROR(IF(VLOOKUP($C32,'Sep 25'!$D$8:$AN$43,36,0)=0,"",VLOOKUP($C32,'Sep 25'!$D$8:$AN$43,36,0)),"")</f>
        <v/>
      </c>
      <c r="F32" s="26" t="str">
        <f>IFERROR(IF(VLOOKUP($C32,'Sep 25'!$D$8:$AN$43,37,0)=0,"",VLOOKUP($C32,'Sep 25'!$D$8:$AN$43,37,0)),"")</f>
        <v/>
      </c>
      <c r="G32" s="24"/>
      <c r="H32" s="18"/>
      <c r="I32" s="18"/>
      <c r="J32" s="18"/>
      <c r="K32" s="17" t="s">
        <v>29</v>
      </c>
      <c r="L32" s="17"/>
      <c r="M32" s="18"/>
      <c r="N32" s="18"/>
      <c r="O32" s="18" t="s">
        <v>77</v>
      </c>
      <c r="P32" s="15"/>
      <c r="Q32" s="18"/>
      <c r="R32" s="16" t="s">
        <v>85</v>
      </c>
      <c r="S32" s="17" t="s">
        <v>29</v>
      </c>
      <c r="T32" s="17"/>
      <c r="U32" s="18"/>
      <c r="V32" s="18"/>
      <c r="W32" s="18"/>
      <c r="X32" s="18" t="s">
        <v>31</v>
      </c>
      <c r="Y32" s="17"/>
      <c r="Z32" s="17"/>
      <c r="AA32" s="18"/>
      <c r="AB32" s="15" t="s">
        <v>29</v>
      </c>
      <c r="AC32" s="16" t="s">
        <v>85</v>
      </c>
      <c r="AD32" s="18" t="s">
        <v>83</v>
      </c>
      <c r="AE32" s="18" t="s">
        <v>83</v>
      </c>
      <c r="AF32" s="17" t="s">
        <v>77</v>
      </c>
      <c r="AG32" s="17"/>
      <c r="AH32" s="26"/>
      <c r="AJ32" s="27">
        <f>IFERROR(VLOOKUP($C32,'Sep 25'!$D$5:$BH$43,54,0),0)</f>
        <v>5</v>
      </c>
      <c r="AK32" s="21">
        <f>IFERROR(VLOOKUP($C32,'Sep 25'!$D$5:$BH$43,55,0),0)</f>
        <v>6</v>
      </c>
      <c r="AL32" s="21">
        <f>IFERROR(VLOOKUP($C32,'Sep 25'!$D$5:$BH$43,56,0),0)</f>
        <v>7</v>
      </c>
      <c r="AM32" s="28">
        <f>IFERROR(VLOOKUP($C32,'Sep 25'!$D$5:$BH$43,57,0),0)</f>
        <v>1</v>
      </c>
      <c r="AN32" s="37">
        <f t="shared" si="4"/>
        <v>1</v>
      </c>
      <c r="AO32" s="23">
        <f t="shared" si="5"/>
        <v>1</v>
      </c>
      <c r="AP32" s="23">
        <f t="shared" si="6"/>
        <v>2</v>
      </c>
      <c r="AQ32" s="23">
        <f t="shared" si="7"/>
        <v>0</v>
      </c>
      <c r="AR32" s="23">
        <f t="shared" si="8"/>
        <v>0</v>
      </c>
      <c r="AS32" s="278">
        <f t="shared" si="9"/>
        <v>2</v>
      </c>
      <c r="AT32" s="25">
        <f t="shared" si="10"/>
        <v>4</v>
      </c>
      <c r="AU32" s="18">
        <f t="shared" si="11"/>
        <v>7.5</v>
      </c>
      <c r="AV32" s="22">
        <f t="shared" si="12"/>
        <v>6</v>
      </c>
      <c r="AW32" s="18">
        <f t="shared" si="13"/>
        <v>0</v>
      </c>
      <c r="AX32" s="32">
        <f t="shared" si="14"/>
        <v>1.875</v>
      </c>
      <c r="AY32" s="24">
        <f t="shared" si="15"/>
        <v>9</v>
      </c>
      <c r="AZ32" s="18">
        <f t="shared" si="15"/>
        <v>13.5</v>
      </c>
      <c r="BA32" s="18">
        <f t="shared" si="15"/>
        <v>13</v>
      </c>
      <c r="BB32" s="18">
        <f t="shared" si="15"/>
        <v>1</v>
      </c>
      <c r="BC32" s="32">
        <f t="shared" si="16"/>
        <v>1.5</v>
      </c>
    </row>
    <row r="33" spans="1:55" x14ac:dyDescent="0.2">
      <c r="A33" s="1">
        <f t="shared" si="3"/>
        <v>29</v>
      </c>
      <c r="B33" s="71">
        <f t="shared" si="17"/>
        <v>26</v>
      </c>
      <c r="C33" s="13" t="s">
        <v>125</v>
      </c>
      <c r="D33" s="260">
        <v>75</v>
      </c>
      <c r="E33" s="25" t="str">
        <f>IFERROR(IF(VLOOKUP($C33,'Sep 25'!$D$8:$AN$43,36,0)=0,"",VLOOKUP($C33,'Sep 25'!$D$8:$AN$43,36,0)),"")</f>
        <v>X</v>
      </c>
      <c r="F33" s="26" t="str">
        <f>IFERROR(IF(VLOOKUP($C33,'Sep 25'!$D$8:$AN$43,37,0)=0,"",VLOOKUP($C33,'Sep 25'!$D$8:$AN$43,37,0)),"")</f>
        <v>AL</v>
      </c>
      <c r="G33" s="24"/>
      <c r="H33" s="18"/>
      <c r="I33" s="281" t="s">
        <v>34</v>
      </c>
      <c r="J33" s="18"/>
      <c r="K33" s="17"/>
      <c r="L33" s="232" t="s">
        <v>31</v>
      </c>
      <c r="M33" s="18"/>
      <c r="N33" s="18"/>
      <c r="O33" s="18"/>
      <c r="P33" s="15" t="s">
        <v>29</v>
      </c>
      <c r="Q33" s="18"/>
      <c r="R33" s="17"/>
      <c r="S33" s="17" t="s">
        <v>77</v>
      </c>
      <c r="T33" s="17"/>
      <c r="U33" s="18"/>
      <c r="V33" s="18"/>
      <c r="W33" s="233" t="s">
        <v>77</v>
      </c>
      <c r="X33" s="18"/>
      <c r="Y33" s="17"/>
      <c r="Z33" s="17"/>
      <c r="AA33" s="18"/>
      <c r="AB33" s="269" t="s">
        <v>182</v>
      </c>
      <c r="AC33" s="269" t="s">
        <v>182</v>
      </c>
      <c r="AD33" s="269" t="s">
        <v>182</v>
      </c>
      <c r="AE33" s="269" t="s">
        <v>182</v>
      </c>
      <c r="AF33" s="269" t="s">
        <v>182</v>
      </c>
      <c r="AG33" s="269" t="s">
        <v>182</v>
      </c>
      <c r="AH33" s="270" t="s">
        <v>182</v>
      </c>
      <c r="AJ33" s="27">
        <f>IFERROR(VLOOKUP($C33,'Sep 25'!$D$5:$BH$43,54,0),0)</f>
        <v>14.5</v>
      </c>
      <c r="AK33" s="21">
        <f>IFERROR(VLOOKUP($C33,'Sep 25'!$D$5:$BH$43,55,0),0)</f>
        <v>18</v>
      </c>
      <c r="AL33" s="21">
        <f>IFERROR(VLOOKUP($C33,'Sep 25'!$D$5:$BH$43,56,0),0)</f>
        <v>17</v>
      </c>
      <c r="AM33" s="28">
        <f>IFERROR(VLOOKUP($C33,'Sep 25'!$D$5:$BH$43,57,0),0)</f>
        <v>0</v>
      </c>
      <c r="AN33" s="37">
        <f t="shared" si="4"/>
        <v>2</v>
      </c>
      <c r="AO33" s="23">
        <f t="shared" si="5"/>
        <v>0</v>
      </c>
      <c r="AP33" s="23">
        <f t="shared" si="6"/>
        <v>0</v>
      </c>
      <c r="AQ33" s="23">
        <f t="shared" si="7"/>
        <v>1</v>
      </c>
      <c r="AR33" s="23">
        <f t="shared" si="8"/>
        <v>0</v>
      </c>
      <c r="AS33" s="278">
        <f t="shared" si="9"/>
        <v>2</v>
      </c>
      <c r="AT33" s="25">
        <f t="shared" si="10"/>
        <v>3</v>
      </c>
      <c r="AU33" s="18">
        <f t="shared" si="11"/>
        <v>4</v>
      </c>
      <c r="AV33" s="22">
        <f t="shared" si="12"/>
        <v>5</v>
      </c>
      <c r="AW33" s="18">
        <f t="shared" si="13"/>
        <v>0</v>
      </c>
      <c r="AX33" s="32">
        <f t="shared" si="14"/>
        <v>1.3333333333333333</v>
      </c>
      <c r="AY33" s="24">
        <f t="shared" si="15"/>
        <v>17.5</v>
      </c>
      <c r="AZ33" s="18">
        <f t="shared" si="15"/>
        <v>22</v>
      </c>
      <c r="BA33" s="18">
        <f t="shared" si="15"/>
        <v>22</v>
      </c>
      <c r="BB33" s="18">
        <f t="shared" si="15"/>
        <v>0</v>
      </c>
      <c r="BC33" s="32">
        <f t="shared" si="16"/>
        <v>1.2571428571428571</v>
      </c>
    </row>
    <row r="34" spans="1:55" x14ac:dyDescent="0.2">
      <c r="A34" s="1">
        <f t="shared" si="3"/>
        <v>30</v>
      </c>
      <c r="B34" s="71">
        <f t="shared" si="17"/>
        <v>27</v>
      </c>
      <c r="C34" s="13" t="s">
        <v>153</v>
      </c>
      <c r="D34" s="260">
        <v>75</v>
      </c>
      <c r="E34" s="25" t="str">
        <f>IFERROR(IF(VLOOKUP($C34,'Sep 25'!$D$8:$AN$43,36,0)=0,"",VLOOKUP($C34,'Sep 25'!$D$8:$AN$43,36,0)),"")</f>
        <v/>
      </c>
      <c r="F34" s="26" t="str">
        <f>IFERROR(IF(VLOOKUP($C34,'Sep 25'!$D$8:$AN$43,37,0)=0,"",VLOOKUP($C34,'Sep 25'!$D$8:$AN$43,37,0)),"")</f>
        <v/>
      </c>
      <c r="G34" s="24" t="s">
        <v>77</v>
      </c>
      <c r="H34" s="18"/>
      <c r="I34" s="18"/>
      <c r="J34" s="18"/>
      <c r="K34" s="17"/>
      <c r="L34" s="17"/>
      <c r="M34" s="18"/>
      <c r="N34" s="18"/>
      <c r="O34" s="18"/>
      <c r="P34" s="18"/>
      <c r="Q34" s="18" t="s">
        <v>29</v>
      </c>
      <c r="R34" s="17"/>
      <c r="S34" s="17"/>
      <c r="T34" s="17" t="s">
        <v>31</v>
      </c>
      <c r="U34" s="18"/>
      <c r="V34" s="18"/>
      <c r="W34" s="18"/>
      <c r="X34" s="244"/>
      <c r="Y34" s="17"/>
      <c r="Z34" s="17"/>
      <c r="AA34" s="18" t="s">
        <v>31</v>
      </c>
      <c r="AB34" s="18"/>
      <c r="AC34" s="18"/>
      <c r="AD34" s="18"/>
      <c r="AE34" s="18"/>
      <c r="AF34" s="17" t="s">
        <v>29</v>
      </c>
      <c r="AG34" s="17"/>
      <c r="AH34" s="26"/>
      <c r="AJ34" s="27">
        <f>IFERROR(VLOOKUP($C34,'Sep 25'!$D$5:$BH$43,54,0),0)</f>
        <v>5</v>
      </c>
      <c r="AK34" s="21">
        <f>IFERROR(VLOOKUP($C34,'Sep 25'!$D$5:$BH$43,55,0),0)</f>
        <v>8.5</v>
      </c>
      <c r="AL34" s="21">
        <f>IFERROR(VLOOKUP($C34,'Sep 25'!$D$5:$BH$43,56,0),0)</f>
        <v>7</v>
      </c>
      <c r="AM34" s="28">
        <f>IFERROR(VLOOKUP($C34,'Sep 25'!$D$5:$BH$43,57,0),0)</f>
        <v>0</v>
      </c>
      <c r="AN34" s="37">
        <f t="shared" si="4"/>
        <v>1</v>
      </c>
      <c r="AO34" s="23">
        <f t="shared" si="5"/>
        <v>1</v>
      </c>
      <c r="AP34" s="23">
        <f t="shared" si="6"/>
        <v>2</v>
      </c>
      <c r="AQ34" s="23">
        <f t="shared" si="7"/>
        <v>0</v>
      </c>
      <c r="AR34" s="23">
        <f t="shared" si="8"/>
        <v>0</v>
      </c>
      <c r="AS34" s="278">
        <f t="shared" si="9"/>
        <v>1</v>
      </c>
      <c r="AT34" s="25">
        <f t="shared" si="10"/>
        <v>4</v>
      </c>
      <c r="AU34" s="18">
        <f t="shared" si="11"/>
        <v>7.5</v>
      </c>
      <c r="AV34" s="22">
        <f t="shared" si="12"/>
        <v>7</v>
      </c>
      <c r="AW34" s="18">
        <f t="shared" si="13"/>
        <v>0</v>
      </c>
      <c r="AX34" s="32">
        <f t="shared" si="14"/>
        <v>1.875</v>
      </c>
      <c r="AY34" s="24">
        <f t="shared" si="15"/>
        <v>9</v>
      </c>
      <c r="AZ34" s="18">
        <f t="shared" si="15"/>
        <v>16</v>
      </c>
      <c r="BA34" s="18">
        <f t="shared" si="15"/>
        <v>14</v>
      </c>
      <c r="BB34" s="18">
        <f t="shared" si="15"/>
        <v>0</v>
      </c>
      <c r="BC34" s="32">
        <f t="shared" si="16"/>
        <v>1.7777777777777777</v>
      </c>
    </row>
    <row r="35" spans="1:55" x14ac:dyDescent="0.2">
      <c r="A35" s="1">
        <f t="shared" si="3"/>
        <v>31</v>
      </c>
      <c r="B35" s="71">
        <f t="shared" si="17"/>
        <v>28</v>
      </c>
      <c r="C35" s="13" t="s">
        <v>151</v>
      </c>
      <c r="D35" s="260" t="s">
        <v>72</v>
      </c>
      <c r="E35" s="25" t="str">
        <f>IFERROR(IF(VLOOKUP($C35,'Sep 25'!$D$8:$AN$43,36,0)=0,"",VLOOKUP($C35,'Sep 25'!$D$8:$AN$43,36,0)),"")</f>
        <v/>
      </c>
      <c r="F35" s="26" t="str">
        <f>IFERROR(IF(VLOOKUP($C35,'Sep 25'!$D$8:$AN$43,37,0)=0,"",VLOOKUP($C35,'Sep 25'!$D$8:$AN$43,37,0)),"")</f>
        <v>HO4</v>
      </c>
      <c r="G35" s="24"/>
      <c r="H35" s="18"/>
      <c r="I35" s="18"/>
      <c r="J35" s="18"/>
      <c r="K35" s="16" t="s">
        <v>85</v>
      </c>
      <c r="L35" s="17"/>
      <c r="M35" s="18"/>
      <c r="N35" s="18"/>
      <c r="O35" s="18"/>
      <c r="P35" s="18"/>
      <c r="Q35" s="18" t="s">
        <v>31</v>
      </c>
      <c r="R35" s="17"/>
      <c r="S35" s="17"/>
      <c r="T35" s="15" t="s">
        <v>29</v>
      </c>
      <c r="U35" s="18"/>
      <c r="V35" s="18"/>
      <c r="W35" s="18"/>
      <c r="X35" s="18"/>
      <c r="Y35" s="16" t="s">
        <v>85</v>
      </c>
      <c r="Z35" s="17" t="s">
        <v>19</v>
      </c>
      <c r="AA35" s="18"/>
      <c r="AB35" s="18"/>
      <c r="AC35" s="18"/>
      <c r="AD35" s="18" t="s">
        <v>29</v>
      </c>
      <c r="AE35" s="18"/>
      <c r="AF35" s="17"/>
      <c r="AG35" s="17" t="s">
        <v>29</v>
      </c>
      <c r="AH35" s="26"/>
      <c r="AJ35" s="27">
        <f>IFERROR(VLOOKUP($C35,'Sep 25'!$D$5:$BH$43,54,0),0)</f>
        <v>4.5</v>
      </c>
      <c r="AK35" s="21">
        <f>IFERROR(VLOOKUP($C35,'Sep 25'!$D$5:$BH$43,55,0),0)</f>
        <v>5</v>
      </c>
      <c r="AL35" s="21">
        <f>IFERROR(VLOOKUP($C35,'Sep 25'!$D$5:$BH$43,56,0),0)</f>
        <v>7</v>
      </c>
      <c r="AM35" s="28">
        <f>IFERROR(VLOOKUP($C35,'Sep 25'!$D$5:$BH$43,57,0),0)</f>
        <v>1</v>
      </c>
      <c r="AN35" s="37">
        <f t="shared" si="4"/>
        <v>1</v>
      </c>
      <c r="AO35" s="23">
        <f t="shared" si="5"/>
        <v>1</v>
      </c>
      <c r="AP35" s="23">
        <f t="shared" si="6"/>
        <v>1</v>
      </c>
      <c r="AQ35" s="23">
        <f t="shared" si="7"/>
        <v>1</v>
      </c>
      <c r="AR35" s="23">
        <f t="shared" si="8"/>
        <v>1</v>
      </c>
      <c r="AS35" s="278">
        <f t="shared" si="9"/>
        <v>0</v>
      </c>
      <c r="AT35" s="25">
        <f t="shared" si="10"/>
        <v>4.5</v>
      </c>
      <c r="AU35" s="18">
        <f t="shared" si="11"/>
        <v>7.5</v>
      </c>
      <c r="AV35" s="22">
        <f t="shared" si="12"/>
        <v>6</v>
      </c>
      <c r="AW35" s="18">
        <f t="shared" si="13"/>
        <v>0</v>
      </c>
      <c r="AX35" s="32">
        <f t="shared" si="14"/>
        <v>1.6666666666666667</v>
      </c>
      <c r="AY35" s="24">
        <f t="shared" si="15"/>
        <v>9</v>
      </c>
      <c r="AZ35" s="18">
        <f t="shared" si="15"/>
        <v>12.5</v>
      </c>
      <c r="BA35" s="18">
        <f t="shared" si="15"/>
        <v>13</v>
      </c>
      <c r="BB35" s="18">
        <f t="shared" si="15"/>
        <v>1</v>
      </c>
      <c r="BC35" s="32">
        <f t="shared" si="16"/>
        <v>1.3888888888888888</v>
      </c>
    </row>
    <row r="36" spans="1:55" x14ac:dyDescent="0.2">
      <c r="A36" s="1">
        <f t="shared" si="3"/>
        <v>32</v>
      </c>
      <c r="B36" s="71">
        <f t="shared" si="17"/>
        <v>29</v>
      </c>
      <c r="C36" s="13" t="s">
        <v>123</v>
      </c>
      <c r="D36" s="260" t="s">
        <v>73</v>
      </c>
      <c r="E36" s="25" t="str">
        <f>IFERROR(IF(VLOOKUP($C36,'Sep 25'!$D$8:$AN$43,36,0)=0,"",VLOOKUP($C36,'Sep 25'!$D$8:$AN$43,36,0)),"")</f>
        <v/>
      </c>
      <c r="F36" s="26" t="str">
        <f>IFERROR(IF(VLOOKUP($C36,'Sep 25'!$D$8:$AN$43,37,0)=0,"",VLOOKUP($C36,'Sep 25'!$D$8:$AN$43,37,0)),"")</f>
        <v>S</v>
      </c>
      <c r="G36" s="24"/>
      <c r="H36" s="18"/>
      <c r="I36" s="15" t="s">
        <v>29</v>
      </c>
      <c r="J36" s="18"/>
      <c r="K36" s="17"/>
      <c r="L36" s="17" t="s">
        <v>20</v>
      </c>
      <c r="M36" s="18"/>
      <c r="N36" s="18"/>
      <c r="O36" s="15" t="s">
        <v>29</v>
      </c>
      <c r="P36" s="18"/>
      <c r="Q36" s="18" t="s">
        <v>83</v>
      </c>
      <c r="R36" s="17" t="s">
        <v>184</v>
      </c>
      <c r="S36" s="17" t="s">
        <v>184</v>
      </c>
      <c r="T36" s="16" t="s">
        <v>85</v>
      </c>
      <c r="U36" s="18" t="s">
        <v>83</v>
      </c>
      <c r="V36" s="18" t="s">
        <v>83</v>
      </c>
      <c r="W36" s="18" t="s">
        <v>83</v>
      </c>
      <c r="X36" s="18" t="s">
        <v>83</v>
      </c>
      <c r="Y36" s="16" t="s">
        <v>85</v>
      </c>
      <c r="Z36" s="17"/>
      <c r="AA36" s="18" t="s">
        <v>83</v>
      </c>
      <c r="AB36" s="269" t="s">
        <v>182</v>
      </c>
      <c r="AC36" s="269" t="s">
        <v>182</v>
      </c>
      <c r="AD36" s="269" t="s">
        <v>182</v>
      </c>
      <c r="AE36" s="269" t="s">
        <v>182</v>
      </c>
      <c r="AF36" s="269" t="s">
        <v>182</v>
      </c>
      <c r="AG36" s="269" t="s">
        <v>182</v>
      </c>
      <c r="AH36" s="270" t="s">
        <v>182</v>
      </c>
      <c r="AJ36" s="27">
        <f>IFERROR(VLOOKUP($C36,'Sep 25'!$D$5:$BH$43,54,0),0)</f>
        <v>14.5</v>
      </c>
      <c r="AK36" s="21">
        <f>IFERROR(VLOOKUP($C36,'Sep 25'!$D$5:$BH$43,55,0),0)</f>
        <v>21</v>
      </c>
      <c r="AL36" s="21">
        <f>IFERROR(VLOOKUP($C36,'Sep 25'!$D$5:$BH$43,56,0),0)</f>
        <v>18</v>
      </c>
      <c r="AM36" s="28">
        <f>IFERROR(VLOOKUP($C36,'Sep 25'!$D$5:$BH$43,57,0),0)</f>
        <v>1</v>
      </c>
      <c r="AN36" s="37">
        <f t="shared" si="4"/>
        <v>2</v>
      </c>
      <c r="AO36" s="23">
        <f t="shared" si="5"/>
        <v>0</v>
      </c>
      <c r="AP36" s="23">
        <f t="shared" si="6"/>
        <v>0</v>
      </c>
      <c r="AQ36" s="23">
        <f t="shared" si="7"/>
        <v>0</v>
      </c>
      <c r="AR36" s="23">
        <f t="shared" si="8"/>
        <v>0</v>
      </c>
      <c r="AS36" s="278">
        <f t="shared" si="9"/>
        <v>0</v>
      </c>
      <c r="AT36" s="25">
        <f t="shared" si="10"/>
        <v>2</v>
      </c>
      <c r="AU36" s="18">
        <f t="shared" si="11"/>
        <v>2</v>
      </c>
      <c r="AV36" s="22">
        <f t="shared" si="12"/>
        <v>4</v>
      </c>
      <c r="AW36" s="18">
        <f t="shared" si="13"/>
        <v>1</v>
      </c>
      <c r="AX36" s="32">
        <f t="shared" si="14"/>
        <v>1</v>
      </c>
      <c r="AY36" s="24">
        <f t="shared" si="15"/>
        <v>16.5</v>
      </c>
      <c r="AZ36" s="18">
        <f t="shared" si="15"/>
        <v>23</v>
      </c>
      <c r="BA36" s="18">
        <f t="shared" si="15"/>
        <v>22</v>
      </c>
      <c r="BB36" s="18">
        <f t="shared" si="15"/>
        <v>2</v>
      </c>
      <c r="BC36" s="32">
        <f t="shared" si="16"/>
        <v>1.393939393939394</v>
      </c>
    </row>
    <row r="37" spans="1:55" x14ac:dyDescent="0.2">
      <c r="A37" s="1">
        <f t="shared" si="3"/>
        <v>33</v>
      </c>
      <c r="B37" s="71">
        <f t="shared" si="17"/>
        <v>30</v>
      </c>
      <c r="C37" s="13" t="s">
        <v>124</v>
      </c>
      <c r="D37" s="260" t="s">
        <v>73</v>
      </c>
      <c r="E37" s="25" t="str">
        <f>IFERROR(IF(VLOOKUP($C37,'Sep 25'!$D$8:$AN$43,36,0)=0,"",VLOOKUP($C37,'Sep 25'!$D$8:$AN$43,36,0)),"")</f>
        <v>WR2</v>
      </c>
      <c r="F37" s="26" t="str">
        <f>IFERROR(IF(VLOOKUP($C37,'Sep 25'!$D$8:$AN$43,37,0)=0,"",VLOOKUP($C37,'Sep 25'!$D$8:$AN$43,37,0)),"")</f>
        <v/>
      </c>
      <c r="G37" s="24"/>
      <c r="H37" s="18" t="s">
        <v>29</v>
      </c>
      <c r="I37" s="18"/>
      <c r="J37" s="18"/>
      <c r="K37" s="17" t="s">
        <v>19</v>
      </c>
      <c r="L37" s="17"/>
      <c r="M37" s="18"/>
      <c r="N37" s="18"/>
      <c r="O37" s="15" t="s">
        <v>31</v>
      </c>
      <c r="P37" s="18"/>
      <c r="Q37" s="18" t="s">
        <v>83</v>
      </c>
      <c r="R37" s="16" t="s">
        <v>85</v>
      </c>
      <c r="S37" s="16" t="s">
        <v>85</v>
      </c>
      <c r="T37" s="17"/>
      <c r="U37" s="18" t="s">
        <v>83</v>
      </c>
      <c r="V37" s="18" t="s">
        <v>83</v>
      </c>
      <c r="W37" s="18"/>
      <c r="X37" s="18"/>
      <c r="Y37" s="15" t="s">
        <v>29</v>
      </c>
      <c r="Z37" s="17"/>
      <c r="AA37" s="18"/>
      <c r="AB37" s="269" t="s">
        <v>182</v>
      </c>
      <c r="AC37" s="269" t="s">
        <v>182</v>
      </c>
      <c r="AD37" s="269" t="s">
        <v>182</v>
      </c>
      <c r="AE37" s="269" t="s">
        <v>182</v>
      </c>
      <c r="AF37" s="269" t="s">
        <v>182</v>
      </c>
      <c r="AG37" s="269" t="s">
        <v>182</v>
      </c>
      <c r="AH37" s="270" t="s">
        <v>182</v>
      </c>
      <c r="AJ37" s="27">
        <f>IFERROR(VLOOKUP($C37,'Sep 25'!$D$5:$BH$43,54,0),0)</f>
        <v>14.5</v>
      </c>
      <c r="AK37" s="21">
        <f>IFERROR(VLOOKUP($C37,'Sep 25'!$D$5:$BH$43,55,0),0)</f>
        <v>22.5</v>
      </c>
      <c r="AL37" s="21">
        <f>IFERROR(VLOOKUP($C37,'Sep 25'!$D$5:$BH$43,56,0),0)</f>
        <v>17</v>
      </c>
      <c r="AM37" s="28">
        <f>IFERROR(VLOOKUP($C37,'Sep 25'!$D$5:$BH$43,57,0),0)</f>
        <v>2</v>
      </c>
      <c r="AN37" s="37">
        <f t="shared" si="4"/>
        <v>2</v>
      </c>
      <c r="AO37" s="23">
        <f t="shared" si="5"/>
        <v>0</v>
      </c>
      <c r="AP37" s="23">
        <f t="shared" si="6"/>
        <v>1</v>
      </c>
      <c r="AQ37" s="23">
        <f t="shared" si="7"/>
        <v>0</v>
      </c>
      <c r="AR37" s="23">
        <f t="shared" si="8"/>
        <v>1</v>
      </c>
      <c r="AS37" s="278">
        <f t="shared" si="9"/>
        <v>0</v>
      </c>
      <c r="AT37" s="25">
        <f t="shared" si="10"/>
        <v>3.5</v>
      </c>
      <c r="AU37" s="18">
        <f t="shared" si="11"/>
        <v>5</v>
      </c>
      <c r="AV37" s="22">
        <f t="shared" si="12"/>
        <v>5</v>
      </c>
      <c r="AW37" s="18">
        <f t="shared" si="13"/>
        <v>0</v>
      </c>
      <c r="AX37" s="32">
        <f t="shared" si="14"/>
        <v>1.4285714285714286</v>
      </c>
      <c r="AY37" s="24">
        <f t="shared" si="15"/>
        <v>18</v>
      </c>
      <c r="AZ37" s="18">
        <f t="shared" si="15"/>
        <v>27.5</v>
      </c>
      <c r="BA37" s="18">
        <f t="shared" si="15"/>
        <v>22</v>
      </c>
      <c r="BB37" s="18">
        <f t="shared" si="15"/>
        <v>2</v>
      </c>
      <c r="BC37" s="32">
        <f t="shared" si="16"/>
        <v>1.5277777777777777</v>
      </c>
    </row>
    <row r="38" spans="1:55" x14ac:dyDescent="0.2">
      <c r="A38" s="1">
        <f>A37+1</f>
        <v>34</v>
      </c>
      <c r="B38" s="71">
        <f>B37+1</f>
        <v>31</v>
      </c>
      <c r="C38" s="245" t="s">
        <v>122</v>
      </c>
      <c r="D38" s="261" t="s">
        <v>89</v>
      </c>
      <c r="E38" s="25" t="str">
        <f>IFERROR(IF(VLOOKUP($C38,'Sep 25'!$D$8:$AN$43,36,0)=0,"",VLOOKUP($C38,'Sep 25'!$D$8:$AN$43,36,0)),"")</f>
        <v/>
      </c>
      <c r="F38" s="26" t="str">
        <f>IFERROR(IF(VLOOKUP($C38,'Sep 25'!$D$8:$AN$43,37,0)=0,"",VLOOKUP($C38,'Sep 25'!$D$8:$AN$43,37,0)),"")</f>
        <v>HO3</v>
      </c>
      <c r="G38" s="24"/>
      <c r="H38" s="18" t="s">
        <v>85</v>
      </c>
      <c r="I38" s="16" t="s">
        <v>85</v>
      </c>
      <c r="J38" s="15" t="s">
        <v>30</v>
      </c>
      <c r="K38" s="17"/>
      <c r="L38" s="17"/>
      <c r="M38" s="18"/>
      <c r="N38" s="233" t="s">
        <v>77</v>
      </c>
      <c r="O38" s="18" t="s">
        <v>85</v>
      </c>
      <c r="P38" s="18"/>
      <c r="Q38" s="18"/>
      <c r="R38" s="17" t="s">
        <v>20</v>
      </c>
      <c r="S38" s="17"/>
      <c r="T38" s="17" t="s">
        <v>19</v>
      </c>
      <c r="U38" s="18"/>
      <c r="V38" s="18" t="s">
        <v>85</v>
      </c>
      <c r="W38" s="18" t="s">
        <v>32</v>
      </c>
      <c r="X38" s="18"/>
      <c r="Y38" s="16" t="s">
        <v>85</v>
      </c>
      <c r="Z38" s="15" t="s">
        <v>29</v>
      </c>
      <c r="AA38" s="18"/>
      <c r="AB38" s="269" t="s">
        <v>182</v>
      </c>
      <c r="AC38" s="269" t="s">
        <v>182</v>
      </c>
      <c r="AD38" s="269" t="s">
        <v>182</v>
      </c>
      <c r="AE38" s="269" t="s">
        <v>182</v>
      </c>
      <c r="AF38" s="269" t="s">
        <v>182</v>
      </c>
      <c r="AG38" s="269" t="s">
        <v>182</v>
      </c>
      <c r="AH38" s="270" t="s">
        <v>182</v>
      </c>
      <c r="AJ38" s="27">
        <f>IFERROR(VLOOKUP($C38,'Sep 25'!$D$5:$BH$43,54,0),0)</f>
        <v>13</v>
      </c>
      <c r="AK38" s="21">
        <f>IFERROR(VLOOKUP($C38,'Sep 25'!$D$5:$BH$43,55,0),0)</f>
        <v>17</v>
      </c>
      <c r="AL38" s="21">
        <f>IFERROR(VLOOKUP($C38,'Sep 25'!$D$5:$BH$43,56,0),0)</f>
        <v>18</v>
      </c>
      <c r="AM38" s="28">
        <f>IFERROR(VLOOKUP($C38,'Sep 25'!$D$5:$BH$43,57,0),0)</f>
        <v>4</v>
      </c>
      <c r="AN38" s="37">
        <f t="shared" si="4"/>
        <v>1</v>
      </c>
      <c r="AO38" s="23">
        <f t="shared" si="5"/>
        <v>1</v>
      </c>
      <c r="AP38" s="23">
        <f t="shared" si="6"/>
        <v>0</v>
      </c>
      <c r="AQ38" s="23">
        <f t="shared" si="7"/>
        <v>1</v>
      </c>
      <c r="AR38" s="23">
        <f t="shared" si="8"/>
        <v>1</v>
      </c>
      <c r="AS38" s="278">
        <f t="shared" si="9"/>
        <v>1</v>
      </c>
      <c r="AT38" s="25">
        <f t="shared" si="10"/>
        <v>3.5</v>
      </c>
      <c r="AU38" s="18">
        <f t="shared" si="11"/>
        <v>5</v>
      </c>
      <c r="AV38" s="22">
        <f t="shared" si="12"/>
        <v>4</v>
      </c>
      <c r="AW38" s="18">
        <f t="shared" si="13"/>
        <v>1</v>
      </c>
      <c r="AX38" s="32">
        <f t="shared" si="14"/>
        <v>1.4285714285714286</v>
      </c>
      <c r="AY38" s="24">
        <f t="shared" si="15"/>
        <v>16.5</v>
      </c>
      <c r="AZ38" s="18">
        <f t="shared" si="15"/>
        <v>22</v>
      </c>
      <c r="BA38" s="18">
        <f t="shared" si="15"/>
        <v>22</v>
      </c>
      <c r="BB38" s="18">
        <f t="shared" si="15"/>
        <v>5</v>
      </c>
      <c r="BC38" s="32">
        <f t="shared" si="16"/>
        <v>1.3333333333333333</v>
      </c>
    </row>
    <row r="39" spans="1:55" x14ac:dyDescent="0.2">
      <c r="A39" s="1">
        <f t="shared" si="3"/>
        <v>35</v>
      </c>
      <c r="B39" s="71">
        <f t="shared" si="17"/>
        <v>32</v>
      </c>
      <c r="C39" s="245" t="s">
        <v>121</v>
      </c>
      <c r="D39" s="261" t="s">
        <v>74</v>
      </c>
      <c r="E39" s="25" t="str">
        <f>IFERROR(IF(VLOOKUP($C39,'Sep 25'!$D$8:$AN$43,36,0)=0,"",VLOOKUP($C39,'Sep 25'!$D$8:$AN$43,36,0)),"")</f>
        <v/>
      </c>
      <c r="F39" s="26" t="str">
        <f>IFERROR(IF(VLOOKUP($C39,'Sep 25'!$D$8:$AN$43,37,0)=0,"",VLOOKUP($C39,'Sep 25'!$D$8:$AN$43,37,0)),"")</f>
        <v/>
      </c>
      <c r="G39" s="24"/>
      <c r="H39" s="18"/>
      <c r="I39" s="15" t="s">
        <v>30</v>
      </c>
      <c r="J39" s="18"/>
      <c r="K39" s="16" t="s">
        <v>85</v>
      </c>
      <c r="L39" s="16" t="s">
        <v>85</v>
      </c>
      <c r="M39" s="18" t="s">
        <v>30</v>
      </c>
      <c r="N39" s="18"/>
      <c r="O39" s="18"/>
      <c r="P39" s="18" t="s">
        <v>77</v>
      </c>
      <c r="Q39" s="18"/>
      <c r="R39" s="17"/>
      <c r="S39" s="15" t="s">
        <v>30</v>
      </c>
      <c r="T39" s="17"/>
      <c r="U39" s="18" t="s">
        <v>83</v>
      </c>
      <c r="V39" s="18" t="s">
        <v>83</v>
      </c>
      <c r="W39" s="18" t="s">
        <v>83</v>
      </c>
      <c r="X39" s="18" t="s">
        <v>83</v>
      </c>
      <c r="Y39" s="17" t="s">
        <v>184</v>
      </c>
      <c r="Z39" s="17" t="s">
        <v>184</v>
      </c>
      <c r="AA39" s="18" t="s">
        <v>83</v>
      </c>
      <c r="AB39" s="269" t="s">
        <v>182</v>
      </c>
      <c r="AC39" s="269" t="s">
        <v>182</v>
      </c>
      <c r="AD39" s="269" t="s">
        <v>182</v>
      </c>
      <c r="AE39" s="269" t="s">
        <v>182</v>
      </c>
      <c r="AF39" s="269" t="s">
        <v>182</v>
      </c>
      <c r="AG39" s="269" t="s">
        <v>182</v>
      </c>
      <c r="AH39" s="270" t="s">
        <v>182</v>
      </c>
      <c r="AJ39" s="27">
        <f>IFERROR(VLOOKUP($C39,'Sep 25'!$D$5:$BH$43,54,0),0)</f>
        <v>13.5</v>
      </c>
      <c r="AK39" s="21">
        <f>IFERROR(VLOOKUP($C39,'Sep 25'!$D$5:$BH$43,55,0),0)</f>
        <v>19</v>
      </c>
      <c r="AL39" s="21">
        <f>IFERROR(VLOOKUP($C39,'Sep 25'!$D$5:$BH$43,56,0),0)</f>
        <v>18</v>
      </c>
      <c r="AM39" s="28">
        <f>IFERROR(VLOOKUP($C39,'Sep 25'!$D$5:$BH$43,57,0),0)</f>
        <v>3</v>
      </c>
      <c r="AN39" s="37">
        <f t="shared" si="4"/>
        <v>2</v>
      </c>
      <c r="AO39" s="23">
        <f t="shared" si="5"/>
        <v>0</v>
      </c>
      <c r="AP39" s="23">
        <f t="shared" si="6"/>
        <v>1</v>
      </c>
      <c r="AQ39" s="23">
        <f t="shared" si="7"/>
        <v>0</v>
      </c>
      <c r="AR39" s="23">
        <f t="shared" si="8"/>
        <v>0</v>
      </c>
      <c r="AS39" s="278">
        <f t="shared" si="9"/>
        <v>1</v>
      </c>
      <c r="AT39" s="25">
        <f t="shared" si="10"/>
        <v>3</v>
      </c>
      <c r="AU39" s="18">
        <f t="shared" si="11"/>
        <v>4.5</v>
      </c>
      <c r="AV39" s="22">
        <f t="shared" si="12"/>
        <v>4</v>
      </c>
      <c r="AW39" s="18">
        <f t="shared" si="13"/>
        <v>0</v>
      </c>
      <c r="AX39" s="32">
        <f t="shared" si="14"/>
        <v>1.5</v>
      </c>
      <c r="AY39" s="24">
        <f t="shared" si="15"/>
        <v>16.5</v>
      </c>
      <c r="AZ39" s="18">
        <f t="shared" si="15"/>
        <v>23.5</v>
      </c>
      <c r="BA39" s="18">
        <f t="shared" si="15"/>
        <v>22</v>
      </c>
      <c r="BB39" s="18">
        <f t="shared" si="15"/>
        <v>3</v>
      </c>
      <c r="BC39" s="32">
        <f t="shared" si="16"/>
        <v>1.4242424242424243</v>
      </c>
    </row>
    <row r="40" spans="1:55" x14ac:dyDescent="0.2">
      <c r="A40" s="1">
        <f>A39+1</f>
        <v>36</v>
      </c>
      <c r="B40" s="246">
        <f>B39+1</f>
        <v>33</v>
      </c>
      <c r="C40" s="247" t="s">
        <v>127</v>
      </c>
      <c r="D40" s="262" t="s">
        <v>74</v>
      </c>
      <c r="E40" s="25" t="str">
        <f>IFERROR(IF(VLOOKUP($C40,'Sep 25'!$D$8:$AN$43,36,0)=0,"",VLOOKUP($C40,'Sep 25'!$D$8:$AN$43,36,0)),"")</f>
        <v>HO2</v>
      </c>
      <c r="F40" s="26" t="str">
        <f>IFERROR(IF(VLOOKUP($C40,'Sep 25'!$D$8:$AN$43,37,0)=0,"",VLOOKUP($C40,'Sep 25'!$D$8:$AN$43,37,0)),"")</f>
        <v/>
      </c>
      <c r="G40" s="24"/>
      <c r="H40" s="18"/>
      <c r="I40" s="15" t="s">
        <v>31</v>
      </c>
      <c r="J40" s="18"/>
      <c r="K40" s="17"/>
      <c r="L40" s="17" t="s">
        <v>77</v>
      </c>
      <c r="M40" s="18"/>
      <c r="N40" s="18"/>
      <c r="O40" s="18"/>
      <c r="P40" s="15" t="s">
        <v>30</v>
      </c>
      <c r="Q40" s="18"/>
      <c r="R40" s="16" t="s">
        <v>85</v>
      </c>
      <c r="S40" s="17"/>
      <c r="T40" s="17" t="s">
        <v>81</v>
      </c>
      <c r="U40" s="18"/>
      <c r="V40" s="18" t="s">
        <v>30</v>
      </c>
      <c r="W40" s="18"/>
      <c r="X40" s="18" t="s">
        <v>83</v>
      </c>
      <c r="Y40" s="16" t="s">
        <v>85</v>
      </c>
      <c r="Z40" s="17"/>
      <c r="AA40" s="18" t="s">
        <v>83</v>
      </c>
      <c r="AB40" s="269" t="s">
        <v>182</v>
      </c>
      <c r="AC40" s="269" t="s">
        <v>182</v>
      </c>
      <c r="AD40" s="269" t="s">
        <v>182</v>
      </c>
      <c r="AE40" s="269" t="s">
        <v>182</v>
      </c>
      <c r="AF40" s="269" t="s">
        <v>182</v>
      </c>
      <c r="AG40" s="269" t="s">
        <v>182</v>
      </c>
      <c r="AH40" s="270" t="s">
        <v>182</v>
      </c>
      <c r="AJ40" s="27">
        <f>IFERROR(VLOOKUP($C40,'Sep 25'!$D$5:$BH$43,54,0),0)</f>
        <v>14</v>
      </c>
      <c r="AK40" s="21">
        <f>IFERROR(VLOOKUP($C40,'Sep 25'!$D$5:$BH$43,55,0),0)</f>
        <v>20</v>
      </c>
      <c r="AL40" s="21">
        <f>IFERROR(VLOOKUP($C40,'Sep 25'!$D$5:$BH$43,56,0),0)</f>
        <v>18</v>
      </c>
      <c r="AM40" s="28">
        <f>IFERROR(VLOOKUP($C40,'Sep 25'!$D$5:$BH$43,57,0),0)</f>
        <v>3</v>
      </c>
      <c r="AN40" s="37">
        <f t="shared" si="4"/>
        <v>3</v>
      </c>
      <c r="AO40" s="23">
        <f t="shared" si="5"/>
        <v>0</v>
      </c>
      <c r="AP40" s="23">
        <f t="shared" si="6"/>
        <v>0</v>
      </c>
      <c r="AQ40" s="23">
        <f t="shared" si="7"/>
        <v>0</v>
      </c>
      <c r="AR40" s="23">
        <f t="shared" si="8"/>
        <v>0</v>
      </c>
      <c r="AS40" s="278">
        <f t="shared" si="9"/>
        <v>1</v>
      </c>
      <c r="AT40" s="25">
        <f t="shared" ref="AT40" si="18">SUM(AN40:AQ40)+AR40*0.5</f>
        <v>3</v>
      </c>
      <c r="AU40" s="18">
        <f t="shared" ref="AU40" si="19">AN40*1+AO40*1.5+AP40*2.5+AQ40*2+AR40*0.5</f>
        <v>3</v>
      </c>
      <c r="AV40" s="22">
        <f t="shared" si="12"/>
        <v>5</v>
      </c>
      <c r="AW40" s="18">
        <f t="shared" si="13"/>
        <v>1</v>
      </c>
      <c r="AX40" s="32">
        <f t="shared" ref="AX40" si="20">AU40/AT40</f>
        <v>1</v>
      </c>
      <c r="AY40" s="24">
        <f t="shared" ref="AY40" si="21">AT40+AJ40</f>
        <v>17</v>
      </c>
      <c r="AZ40" s="18">
        <f t="shared" ref="AZ40" si="22">AU40+AK40</f>
        <v>23</v>
      </c>
      <c r="BA40" s="18">
        <f t="shared" ref="BA40" si="23">AV40+AL40</f>
        <v>23</v>
      </c>
      <c r="BB40" s="18">
        <f t="shared" ref="BB40" si="24">AW40+AM40</f>
        <v>4</v>
      </c>
      <c r="BC40" s="32">
        <f t="shared" ref="BC40" si="25">AZ40/AY40</f>
        <v>1.3529411764705883</v>
      </c>
    </row>
    <row r="41" spans="1:55" x14ac:dyDescent="0.2">
      <c r="A41" s="1">
        <f>A40+1</f>
        <v>37</v>
      </c>
      <c r="B41" s="246">
        <f>B40+1</f>
        <v>34</v>
      </c>
      <c r="C41" s="287" t="s">
        <v>198</v>
      </c>
      <c r="D41" s="288"/>
      <c r="E41" s="25" t="str">
        <f>IFERROR(IF(VLOOKUP($C41,'Sep 25'!$D$8:$AN$43,36,0)=0,"",VLOOKUP($C41,'Sep 25'!$D$8:$AN$43,36,0)),"")</f>
        <v/>
      </c>
      <c r="F41" s="26" t="str">
        <f>IFERROR(IF(VLOOKUP($C41,'Sep 25'!$D$8:$AN$43,37,0)=0,"",VLOOKUP($C41,'Sep 25'!$D$8:$AN$43,37,0)),"")</f>
        <v/>
      </c>
      <c r="G41" s="289"/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  <c r="AA41" s="286"/>
      <c r="AB41" s="51"/>
      <c r="AC41" s="51"/>
      <c r="AD41" s="51"/>
      <c r="AE41" s="51"/>
      <c r="AF41" s="17"/>
      <c r="AG41" s="17"/>
      <c r="AH41" s="61"/>
      <c r="AJ41" s="27">
        <f>IFERROR(VLOOKUP($C41,'Sep 25'!$D$5:$BH$43,54,0),0)</f>
        <v>0</v>
      </c>
      <c r="AK41" s="21">
        <f>IFERROR(VLOOKUP($C41,'Sep 25'!$D$5:$BH$43,55,0),0)</f>
        <v>0</v>
      </c>
      <c r="AL41" s="21">
        <f>IFERROR(VLOOKUP($C41,'Sep 25'!$D$5:$BH$43,56,0),0)</f>
        <v>0</v>
      </c>
      <c r="AM41" s="28">
        <f>IFERROR(VLOOKUP($C41,'Sep 25'!$D$5:$BH$43,57,0),0)</f>
        <v>0</v>
      </c>
      <c r="AN41" s="37">
        <f t="shared" ref="AN41:AN50" si="26">COUNTIFS(G41:AH41,"HO*",$G$6:$AH$6,"&lt;5")</f>
        <v>0</v>
      </c>
      <c r="AO41" s="23">
        <f t="shared" ref="AO41:AO50" si="27">COUNTIFS(G41:AH41,"HO*",$G$6:$AH$6,"5")</f>
        <v>0</v>
      </c>
      <c r="AP41" s="23">
        <f t="shared" ref="AP41:AP50" si="28">COUNTIFS(G41:AH41,"HO*",$G$6:$AH$6,"6")-COUNTIFS(G41:AH41,"HO6",$G$6:$AH$6,"6")</f>
        <v>0</v>
      </c>
      <c r="AQ41" s="23">
        <f t="shared" ref="AQ41:AQ50" si="29">COUNTIFS(G41:AH41,"HO*",$G$6:$AH$6,"7")-COUNTIFS(G41:AH41,"HO6",$G$6:$AH$6,"7")</f>
        <v>0</v>
      </c>
      <c r="AR41" s="23">
        <f t="shared" ref="AR41:AR50" si="30">COUNTIF(G41:AH41,"HO6")</f>
        <v>0</v>
      </c>
      <c r="AS41" s="278">
        <f t="shared" ref="AS41:AS50" si="31">COUNTIF(G41:AH41,"S")</f>
        <v>0</v>
      </c>
      <c r="AT41" s="25">
        <f t="shared" ref="AT41:AT50" si="32">SUM(AN41:AQ41)+AR41*0.5</f>
        <v>0</v>
      </c>
      <c r="AU41" s="18">
        <f t="shared" ref="AU41:AU50" si="33">AN41*1+AO41*1.5+AP41*2.5+AQ41*2+AR41*0.5</f>
        <v>0</v>
      </c>
      <c r="AV41" s="22">
        <f t="shared" ref="AV41:AV50" si="34">COUNTIFS(G41:AH41,"",$G$6:$AH$6,"&gt;5")+COUNTIFS(G41:AH41,"X",$G$6:$AH$6,"&gt;5")</f>
        <v>9</v>
      </c>
      <c r="AW41" s="18">
        <f t="shared" ref="AW41:AW50" si="35">COUNTIF(G41:AH41,"WR*")</f>
        <v>0</v>
      </c>
      <c r="AX41" s="32" t="e">
        <f t="shared" ref="AX41:AX50" si="36">AU41/AT41</f>
        <v>#DIV/0!</v>
      </c>
      <c r="AY41" s="24">
        <f t="shared" ref="AY41:AY50" si="37">AT41+AJ41</f>
        <v>0</v>
      </c>
      <c r="AZ41" s="18">
        <f t="shared" ref="AZ41:AZ50" si="38">AU41+AK41</f>
        <v>0</v>
      </c>
      <c r="BA41" s="18">
        <f t="shared" ref="BA41:BA50" si="39">AV41+AL41</f>
        <v>9</v>
      </c>
      <c r="BB41" s="18">
        <f t="shared" ref="BB41:BB50" si="40">AW41+AM41</f>
        <v>0</v>
      </c>
      <c r="BC41" s="32" t="e">
        <f t="shared" ref="BC41:BC50" si="41">AZ41/AY41</f>
        <v>#DIV/0!</v>
      </c>
    </row>
    <row r="42" spans="1:55" x14ac:dyDescent="0.2">
      <c r="A42" s="1">
        <f t="shared" ref="A42:A50" si="42">A41+1</f>
        <v>38</v>
      </c>
      <c r="B42" s="246">
        <f t="shared" ref="B42:B50" si="43">B41+1</f>
        <v>35</v>
      </c>
      <c r="C42" s="287" t="s">
        <v>199</v>
      </c>
      <c r="D42" s="288"/>
      <c r="E42" s="25" t="str">
        <f>IFERROR(IF(VLOOKUP($C42,'Sep 25'!$D$8:$AN$43,36,0)=0,"",VLOOKUP($C42,'Sep 25'!$D$8:$AN$43,36,0)),"")</f>
        <v/>
      </c>
      <c r="F42" s="26" t="str">
        <f>IFERROR(IF(VLOOKUP($C42,'Sep 25'!$D$8:$AN$43,37,0)=0,"",VLOOKUP($C42,'Sep 25'!$D$8:$AN$43,37,0)),"")</f>
        <v/>
      </c>
      <c r="G42" s="289"/>
      <c r="H42" s="286"/>
      <c r="I42" s="286"/>
      <c r="J42" s="286"/>
      <c r="K42" s="286"/>
      <c r="L42" s="286"/>
      <c r="M42" s="286"/>
      <c r="N42" s="286"/>
      <c r="O42" s="286"/>
      <c r="P42" s="286"/>
      <c r="Q42" s="286"/>
      <c r="R42" s="286"/>
      <c r="S42" s="286"/>
      <c r="T42" s="286"/>
      <c r="U42" s="286"/>
      <c r="V42" s="286"/>
      <c r="W42" s="286"/>
      <c r="X42" s="286"/>
      <c r="Y42" s="286"/>
      <c r="Z42" s="286"/>
      <c r="AA42" s="286"/>
      <c r="AB42" s="51"/>
      <c r="AC42" s="51"/>
      <c r="AD42" s="51"/>
      <c r="AE42" s="51"/>
      <c r="AF42" s="17"/>
      <c r="AG42" s="17"/>
      <c r="AH42" s="61"/>
      <c r="AJ42" s="27">
        <f>IFERROR(VLOOKUP($C42,'Sep 25'!$D$5:$BH$43,54,0),0)</f>
        <v>0</v>
      </c>
      <c r="AK42" s="21">
        <f>IFERROR(VLOOKUP($C42,'Sep 25'!$D$5:$BH$43,55,0),0)</f>
        <v>0</v>
      </c>
      <c r="AL42" s="21">
        <f>IFERROR(VLOOKUP($C42,'Sep 25'!$D$5:$BH$43,56,0),0)</f>
        <v>0</v>
      </c>
      <c r="AM42" s="28">
        <f>IFERROR(VLOOKUP($C42,'Sep 25'!$D$5:$BH$43,57,0),0)</f>
        <v>0</v>
      </c>
      <c r="AN42" s="37">
        <f t="shared" si="26"/>
        <v>0</v>
      </c>
      <c r="AO42" s="23">
        <f t="shared" si="27"/>
        <v>0</v>
      </c>
      <c r="AP42" s="23">
        <f t="shared" si="28"/>
        <v>0</v>
      </c>
      <c r="AQ42" s="23">
        <f t="shared" si="29"/>
        <v>0</v>
      </c>
      <c r="AR42" s="23">
        <f t="shared" si="30"/>
        <v>0</v>
      </c>
      <c r="AS42" s="278">
        <f t="shared" si="31"/>
        <v>0</v>
      </c>
      <c r="AT42" s="25">
        <f t="shared" si="32"/>
        <v>0</v>
      </c>
      <c r="AU42" s="18">
        <f t="shared" si="33"/>
        <v>0</v>
      </c>
      <c r="AV42" s="22">
        <f t="shared" si="34"/>
        <v>9</v>
      </c>
      <c r="AW42" s="18">
        <f t="shared" si="35"/>
        <v>0</v>
      </c>
      <c r="AX42" s="32" t="e">
        <f t="shared" si="36"/>
        <v>#DIV/0!</v>
      </c>
      <c r="AY42" s="24">
        <f t="shared" si="37"/>
        <v>0</v>
      </c>
      <c r="AZ42" s="18">
        <f t="shared" si="38"/>
        <v>0</v>
      </c>
      <c r="BA42" s="18">
        <f t="shared" si="39"/>
        <v>9</v>
      </c>
      <c r="BB42" s="18">
        <f t="shared" si="40"/>
        <v>0</v>
      </c>
      <c r="BC42" s="32" t="e">
        <f t="shared" si="41"/>
        <v>#DIV/0!</v>
      </c>
    </row>
    <row r="43" spans="1:55" x14ac:dyDescent="0.2">
      <c r="A43" s="1">
        <f t="shared" si="42"/>
        <v>39</v>
      </c>
      <c r="B43" s="246">
        <f t="shared" si="43"/>
        <v>36</v>
      </c>
      <c r="C43" s="287" t="s">
        <v>197</v>
      </c>
      <c r="D43" s="288"/>
      <c r="E43" s="25" t="str">
        <f>IFERROR(IF(VLOOKUP($C43,'Sep 25'!$D$8:$AN$43,36,0)=0,"",VLOOKUP($C43,'Sep 25'!$D$8:$AN$43,36,0)),"")</f>
        <v/>
      </c>
      <c r="F43" s="26" t="str">
        <f>IFERROR(IF(VLOOKUP($C43,'Sep 25'!$D$8:$AN$43,37,0)=0,"",VLOOKUP($C43,'Sep 25'!$D$8:$AN$43,37,0)),"")</f>
        <v/>
      </c>
      <c r="G43" s="289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86"/>
      <c r="AB43" s="51"/>
      <c r="AC43" s="51"/>
      <c r="AD43" s="51"/>
      <c r="AE43" s="51"/>
      <c r="AF43" s="17"/>
      <c r="AG43" s="17"/>
      <c r="AH43" s="61"/>
      <c r="AJ43" s="27">
        <f>IFERROR(VLOOKUP($C43,'Sep 25'!$D$5:$BH$43,54,0),0)</f>
        <v>0</v>
      </c>
      <c r="AK43" s="21">
        <f>IFERROR(VLOOKUP($C43,'Sep 25'!$D$5:$BH$43,55,0),0)</f>
        <v>0</v>
      </c>
      <c r="AL43" s="21">
        <f>IFERROR(VLOOKUP($C43,'Sep 25'!$D$5:$BH$43,56,0),0)</f>
        <v>0</v>
      </c>
      <c r="AM43" s="28">
        <f>IFERROR(VLOOKUP($C43,'Sep 25'!$D$5:$BH$43,57,0),0)</f>
        <v>0</v>
      </c>
      <c r="AN43" s="37">
        <f t="shared" si="26"/>
        <v>0</v>
      </c>
      <c r="AO43" s="23">
        <f t="shared" si="27"/>
        <v>0</v>
      </c>
      <c r="AP43" s="23">
        <f t="shared" si="28"/>
        <v>0</v>
      </c>
      <c r="AQ43" s="23">
        <f t="shared" si="29"/>
        <v>0</v>
      </c>
      <c r="AR43" s="23">
        <f t="shared" si="30"/>
        <v>0</v>
      </c>
      <c r="AS43" s="278">
        <f t="shared" si="31"/>
        <v>0</v>
      </c>
      <c r="AT43" s="25">
        <f t="shared" si="32"/>
        <v>0</v>
      </c>
      <c r="AU43" s="18">
        <f t="shared" si="33"/>
        <v>0</v>
      </c>
      <c r="AV43" s="22">
        <f t="shared" si="34"/>
        <v>9</v>
      </c>
      <c r="AW43" s="18">
        <f t="shared" si="35"/>
        <v>0</v>
      </c>
      <c r="AX43" s="32" t="e">
        <f t="shared" si="36"/>
        <v>#DIV/0!</v>
      </c>
      <c r="AY43" s="24">
        <f t="shared" si="37"/>
        <v>0</v>
      </c>
      <c r="AZ43" s="18">
        <f t="shared" si="38"/>
        <v>0</v>
      </c>
      <c r="BA43" s="18">
        <f t="shared" si="39"/>
        <v>9</v>
      </c>
      <c r="BB43" s="18">
        <f t="shared" si="40"/>
        <v>0</v>
      </c>
      <c r="BC43" s="32" t="e">
        <f t="shared" si="41"/>
        <v>#DIV/0!</v>
      </c>
    </row>
    <row r="44" spans="1:55" x14ac:dyDescent="0.2">
      <c r="A44" s="1">
        <f t="shared" si="42"/>
        <v>40</v>
      </c>
      <c r="B44" s="246">
        <f t="shared" si="43"/>
        <v>37</v>
      </c>
      <c r="C44" s="287" t="s">
        <v>201</v>
      </c>
      <c r="D44" s="288"/>
      <c r="E44" s="25" t="str">
        <f>IFERROR(IF(VLOOKUP($C44,'Sep 25'!$D$8:$AN$43,36,0)=0,"",VLOOKUP($C44,'Sep 25'!$D$8:$AN$43,36,0)),"")</f>
        <v/>
      </c>
      <c r="F44" s="26" t="str">
        <f>IFERROR(IF(VLOOKUP($C44,'Sep 25'!$D$8:$AN$43,37,0)=0,"",VLOOKUP($C44,'Sep 25'!$D$8:$AN$43,37,0)),"")</f>
        <v/>
      </c>
      <c r="G44" s="289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86"/>
      <c r="AB44" s="51"/>
      <c r="AC44" s="51"/>
      <c r="AD44" s="51"/>
      <c r="AE44" s="51"/>
      <c r="AF44" s="232" t="s">
        <v>20</v>
      </c>
      <c r="AG44" s="232" t="s">
        <v>20</v>
      </c>
      <c r="AH44" s="61"/>
      <c r="AJ44" s="27">
        <f>IFERROR(VLOOKUP($C44,'Sep 25'!$D$5:$BH$43,54,0),0)</f>
        <v>0</v>
      </c>
      <c r="AK44" s="21">
        <f>IFERROR(VLOOKUP($C44,'Sep 25'!$D$5:$BH$43,55,0),0)</f>
        <v>0</v>
      </c>
      <c r="AL44" s="21">
        <f>IFERROR(VLOOKUP($C44,'Sep 25'!$D$5:$BH$43,56,0),0)</f>
        <v>0</v>
      </c>
      <c r="AM44" s="28">
        <f>IFERROR(VLOOKUP($C44,'Sep 25'!$D$5:$BH$43,57,0),0)</f>
        <v>0</v>
      </c>
      <c r="AN44" s="37">
        <f t="shared" si="26"/>
        <v>0</v>
      </c>
      <c r="AO44" s="23">
        <f t="shared" si="27"/>
        <v>0</v>
      </c>
      <c r="AP44" s="23">
        <f t="shared" si="28"/>
        <v>0</v>
      </c>
      <c r="AQ44" s="23">
        <f t="shared" si="29"/>
        <v>0</v>
      </c>
      <c r="AR44" s="23">
        <f t="shared" si="30"/>
        <v>0</v>
      </c>
      <c r="AS44" s="278">
        <f t="shared" si="31"/>
        <v>0</v>
      </c>
      <c r="AT44" s="25">
        <f t="shared" si="32"/>
        <v>0</v>
      </c>
      <c r="AU44" s="18">
        <f t="shared" si="33"/>
        <v>0</v>
      </c>
      <c r="AV44" s="22">
        <f t="shared" si="34"/>
        <v>7</v>
      </c>
      <c r="AW44" s="18">
        <f t="shared" si="35"/>
        <v>2</v>
      </c>
      <c r="AX44" s="32" t="e">
        <f t="shared" si="36"/>
        <v>#DIV/0!</v>
      </c>
      <c r="AY44" s="24">
        <f t="shared" si="37"/>
        <v>0</v>
      </c>
      <c r="AZ44" s="18">
        <f t="shared" si="38"/>
        <v>0</v>
      </c>
      <c r="BA44" s="18">
        <f t="shared" si="39"/>
        <v>7</v>
      </c>
      <c r="BB44" s="18">
        <f t="shared" si="40"/>
        <v>2</v>
      </c>
      <c r="BC44" s="32" t="e">
        <f t="shared" si="41"/>
        <v>#DIV/0!</v>
      </c>
    </row>
    <row r="45" spans="1:55" x14ac:dyDescent="0.2">
      <c r="A45" s="1">
        <f t="shared" si="42"/>
        <v>41</v>
      </c>
      <c r="B45" s="246">
        <f t="shared" si="43"/>
        <v>38</v>
      </c>
      <c r="C45" s="287" t="s">
        <v>200</v>
      </c>
      <c r="D45" s="288"/>
      <c r="E45" s="25" t="str">
        <f>IFERROR(IF(VLOOKUP($C45,'Sep 25'!$D$8:$AN$43,36,0)=0,"",VLOOKUP($C45,'Sep 25'!$D$8:$AN$43,36,0)),"")</f>
        <v/>
      </c>
      <c r="F45" s="26" t="str">
        <f>IFERROR(IF(VLOOKUP($C45,'Sep 25'!$D$8:$AN$43,37,0)=0,"",VLOOKUP($C45,'Sep 25'!$D$8:$AN$43,37,0)),"")</f>
        <v/>
      </c>
      <c r="G45" s="289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86"/>
      <c r="AB45" s="51"/>
      <c r="AC45" s="51"/>
      <c r="AD45" s="51"/>
      <c r="AE45" s="51"/>
      <c r="AF45" s="17"/>
      <c r="AG45" s="17"/>
      <c r="AH45" s="61"/>
      <c r="AJ45" s="27">
        <f>IFERROR(VLOOKUP($C45,'Sep 25'!$D$5:$BH$43,54,0),0)</f>
        <v>0</v>
      </c>
      <c r="AK45" s="21">
        <f>IFERROR(VLOOKUP($C45,'Sep 25'!$D$5:$BH$43,55,0),0)</f>
        <v>0</v>
      </c>
      <c r="AL45" s="21">
        <f>IFERROR(VLOOKUP($C45,'Sep 25'!$D$5:$BH$43,56,0),0)</f>
        <v>0</v>
      </c>
      <c r="AM45" s="28">
        <f>IFERROR(VLOOKUP($C45,'Sep 25'!$D$5:$BH$43,57,0),0)</f>
        <v>0</v>
      </c>
      <c r="AN45" s="37">
        <f t="shared" si="26"/>
        <v>0</v>
      </c>
      <c r="AO45" s="23">
        <f t="shared" si="27"/>
        <v>0</v>
      </c>
      <c r="AP45" s="23">
        <f t="shared" si="28"/>
        <v>0</v>
      </c>
      <c r="AQ45" s="23">
        <f t="shared" si="29"/>
        <v>0</v>
      </c>
      <c r="AR45" s="23">
        <f t="shared" si="30"/>
        <v>0</v>
      </c>
      <c r="AS45" s="278">
        <f t="shared" si="31"/>
        <v>0</v>
      </c>
      <c r="AT45" s="25">
        <f t="shared" si="32"/>
        <v>0</v>
      </c>
      <c r="AU45" s="18">
        <f t="shared" si="33"/>
        <v>0</v>
      </c>
      <c r="AV45" s="22">
        <f t="shared" si="34"/>
        <v>9</v>
      </c>
      <c r="AW45" s="18">
        <f t="shared" si="35"/>
        <v>0</v>
      </c>
      <c r="AX45" s="32" t="e">
        <f t="shared" si="36"/>
        <v>#DIV/0!</v>
      </c>
      <c r="AY45" s="24">
        <f t="shared" si="37"/>
        <v>0</v>
      </c>
      <c r="AZ45" s="18">
        <f t="shared" si="38"/>
        <v>0</v>
      </c>
      <c r="BA45" s="18">
        <f t="shared" si="39"/>
        <v>9</v>
      </c>
      <c r="BB45" s="18">
        <f t="shared" si="40"/>
        <v>0</v>
      </c>
      <c r="BC45" s="32" t="e">
        <f t="shared" si="41"/>
        <v>#DIV/0!</v>
      </c>
    </row>
    <row r="46" spans="1:55" x14ac:dyDescent="0.2">
      <c r="A46" s="1">
        <f t="shared" si="42"/>
        <v>42</v>
      </c>
      <c r="B46" s="246">
        <f t="shared" si="43"/>
        <v>39</v>
      </c>
      <c r="C46" s="287" t="s">
        <v>202</v>
      </c>
      <c r="D46" s="288"/>
      <c r="E46" s="25" t="str">
        <f>IFERROR(IF(VLOOKUP($C46,'Sep 25'!$D$8:$AN$43,36,0)=0,"",VLOOKUP($C46,'Sep 25'!$D$8:$AN$43,36,0)),"")</f>
        <v/>
      </c>
      <c r="F46" s="26" t="str">
        <f>IFERROR(IF(VLOOKUP($C46,'Sep 25'!$D$8:$AN$43,37,0)=0,"",VLOOKUP($C46,'Sep 25'!$D$8:$AN$43,37,0)),"")</f>
        <v/>
      </c>
      <c r="G46" s="289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  <c r="W46" s="286"/>
      <c r="X46" s="286"/>
      <c r="Y46" s="286"/>
      <c r="Z46" s="286"/>
      <c r="AA46" s="286"/>
      <c r="AB46" s="51"/>
      <c r="AC46" s="51"/>
      <c r="AD46" s="51"/>
      <c r="AE46" s="51"/>
      <c r="AF46" s="232" t="s">
        <v>21</v>
      </c>
      <c r="AG46" s="17"/>
      <c r="AH46" s="61"/>
      <c r="AJ46" s="27">
        <f>IFERROR(VLOOKUP($C46,'Sep 25'!$D$5:$BH$43,54,0),0)</f>
        <v>0</v>
      </c>
      <c r="AK46" s="21">
        <f>IFERROR(VLOOKUP($C46,'Sep 25'!$D$5:$BH$43,55,0),0)</f>
        <v>0</v>
      </c>
      <c r="AL46" s="21">
        <f>IFERROR(VLOOKUP($C46,'Sep 25'!$D$5:$BH$43,56,0),0)</f>
        <v>0</v>
      </c>
      <c r="AM46" s="28">
        <f>IFERROR(VLOOKUP($C46,'Sep 25'!$D$5:$BH$43,57,0),0)</f>
        <v>0</v>
      </c>
      <c r="AN46" s="37">
        <f t="shared" si="26"/>
        <v>0</v>
      </c>
      <c r="AO46" s="23">
        <f t="shared" si="27"/>
        <v>0</v>
      </c>
      <c r="AP46" s="23">
        <f t="shared" si="28"/>
        <v>0</v>
      </c>
      <c r="AQ46" s="23">
        <f t="shared" si="29"/>
        <v>0</v>
      </c>
      <c r="AR46" s="23">
        <f t="shared" si="30"/>
        <v>0</v>
      </c>
      <c r="AS46" s="278">
        <f t="shared" si="31"/>
        <v>0</v>
      </c>
      <c r="AT46" s="25">
        <f t="shared" si="32"/>
        <v>0</v>
      </c>
      <c r="AU46" s="18">
        <f t="shared" si="33"/>
        <v>0</v>
      </c>
      <c r="AV46" s="22">
        <f t="shared" si="34"/>
        <v>8</v>
      </c>
      <c r="AW46" s="18">
        <f t="shared" si="35"/>
        <v>1</v>
      </c>
      <c r="AX46" s="32" t="e">
        <f t="shared" si="36"/>
        <v>#DIV/0!</v>
      </c>
      <c r="AY46" s="24">
        <f t="shared" si="37"/>
        <v>0</v>
      </c>
      <c r="AZ46" s="18">
        <f t="shared" si="38"/>
        <v>0</v>
      </c>
      <c r="BA46" s="18">
        <f t="shared" si="39"/>
        <v>8</v>
      </c>
      <c r="BB46" s="18">
        <f t="shared" si="40"/>
        <v>1</v>
      </c>
      <c r="BC46" s="32" t="e">
        <f t="shared" si="41"/>
        <v>#DIV/0!</v>
      </c>
    </row>
    <row r="47" spans="1:55" x14ac:dyDescent="0.2">
      <c r="A47" s="1">
        <f t="shared" si="42"/>
        <v>43</v>
      </c>
      <c r="B47" s="246">
        <f t="shared" si="43"/>
        <v>40</v>
      </c>
      <c r="C47" s="287" t="s">
        <v>204</v>
      </c>
      <c r="D47" s="288"/>
      <c r="E47" s="25" t="str">
        <f>IFERROR(IF(VLOOKUP($C47,'Sep 25'!$D$8:$AN$43,36,0)=0,"",VLOOKUP($C47,'Sep 25'!$D$8:$AN$43,36,0)),"")</f>
        <v/>
      </c>
      <c r="F47" s="26" t="str">
        <f>IFERROR(IF(VLOOKUP($C47,'Sep 25'!$D$8:$AN$43,37,0)=0,"",VLOOKUP($C47,'Sep 25'!$D$8:$AN$43,37,0)),"")</f>
        <v/>
      </c>
      <c r="G47" s="289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  <c r="W47" s="286"/>
      <c r="X47" s="286"/>
      <c r="Y47" s="286"/>
      <c r="Z47" s="286"/>
      <c r="AA47" s="286"/>
      <c r="AB47" s="51"/>
      <c r="AC47" s="51"/>
      <c r="AD47" s="51"/>
      <c r="AE47" s="51"/>
      <c r="AF47" s="232" t="s">
        <v>81</v>
      </c>
      <c r="AG47" s="232" t="s">
        <v>21</v>
      </c>
      <c r="AH47" s="61"/>
      <c r="AJ47" s="27">
        <f>IFERROR(VLOOKUP($C47,'Sep 25'!$D$5:$BH$43,54,0),0)</f>
        <v>0</v>
      </c>
      <c r="AK47" s="21">
        <f>IFERROR(VLOOKUP($C47,'Sep 25'!$D$5:$BH$43,55,0),0)</f>
        <v>0</v>
      </c>
      <c r="AL47" s="21">
        <f>IFERROR(VLOOKUP($C47,'Sep 25'!$D$5:$BH$43,56,0),0)</f>
        <v>0</v>
      </c>
      <c r="AM47" s="28">
        <f>IFERROR(VLOOKUP($C47,'Sep 25'!$D$5:$BH$43,57,0),0)</f>
        <v>0</v>
      </c>
      <c r="AN47" s="37">
        <f t="shared" si="26"/>
        <v>0</v>
      </c>
      <c r="AO47" s="23">
        <f t="shared" si="27"/>
        <v>0</v>
      </c>
      <c r="AP47" s="23">
        <f t="shared" si="28"/>
        <v>0</v>
      </c>
      <c r="AQ47" s="23">
        <f t="shared" si="29"/>
        <v>0</v>
      </c>
      <c r="AR47" s="23">
        <f t="shared" si="30"/>
        <v>0</v>
      </c>
      <c r="AS47" s="278">
        <f t="shared" si="31"/>
        <v>0</v>
      </c>
      <c r="AT47" s="25">
        <f t="shared" si="32"/>
        <v>0</v>
      </c>
      <c r="AU47" s="18">
        <f t="shared" si="33"/>
        <v>0</v>
      </c>
      <c r="AV47" s="22">
        <f t="shared" si="34"/>
        <v>7</v>
      </c>
      <c r="AW47" s="18">
        <f t="shared" si="35"/>
        <v>2</v>
      </c>
      <c r="AX47" s="32" t="e">
        <f t="shared" si="36"/>
        <v>#DIV/0!</v>
      </c>
      <c r="AY47" s="24">
        <f t="shared" si="37"/>
        <v>0</v>
      </c>
      <c r="AZ47" s="18">
        <f t="shared" si="38"/>
        <v>0</v>
      </c>
      <c r="BA47" s="18">
        <f t="shared" si="39"/>
        <v>7</v>
      </c>
      <c r="BB47" s="18">
        <f t="shared" si="40"/>
        <v>2</v>
      </c>
      <c r="BC47" s="32" t="e">
        <f t="shared" si="41"/>
        <v>#DIV/0!</v>
      </c>
    </row>
    <row r="48" spans="1:55" x14ac:dyDescent="0.2">
      <c r="A48" s="1">
        <f t="shared" si="42"/>
        <v>44</v>
      </c>
      <c r="B48" s="246">
        <f t="shared" si="43"/>
        <v>41</v>
      </c>
      <c r="C48" s="287" t="s">
        <v>206</v>
      </c>
      <c r="D48" s="288"/>
      <c r="E48" s="25" t="str">
        <f>IFERROR(IF(VLOOKUP($C48,'Sep 25'!$D$8:$AN$43,36,0)=0,"",VLOOKUP($C48,'Sep 25'!$D$8:$AN$43,36,0)),"")</f>
        <v/>
      </c>
      <c r="F48" s="26" t="str">
        <f>IFERROR(IF(VLOOKUP($C48,'Sep 25'!$D$8:$AN$43,37,0)=0,"",VLOOKUP($C48,'Sep 25'!$D$8:$AN$43,37,0)),"")</f>
        <v/>
      </c>
      <c r="G48" s="289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286"/>
      <c r="S48" s="286"/>
      <c r="T48" s="286"/>
      <c r="U48" s="286"/>
      <c r="V48" s="286"/>
      <c r="W48" s="286"/>
      <c r="X48" s="286"/>
      <c r="Y48" s="286"/>
      <c r="Z48" s="286"/>
      <c r="AA48" s="286"/>
      <c r="AB48" s="51"/>
      <c r="AC48" s="51"/>
      <c r="AD48" s="51"/>
      <c r="AE48" s="51"/>
      <c r="AF48" s="17"/>
      <c r="AG48" s="232" t="s">
        <v>81</v>
      </c>
      <c r="AH48" s="61"/>
      <c r="AJ48" s="27">
        <f>IFERROR(VLOOKUP($C48,'Sep 25'!$D$5:$BH$43,54,0),0)</f>
        <v>0</v>
      </c>
      <c r="AK48" s="21">
        <f>IFERROR(VLOOKUP($C48,'Sep 25'!$D$5:$BH$43,55,0),0)</f>
        <v>0</v>
      </c>
      <c r="AL48" s="21">
        <f>IFERROR(VLOOKUP($C48,'Sep 25'!$D$5:$BH$43,56,0),0)</f>
        <v>0</v>
      </c>
      <c r="AM48" s="28">
        <f>IFERROR(VLOOKUP($C48,'Sep 25'!$D$5:$BH$43,57,0),0)</f>
        <v>0</v>
      </c>
      <c r="AN48" s="37">
        <f t="shared" si="26"/>
        <v>0</v>
      </c>
      <c r="AO48" s="23">
        <f t="shared" si="27"/>
        <v>0</v>
      </c>
      <c r="AP48" s="23">
        <f t="shared" si="28"/>
        <v>0</v>
      </c>
      <c r="AQ48" s="23">
        <f t="shared" si="29"/>
        <v>0</v>
      </c>
      <c r="AR48" s="23">
        <f t="shared" si="30"/>
        <v>0</v>
      </c>
      <c r="AS48" s="278">
        <f t="shared" si="31"/>
        <v>0</v>
      </c>
      <c r="AT48" s="25">
        <f t="shared" si="32"/>
        <v>0</v>
      </c>
      <c r="AU48" s="18">
        <f t="shared" si="33"/>
        <v>0</v>
      </c>
      <c r="AV48" s="22">
        <f t="shared" si="34"/>
        <v>8</v>
      </c>
      <c r="AW48" s="18">
        <f t="shared" si="35"/>
        <v>1</v>
      </c>
      <c r="AX48" s="32" t="e">
        <f t="shared" si="36"/>
        <v>#DIV/0!</v>
      </c>
      <c r="AY48" s="24">
        <f t="shared" si="37"/>
        <v>0</v>
      </c>
      <c r="AZ48" s="18">
        <f t="shared" si="38"/>
        <v>0</v>
      </c>
      <c r="BA48" s="18">
        <f t="shared" si="39"/>
        <v>8</v>
      </c>
      <c r="BB48" s="18">
        <f t="shared" si="40"/>
        <v>1</v>
      </c>
      <c r="BC48" s="32" t="e">
        <f t="shared" si="41"/>
        <v>#DIV/0!</v>
      </c>
    </row>
    <row r="49" spans="1:55" x14ac:dyDescent="0.2">
      <c r="A49" s="1">
        <f t="shared" si="42"/>
        <v>45</v>
      </c>
      <c r="B49" s="246">
        <f t="shared" si="43"/>
        <v>42</v>
      </c>
      <c r="C49" s="287" t="s">
        <v>203</v>
      </c>
      <c r="D49" s="288"/>
      <c r="E49" s="25" t="str">
        <f>IFERROR(IF(VLOOKUP($C49,'Sep 25'!$D$8:$AN$43,36,0)=0,"",VLOOKUP($C49,'Sep 25'!$D$8:$AN$43,36,0)),"")</f>
        <v/>
      </c>
      <c r="F49" s="26" t="str">
        <f>IFERROR(IF(VLOOKUP($C49,'Sep 25'!$D$8:$AN$43,37,0)=0,"",VLOOKUP($C49,'Sep 25'!$D$8:$AN$43,37,0)),"")</f>
        <v/>
      </c>
      <c r="G49" s="289"/>
      <c r="H49" s="286"/>
      <c r="I49" s="286"/>
      <c r="J49" s="286"/>
      <c r="K49" s="286"/>
      <c r="L49" s="286"/>
      <c r="M49" s="286"/>
      <c r="N49" s="286"/>
      <c r="O49" s="286"/>
      <c r="P49" s="286"/>
      <c r="Q49" s="286"/>
      <c r="R49" s="286"/>
      <c r="S49" s="286"/>
      <c r="T49" s="286"/>
      <c r="U49" s="286"/>
      <c r="V49" s="286"/>
      <c r="W49" s="286"/>
      <c r="X49" s="286"/>
      <c r="Y49" s="286"/>
      <c r="Z49" s="286"/>
      <c r="AA49" s="286"/>
      <c r="AB49" s="51"/>
      <c r="AC49" s="51"/>
      <c r="AD49" s="51"/>
      <c r="AE49" s="51"/>
      <c r="AF49" s="17"/>
      <c r="AG49" s="232"/>
      <c r="AH49" s="61"/>
      <c r="AJ49" s="27">
        <f>IFERROR(VLOOKUP($C49,'Sep 25'!$D$5:$BH$43,54,0),0)</f>
        <v>0</v>
      </c>
      <c r="AK49" s="21">
        <f>IFERROR(VLOOKUP($C49,'Sep 25'!$D$5:$BH$43,55,0),0)</f>
        <v>0</v>
      </c>
      <c r="AL49" s="21">
        <f>IFERROR(VLOOKUP($C49,'Sep 25'!$D$5:$BH$43,56,0),0)</f>
        <v>0</v>
      </c>
      <c r="AM49" s="28">
        <f>IFERROR(VLOOKUP($C49,'Sep 25'!$D$5:$BH$43,57,0),0)</f>
        <v>0</v>
      </c>
      <c r="AN49" s="37">
        <f t="shared" si="26"/>
        <v>0</v>
      </c>
      <c r="AO49" s="23">
        <f t="shared" si="27"/>
        <v>0</v>
      </c>
      <c r="AP49" s="23">
        <f t="shared" si="28"/>
        <v>0</v>
      </c>
      <c r="AQ49" s="23">
        <f t="shared" si="29"/>
        <v>0</v>
      </c>
      <c r="AR49" s="23">
        <f t="shared" si="30"/>
        <v>0</v>
      </c>
      <c r="AS49" s="278">
        <f t="shared" si="31"/>
        <v>0</v>
      </c>
      <c r="AT49" s="25">
        <f t="shared" si="32"/>
        <v>0</v>
      </c>
      <c r="AU49" s="18">
        <f t="shared" si="33"/>
        <v>0</v>
      </c>
      <c r="AV49" s="22">
        <f t="shared" si="34"/>
        <v>9</v>
      </c>
      <c r="AW49" s="18">
        <f t="shared" si="35"/>
        <v>0</v>
      </c>
      <c r="AX49" s="32" t="e">
        <f t="shared" si="36"/>
        <v>#DIV/0!</v>
      </c>
      <c r="AY49" s="24">
        <f t="shared" si="37"/>
        <v>0</v>
      </c>
      <c r="AZ49" s="18">
        <f t="shared" si="38"/>
        <v>0</v>
      </c>
      <c r="BA49" s="18">
        <f t="shared" si="39"/>
        <v>9</v>
      </c>
      <c r="BB49" s="18">
        <f t="shared" si="40"/>
        <v>0</v>
      </c>
      <c r="BC49" s="32" t="e">
        <f t="shared" si="41"/>
        <v>#DIV/0!</v>
      </c>
    </row>
    <row r="50" spans="1:55" x14ac:dyDescent="0.2">
      <c r="A50" s="1">
        <f t="shared" si="42"/>
        <v>46</v>
      </c>
      <c r="B50" s="246">
        <f t="shared" si="43"/>
        <v>43</v>
      </c>
      <c r="C50" s="287" t="s">
        <v>205</v>
      </c>
      <c r="D50" s="288"/>
      <c r="E50" s="25" t="str">
        <f>IFERROR(IF(VLOOKUP($C50,'Sep 25'!$D$8:$AN$43,36,0)=0,"",VLOOKUP($C50,'Sep 25'!$D$8:$AN$43,36,0)),"")</f>
        <v/>
      </c>
      <c r="F50" s="26" t="str">
        <f>IFERROR(IF(VLOOKUP($C50,'Sep 25'!$D$8:$AN$43,37,0)=0,"",VLOOKUP($C50,'Sep 25'!$D$8:$AN$43,37,0)),"")</f>
        <v/>
      </c>
      <c r="G50" s="289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286"/>
      <c r="AB50" s="51"/>
      <c r="AC50" s="51"/>
      <c r="AD50" s="51"/>
      <c r="AE50" s="51"/>
      <c r="AF50" s="17"/>
      <c r="AG50" s="17"/>
      <c r="AH50" s="61"/>
      <c r="AJ50" s="27">
        <f>IFERROR(VLOOKUP($C50,'Sep 25'!$D$5:$BH$43,54,0),0)</f>
        <v>0</v>
      </c>
      <c r="AK50" s="21">
        <f>IFERROR(VLOOKUP($C50,'Sep 25'!$D$5:$BH$43,55,0),0)</f>
        <v>0</v>
      </c>
      <c r="AL50" s="21">
        <f>IFERROR(VLOOKUP($C50,'Sep 25'!$D$5:$BH$43,56,0),0)</f>
        <v>0</v>
      </c>
      <c r="AM50" s="28">
        <f>IFERROR(VLOOKUP($C50,'Sep 25'!$D$5:$BH$43,57,0),0)</f>
        <v>0</v>
      </c>
      <c r="AN50" s="37">
        <f t="shared" si="26"/>
        <v>0</v>
      </c>
      <c r="AO50" s="23">
        <f t="shared" si="27"/>
        <v>0</v>
      </c>
      <c r="AP50" s="23">
        <f t="shared" si="28"/>
        <v>0</v>
      </c>
      <c r="AQ50" s="23">
        <f t="shared" si="29"/>
        <v>0</v>
      </c>
      <c r="AR50" s="23">
        <f t="shared" si="30"/>
        <v>0</v>
      </c>
      <c r="AS50" s="278">
        <f t="shared" si="31"/>
        <v>0</v>
      </c>
      <c r="AT50" s="25">
        <f t="shared" si="32"/>
        <v>0</v>
      </c>
      <c r="AU50" s="18">
        <f t="shared" si="33"/>
        <v>0</v>
      </c>
      <c r="AV50" s="22">
        <f t="shared" si="34"/>
        <v>9</v>
      </c>
      <c r="AW50" s="18">
        <f t="shared" si="35"/>
        <v>0</v>
      </c>
      <c r="AX50" s="32" t="e">
        <f t="shared" si="36"/>
        <v>#DIV/0!</v>
      </c>
      <c r="AY50" s="24">
        <f t="shared" si="37"/>
        <v>0</v>
      </c>
      <c r="AZ50" s="18">
        <f t="shared" si="38"/>
        <v>0</v>
      </c>
      <c r="BA50" s="18">
        <f t="shared" si="39"/>
        <v>9</v>
      </c>
      <c r="BB50" s="18">
        <f t="shared" si="40"/>
        <v>0</v>
      </c>
      <c r="BC50" s="32" t="e">
        <f t="shared" si="41"/>
        <v>#DIV/0!</v>
      </c>
    </row>
    <row r="51" spans="1:55" ht="16" thickBot="1" x14ac:dyDescent="0.25">
      <c r="A51" s="243">
        <f>A50+1</f>
        <v>47</v>
      </c>
      <c r="B51" s="75">
        <f>B50+1</f>
        <v>44</v>
      </c>
      <c r="C51" s="248" t="s">
        <v>195</v>
      </c>
      <c r="D51" s="263"/>
      <c r="E51" s="33" t="str">
        <f>IFERROR(IF(VLOOKUP($C51,'Sep 25'!$D$8:$AN$43,36,0)=0,"",VLOOKUP($C51,'Sep 25'!$D$8:$AN$43,36,0)),"")</f>
        <v/>
      </c>
      <c r="F51" s="41" t="str">
        <f>IFERROR(IF(VLOOKUP($C51,'Sep 25'!$D$8:$AN$43,37,0)=0,"",VLOOKUP($C51,'Sep 25'!$D$8:$AN$43,37,0)),"")</f>
        <v/>
      </c>
      <c r="G51" s="38" t="s">
        <v>30</v>
      </c>
      <c r="H51" s="34"/>
      <c r="I51" s="34"/>
      <c r="J51" s="34"/>
      <c r="K51" s="77" t="s">
        <v>20</v>
      </c>
      <c r="L51" s="79" t="s">
        <v>85</v>
      </c>
      <c r="M51" s="79" t="s">
        <v>85</v>
      </c>
      <c r="N51" s="34" t="s">
        <v>32</v>
      </c>
      <c r="O51" s="34"/>
      <c r="P51" s="34"/>
      <c r="Q51" s="34"/>
      <c r="R51" s="77" t="s">
        <v>30</v>
      </c>
      <c r="S51" s="77"/>
      <c r="T51" s="77"/>
      <c r="U51" s="34"/>
      <c r="V51" s="34" t="s">
        <v>32</v>
      </c>
      <c r="W51" s="34"/>
      <c r="X51" s="34"/>
      <c r="Y51" s="77"/>
      <c r="Z51" s="77" t="s">
        <v>32</v>
      </c>
      <c r="AA51" s="34"/>
      <c r="AB51" s="34"/>
      <c r="AC51" s="34"/>
      <c r="AD51" s="34"/>
      <c r="AE51" s="301" t="s">
        <v>34</v>
      </c>
      <c r="AF51" s="77"/>
      <c r="AG51" s="77"/>
      <c r="AH51" s="41" t="s">
        <v>31</v>
      </c>
      <c r="AJ51" s="29">
        <f>IFERROR(VLOOKUP($C51,'Sep 25'!$D$5:$BH$43,54,0),0)</f>
        <v>0</v>
      </c>
      <c r="AK51" s="30">
        <f>IFERROR(VLOOKUP($C51,'Sep 25'!$D$5:$BH$43,55,0),0)</f>
        <v>0</v>
      </c>
      <c r="AL51" s="30">
        <f>IFERROR(VLOOKUP($C51,'Sep 25'!$D$5:$BH$43,56,0),0)</f>
        <v>0</v>
      </c>
      <c r="AM51" s="31">
        <f>IFERROR(VLOOKUP($C51,'Sep 25'!$D$5:$BH$43,57,0),0)</f>
        <v>0</v>
      </c>
      <c r="AN51" s="271">
        <f t="shared" si="4"/>
        <v>4</v>
      </c>
      <c r="AO51" s="48">
        <f t="shared" si="5"/>
        <v>1</v>
      </c>
      <c r="AP51" s="48">
        <f t="shared" si="6"/>
        <v>1</v>
      </c>
      <c r="AQ51" s="48">
        <f t="shared" si="7"/>
        <v>1</v>
      </c>
      <c r="AR51" s="48">
        <f t="shared" si="8"/>
        <v>0</v>
      </c>
      <c r="AS51" s="279">
        <f t="shared" si="9"/>
        <v>0</v>
      </c>
      <c r="AT51" s="33">
        <f t="shared" si="10"/>
        <v>7</v>
      </c>
      <c r="AU51" s="34">
        <f t="shared" si="11"/>
        <v>10</v>
      </c>
      <c r="AV51" s="35">
        <f t="shared" si="12"/>
        <v>6</v>
      </c>
      <c r="AW51" s="34">
        <f t="shared" si="13"/>
        <v>1</v>
      </c>
      <c r="AX51" s="36">
        <f t="shared" si="14"/>
        <v>1.4285714285714286</v>
      </c>
      <c r="AY51" s="38">
        <f t="shared" si="15"/>
        <v>7</v>
      </c>
      <c r="AZ51" s="34">
        <f t="shared" si="15"/>
        <v>10</v>
      </c>
      <c r="BA51" s="34">
        <f t="shared" si="15"/>
        <v>6</v>
      </c>
      <c r="BB51" s="34">
        <f t="shared" si="15"/>
        <v>1</v>
      </c>
      <c r="BC51" s="36">
        <f t="shared" si="16"/>
        <v>1.4285714285714286</v>
      </c>
    </row>
    <row r="53" spans="1:55" x14ac:dyDescent="0.2">
      <c r="D53" s="3" t="s">
        <v>161</v>
      </c>
      <c r="G53" s="1" t="b">
        <f>AND(G54=1,G55=1,G56=1,G57=1,G58=1,G61=1,OR(SUM(G59:G60)=0,SUM(G59:G60)=4))</f>
        <v>1</v>
      </c>
      <c r="H53" s="1" t="b">
        <f t="shared" ref="H53:AH53" si="44">AND(H54=1,H55=1,H56=1,H57=1,H58=1,H61=1,OR(SUM(H59:H60)=0,SUM(H59:H60)=4))</f>
        <v>1</v>
      </c>
      <c r="I53" s="1" t="b">
        <f t="shared" si="44"/>
        <v>1</v>
      </c>
      <c r="J53" s="1" t="b">
        <f t="shared" si="44"/>
        <v>1</v>
      </c>
      <c r="K53" s="1" t="b">
        <f t="shared" si="44"/>
        <v>1</v>
      </c>
      <c r="L53" s="1" t="b">
        <f t="shared" si="44"/>
        <v>1</v>
      </c>
      <c r="M53" s="1" t="b">
        <f t="shared" si="44"/>
        <v>1</v>
      </c>
      <c r="N53" s="1" t="b">
        <f t="shared" si="44"/>
        <v>1</v>
      </c>
      <c r="O53" s="1" t="b">
        <f t="shared" si="44"/>
        <v>1</v>
      </c>
      <c r="P53" s="1" t="b">
        <f t="shared" si="44"/>
        <v>1</v>
      </c>
      <c r="Q53" s="1" t="b">
        <f t="shared" si="44"/>
        <v>1</v>
      </c>
      <c r="R53" s="1" t="b">
        <f t="shared" si="44"/>
        <v>1</v>
      </c>
      <c r="S53" s="1" t="b">
        <f t="shared" si="44"/>
        <v>1</v>
      </c>
      <c r="T53" s="1" t="b">
        <f t="shared" si="44"/>
        <v>1</v>
      </c>
      <c r="U53" s="1" t="b">
        <f t="shared" si="44"/>
        <v>1</v>
      </c>
      <c r="V53" s="1" t="b">
        <f t="shared" si="44"/>
        <v>1</v>
      </c>
      <c r="W53" s="1" t="b">
        <f t="shared" si="44"/>
        <v>1</v>
      </c>
      <c r="X53" s="1" t="b">
        <f t="shared" si="44"/>
        <v>1</v>
      </c>
      <c r="Y53" s="1" t="b">
        <f t="shared" si="44"/>
        <v>1</v>
      </c>
      <c r="Z53" s="1" t="b">
        <f t="shared" si="44"/>
        <v>1</v>
      </c>
      <c r="AA53" s="1" t="b">
        <f t="shared" si="44"/>
        <v>1</v>
      </c>
      <c r="AB53" s="1" t="b">
        <f t="shared" si="44"/>
        <v>1</v>
      </c>
      <c r="AC53" s="1" t="b">
        <f t="shared" si="44"/>
        <v>1</v>
      </c>
      <c r="AD53" s="1" t="b">
        <f t="shared" si="44"/>
        <v>1</v>
      </c>
      <c r="AE53" s="1" t="b">
        <f t="shared" si="44"/>
        <v>0</v>
      </c>
      <c r="AF53" s="1" t="b">
        <f t="shared" si="44"/>
        <v>1</v>
      </c>
      <c r="AG53" s="1" t="b">
        <f t="shared" si="44"/>
        <v>1</v>
      </c>
      <c r="AH53" s="1" t="b">
        <f t="shared" si="44"/>
        <v>1</v>
      </c>
    </row>
    <row r="54" spans="1:55" x14ac:dyDescent="0.2">
      <c r="D54" s="3" t="s">
        <v>30</v>
      </c>
      <c r="G54" s="1">
        <f t="shared" ref="G54:P59" si="45">COUNTIFS(G$8:G$51,$D54)</f>
        <v>1</v>
      </c>
      <c r="H54" s="1">
        <f t="shared" si="45"/>
        <v>1</v>
      </c>
      <c r="I54" s="1">
        <f t="shared" si="45"/>
        <v>1</v>
      </c>
      <c r="J54" s="1">
        <f t="shared" si="45"/>
        <v>1</v>
      </c>
      <c r="K54" s="1">
        <f t="shared" si="45"/>
        <v>1</v>
      </c>
      <c r="L54" s="1">
        <f t="shared" si="45"/>
        <v>1</v>
      </c>
      <c r="M54" s="1">
        <f t="shared" si="45"/>
        <v>1</v>
      </c>
      <c r="N54" s="1">
        <f t="shared" si="45"/>
        <v>1</v>
      </c>
      <c r="O54" s="1">
        <f t="shared" si="45"/>
        <v>1</v>
      </c>
      <c r="P54" s="1">
        <f t="shared" si="45"/>
        <v>1</v>
      </c>
      <c r="Q54" s="1">
        <f t="shared" ref="Q54:Z59" si="46">COUNTIFS(Q$8:Q$51,$D54)</f>
        <v>1</v>
      </c>
      <c r="R54" s="1">
        <f t="shared" si="46"/>
        <v>1</v>
      </c>
      <c r="S54" s="1">
        <f t="shared" si="46"/>
        <v>1</v>
      </c>
      <c r="T54" s="1">
        <f t="shared" si="46"/>
        <v>1</v>
      </c>
      <c r="U54" s="1">
        <f t="shared" si="46"/>
        <v>1</v>
      </c>
      <c r="V54" s="1">
        <f t="shared" si="46"/>
        <v>1</v>
      </c>
      <c r="W54" s="1">
        <f t="shared" si="46"/>
        <v>1</v>
      </c>
      <c r="X54" s="1">
        <f t="shared" si="46"/>
        <v>1</v>
      </c>
      <c r="Y54" s="1">
        <f t="shared" si="46"/>
        <v>1</v>
      </c>
      <c r="Z54" s="1">
        <f t="shared" si="46"/>
        <v>1</v>
      </c>
      <c r="AA54" s="1">
        <f t="shared" ref="AA54:AH59" si="47">COUNTIFS(AA$8:AA$51,$D54)</f>
        <v>1</v>
      </c>
      <c r="AB54" s="1">
        <f t="shared" si="47"/>
        <v>1</v>
      </c>
      <c r="AC54" s="1">
        <f t="shared" si="47"/>
        <v>1</v>
      </c>
      <c r="AD54" s="1">
        <f t="shared" si="47"/>
        <v>1</v>
      </c>
      <c r="AE54" s="1">
        <f t="shared" si="47"/>
        <v>1</v>
      </c>
      <c r="AF54" s="1">
        <f t="shared" si="47"/>
        <v>1</v>
      </c>
      <c r="AG54" s="1">
        <f t="shared" si="47"/>
        <v>1</v>
      </c>
      <c r="AH54" s="1">
        <f t="shared" si="47"/>
        <v>1</v>
      </c>
    </row>
    <row r="55" spans="1:55" x14ac:dyDescent="0.2">
      <c r="D55" s="3" t="s">
        <v>34</v>
      </c>
      <c r="G55" s="1">
        <f t="shared" si="45"/>
        <v>1</v>
      </c>
      <c r="H55" s="1">
        <f t="shared" si="45"/>
        <v>1</v>
      </c>
      <c r="I55" s="1">
        <f t="shared" si="45"/>
        <v>1</v>
      </c>
      <c r="J55" s="1">
        <f t="shared" si="45"/>
        <v>1</v>
      </c>
      <c r="K55" s="1">
        <f t="shared" si="45"/>
        <v>1</v>
      </c>
      <c r="L55" s="1">
        <f t="shared" si="45"/>
        <v>1</v>
      </c>
      <c r="M55" s="1">
        <f t="shared" si="45"/>
        <v>1</v>
      </c>
      <c r="N55" s="1">
        <f t="shared" si="45"/>
        <v>1</v>
      </c>
      <c r="O55" s="1">
        <f t="shared" si="45"/>
        <v>1</v>
      </c>
      <c r="P55" s="1">
        <f t="shared" si="45"/>
        <v>1</v>
      </c>
      <c r="Q55" s="1">
        <f t="shared" si="46"/>
        <v>1</v>
      </c>
      <c r="R55" s="1">
        <f t="shared" si="46"/>
        <v>1</v>
      </c>
      <c r="S55" s="1">
        <f t="shared" si="46"/>
        <v>1</v>
      </c>
      <c r="T55" s="1">
        <f t="shared" si="46"/>
        <v>1</v>
      </c>
      <c r="U55" s="1">
        <f t="shared" si="46"/>
        <v>1</v>
      </c>
      <c r="V55" s="1">
        <f t="shared" si="46"/>
        <v>1</v>
      </c>
      <c r="W55" s="1">
        <f t="shared" si="46"/>
        <v>1</v>
      </c>
      <c r="X55" s="1">
        <f t="shared" si="46"/>
        <v>1</v>
      </c>
      <c r="Y55" s="1">
        <f t="shared" si="46"/>
        <v>1</v>
      </c>
      <c r="Z55" s="1">
        <f t="shared" si="46"/>
        <v>1</v>
      </c>
      <c r="AA55" s="1">
        <f t="shared" si="47"/>
        <v>1</v>
      </c>
      <c r="AB55" s="1">
        <f t="shared" si="47"/>
        <v>1</v>
      </c>
      <c r="AC55" s="1">
        <f t="shared" si="47"/>
        <v>1</v>
      </c>
      <c r="AD55" s="1">
        <f t="shared" si="47"/>
        <v>1</v>
      </c>
      <c r="AE55" s="1">
        <f t="shared" si="47"/>
        <v>1</v>
      </c>
      <c r="AF55" s="1">
        <f t="shared" si="47"/>
        <v>1</v>
      </c>
      <c r="AG55" s="1">
        <f t="shared" si="47"/>
        <v>1</v>
      </c>
      <c r="AH55" s="1">
        <f t="shared" si="47"/>
        <v>1</v>
      </c>
    </row>
    <row r="56" spans="1:55" x14ac:dyDescent="0.2">
      <c r="D56" s="3" t="s">
        <v>32</v>
      </c>
      <c r="G56" s="1">
        <f t="shared" si="45"/>
        <v>1</v>
      </c>
      <c r="H56" s="1">
        <f t="shared" si="45"/>
        <v>1</v>
      </c>
      <c r="I56" s="1">
        <f t="shared" si="45"/>
        <v>1</v>
      </c>
      <c r="J56" s="1">
        <f t="shared" si="45"/>
        <v>1</v>
      </c>
      <c r="K56" s="1">
        <f t="shared" si="45"/>
        <v>1</v>
      </c>
      <c r="L56" s="1">
        <f t="shared" si="45"/>
        <v>1</v>
      </c>
      <c r="M56" s="1">
        <f t="shared" si="45"/>
        <v>1</v>
      </c>
      <c r="N56" s="1">
        <f t="shared" si="45"/>
        <v>1</v>
      </c>
      <c r="O56" s="1">
        <f t="shared" si="45"/>
        <v>1</v>
      </c>
      <c r="P56" s="1">
        <f t="shared" si="45"/>
        <v>1</v>
      </c>
      <c r="Q56" s="1">
        <f t="shared" si="46"/>
        <v>1</v>
      </c>
      <c r="R56" s="1">
        <f t="shared" si="46"/>
        <v>1</v>
      </c>
      <c r="S56" s="1">
        <f t="shared" si="46"/>
        <v>1</v>
      </c>
      <c r="T56" s="1">
        <f t="shared" si="46"/>
        <v>1</v>
      </c>
      <c r="U56" s="1">
        <f t="shared" si="46"/>
        <v>1</v>
      </c>
      <c r="V56" s="1">
        <f t="shared" si="46"/>
        <v>1</v>
      </c>
      <c r="W56" s="1">
        <f t="shared" si="46"/>
        <v>1</v>
      </c>
      <c r="X56" s="1">
        <f t="shared" si="46"/>
        <v>1</v>
      </c>
      <c r="Y56" s="1">
        <f t="shared" si="46"/>
        <v>1</v>
      </c>
      <c r="Z56" s="1">
        <f t="shared" si="46"/>
        <v>1</v>
      </c>
      <c r="AA56" s="1">
        <f t="shared" si="47"/>
        <v>1</v>
      </c>
      <c r="AB56" s="1">
        <f t="shared" si="47"/>
        <v>1</v>
      </c>
      <c r="AC56" s="1">
        <f t="shared" si="47"/>
        <v>1</v>
      </c>
      <c r="AD56" s="1">
        <f t="shared" si="47"/>
        <v>1</v>
      </c>
      <c r="AE56" s="1">
        <f t="shared" si="47"/>
        <v>1</v>
      </c>
      <c r="AF56" s="1">
        <f t="shared" si="47"/>
        <v>1</v>
      </c>
      <c r="AG56" s="1">
        <f t="shared" si="47"/>
        <v>1</v>
      </c>
      <c r="AH56" s="1">
        <f t="shared" si="47"/>
        <v>1</v>
      </c>
    </row>
    <row r="57" spans="1:55" x14ac:dyDescent="0.2">
      <c r="D57" s="3" t="s">
        <v>29</v>
      </c>
      <c r="G57" s="1">
        <f t="shared" si="45"/>
        <v>1</v>
      </c>
      <c r="H57" s="1">
        <f t="shared" si="45"/>
        <v>1</v>
      </c>
      <c r="I57" s="1">
        <f t="shared" si="45"/>
        <v>1</v>
      </c>
      <c r="J57" s="1">
        <f t="shared" si="45"/>
        <v>1</v>
      </c>
      <c r="K57" s="1">
        <f t="shared" si="45"/>
        <v>1</v>
      </c>
      <c r="L57" s="1">
        <f t="shared" si="45"/>
        <v>1</v>
      </c>
      <c r="M57" s="1">
        <f t="shared" si="45"/>
        <v>1</v>
      </c>
      <c r="N57" s="1">
        <f t="shared" si="45"/>
        <v>1</v>
      </c>
      <c r="O57" s="1">
        <f t="shared" si="45"/>
        <v>1</v>
      </c>
      <c r="P57" s="1">
        <f t="shared" si="45"/>
        <v>1</v>
      </c>
      <c r="Q57" s="1">
        <f t="shared" si="46"/>
        <v>1</v>
      </c>
      <c r="R57" s="1">
        <f t="shared" si="46"/>
        <v>1</v>
      </c>
      <c r="S57" s="1">
        <f t="shared" si="46"/>
        <v>1</v>
      </c>
      <c r="T57" s="1">
        <f t="shared" si="46"/>
        <v>1</v>
      </c>
      <c r="U57" s="1">
        <f t="shared" si="46"/>
        <v>1</v>
      </c>
      <c r="V57" s="1">
        <f t="shared" si="46"/>
        <v>1</v>
      </c>
      <c r="W57" s="1">
        <f t="shared" si="46"/>
        <v>1</v>
      </c>
      <c r="X57" s="1">
        <f t="shared" si="46"/>
        <v>1</v>
      </c>
      <c r="Y57" s="1">
        <f t="shared" si="46"/>
        <v>1</v>
      </c>
      <c r="Z57" s="1">
        <f t="shared" si="46"/>
        <v>1</v>
      </c>
      <c r="AA57" s="1">
        <f t="shared" si="47"/>
        <v>1</v>
      </c>
      <c r="AB57" s="1">
        <f t="shared" si="47"/>
        <v>1</v>
      </c>
      <c r="AC57" s="1">
        <f t="shared" si="47"/>
        <v>1</v>
      </c>
      <c r="AD57" s="1">
        <f t="shared" si="47"/>
        <v>1</v>
      </c>
      <c r="AE57" s="1">
        <f t="shared" si="47"/>
        <v>1</v>
      </c>
      <c r="AF57" s="1">
        <f t="shared" si="47"/>
        <v>1</v>
      </c>
      <c r="AG57" s="1">
        <f t="shared" si="47"/>
        <v>1</v>
      </c>
      <c r="AH57" s="1">
        <f t="shared" si="47"/>
        <v>1</v>
      </c>
    </row>
    <row r="58" spans="1:55" x14ac:dyDescent="0.2">
      <c r="D58" s="3" t="s">
        <v>31</v>
      </c>
      <c r="G58" s="1">
        <f t="shared" si="45"/>
        <v>1</v>
      </c>
      <c r="H58" s="1">
        <f t="shared" si="45"/>
        <v>1</v>
      </c>
      <c r="I58" s="1">
        <f t="shared" si="45"/>
        <v>1</v>
      </c>
      <c r="J58" s="1">
        <f t="shared" si="45"/>
        <v>1</v>
      </c>
      <c r="K58" s="1">
        <f t="shared" si="45"/>
        <v>1</v>
      </c>
      <c r="L58" s="1">
        <f t="shared" si="45"/>
        <v>1</v>
      </c>
      <c r="M58" s="1">
        <f t="shared" si="45"/>
        <v>1</v>
      </c>
      <c r="N58" s="1">
        <f t="shared" si="45"/>
        <v>1</v>
      </c>
      <c r="O58" s="1">
        <f t="shared" si="45"/>
        <v>1</v>
      </c>
      <c r="P58" s="1">
        <f t="shared" si="45"/>
        <v>1</v>
      </c>
      <c r="Q58" s="1">
        <f t="shared" si="46"/>
        <v>1</v>
      </c>
      <c r="R58" s="1">
        <f t="shared" si="46"/>
        <v>1</v>
      </c>
      <c r="S58" s="1">
        <f t="shared" si="46"/>
        <v>1</v>
      </c>
      <c r="T58" s="1">
        <f t="shared" si="46"/>
        <v>1</v>
      </c>
      <c r="U58" s="1">
        <f t="shared" si="46"/>
        <v>1</v>
      </c>
      <c r="V58" s="1">
        <f t="shared" si="46"/>
        <v>1</v>
      </c>
      <c r="W58" s="1">
        <f t="shared" si="46"/>
        <v>1</v>
      </c>
      <c r="X58" s="1">
        <f t="shared" si="46"/>
        <v>1</v>
      </c>
      <c r="Y58" s="1">
        <f t="shared" si="46"/>
        <v>1</v>
      </c>
      <c r="Z58" s="1">
        <f t="shared" si="46"/>
        <v>1</v>
      </c>
      <c r="AA58" s="1">
        <f t="shared" si="47"/>
        <v>1</v>
      </c>
      <c r="AB58" s="1">
        <f t="shared" si="47"/>
        <v>1</v>
      </c>
      <c r="AC58" s="1">
        <f t="shared" si="47"/>
        <v>1</v>
      </c>
      <c r="AD58" s="1">
        <f t="shared" si="47"/>
        <v>1</v>
      </c>
      <c r="AE58" s="1">
        <f t="shared" si="47"/>
        <v>1</v>
      </c>
      <c r="AF58" s="1">
        <f t="shared" si="47"/>
        <v>1</v>
      </c>
      <c r="AG58" s="1">
        <f t="shared" si="47"/>
        <v>1</v>
      </c>
      <c r="AH58" s="1">
        <f t="shared" si="47"/>
        <v>1</v>
      </c>
    </row>
    <row r="59" spans="1:55" x14ac:dyDescent="0.2">
      <c r="D59" s="3" t="s">
        <v>19</v>
      </c>
      <c r="G59" s="1">
        <f t="shared" si="45"/>
        <v>0</v>
      </c>
      <c r="H59" s="1">
        <f t="shared" si="45"/>
        <v>0</v>
      </c>
      <c r="I59" s="1">
        <f t="shared" si="45"/>
        <v>0</v>
      </c>
      <c r="J59" s="1">
        <f t="shared" si="45"/>
        <v>0</v>
      </c>
      <c r="K59" s="1">
        <f t="shared" si="45"/>
        <v>1</v>
      </c>
      <c r="L59" s="1">
        <f t="shared" si="45"/>
        <v>1</v>
      </c>
      <c r="M59" s="1">
        <f t="shared" si="45"/>
        <v>0</v>
      </c>
      <c r="N59" s="1">
        <f t="shared" si="45"/>
        <v>0</v>
      </c>
      <c r="O59" s="1">
        <f t="shared" si="45"/>
        <v>0</v>
      </c>
      <c r="P59" s="1">
        <f t="shared" si="45"/>
        <v>0</v>
      </c>
      <c r="Q59" s="1">
        <f t="shared" si="46"/>
        <v>0</v>
      </c>
      <c r="R59" s="1">
        <f t="shared" si="46"/>
        <v>1</v>
      </c>
      <c r="S59" s="1">
        <f t="shared" si="46"/>
        <v>1</v>
      </c>
      <c r="T59" s="1">
        <f t="shared" si="46"/>
        <v>1</v>
      </c>
      <c r="U59" s="1">
        <f t="shared" si="46"/>
        <v>0</v>
      </c>
      <c r="V59" s="1">
        <f t="shared" si="46"/>
        <v>0</v>
      </c>
      <c r="W59" s="1">
        <f t="shared" si="46"/>
        <v>0</v>
      </c>
      <c r="X59" s="1">
        <f t="shared" si="46"/>
        <v>0</v>
      </c>
      <c r="Y59" s="1">
        <f t="shared" si="46"/>
        <v>1</v>
      </c>
      <c r="Z59" s="1">
        <f t="shared" si="46"/>
        <v>1</v>
      </c>
      <c r="AA59" s="1">
        <f t="shared" si="47"/>
        <v>0</v>
      </c>
      <c r="AB59" s="1">
        <f t="shared" si="47"/>
        <v>0</v>
      </c>
      <c r="AC59" s="1">
        <f t="shared" si="47"/>
        <v>0</v>
      </c>
      <c r="AD59" s="1">
        <f t="shared" si="47"/>
        <v>0</v>
      </c>
      <c r="AE59" s="1">
        <f t="shared" si="47"/>
        <v>0</v>
      </c>
      <c r="AF59" s="1">
        <f t="shared" si="47"/>
        <v>1</v>
      </c>
      <c r="AG59" s="1">
        <f t="shared" si="47"/>
        <v>1</v>
      </c>
      <c r="AH59" s="1">
        <f t="shared" si="47"/>
        <v>0</v>
      </c>
    </row>
    <row r="60" spans="1:55" x14ac:dyDescent="0.2">
      <c r="D60" s="3" t="s">
        <v>57</v>
      </c>
      <c r="G60" s="1">
        <f t="shared" ref="G60:AH60" si="48">COUNTIFS(G$8:G$51,"WR*")</f>
        <v>0</v>
      </c>
      <c r="H60" s="1">
        <f t="shared" si="48"/>
        <v>0</v>
      </c>
      <c r="I60" s="1">
        <f t="shared" si="48"/>
        <v>0</v>
      </c>
      <c r="J60" s="1">
        <f t="shared" si="48"/>
        <v>0</v>
      </c>
      <c r="K60" s="1">
        <f t="shared" si="48"/>
        <v>3</v>
      </c>
      <c r="L60" s="1">
        <f t="shared" si="48"/>
        <v>3</v>
      </c>
      <c r="M60" s="1">
        <f t="shared" si="48"/>
        <v>0</v>
      </c>
      <c r="N60" s="1">
        <f t="shared" si="48"/>
        <v>0</v>
      </c>
      <c r="O60" s="1">
        <f t="shared" si="48"/>
        <v>0</v>
      </c>
      <c r="P60" s="1">
        <f t="shared" si="48"/>
        <v>0</v>
      </c>
      <c r="Q60" s="1">
        <f t="shared" si="48"/>
        <v>0</v>
      </c>
      <c r="R60" s="1">
        <f t="shared" si="48"/>
        <v>3</v>
      </c>
      <c r="S60" s="1">
        <f t="shared" si="48"/>
        <v>3</v>
      </c>
      <c r="T60" s="1">
        <f t="shared" si="48"/>
        <v>3</v>
      </c>
      <c r="U60" s="1">
        <f t="shared" si="48"/>
        <v>0</v>
      </c>
      <c r="V60" s="1">
        <f t="shared" si="48"/>
        <v>0</v>
      </c>
      <c r="W60" s="1">
        <f t="shared" si="48"/>
        <v>0</v>
      </c>
      <c r="X60" s="1">
        <f t="shared" si="48"/>
        <v>0</v>
      </c>
      <c r="Y60" s="1">
        <f t="shared" si="48"/>
        <v>3</v>
      </c>
      <c r="Z60" s="1">
        <f t="shared" si="48"/>
        <v>3</v>
      </c>
      <c r="AA60" s="1">
        <f t="shared" si="48"/>
        <v>0</v>
      </c>
      <c r="AB60" s="1">
        <f t="shared" si="48"/>
        <v>0</v>
      </c>
      <c r="AC60" s="1">
        <f t="shared" si="48"/>
        <v>0</v>
      </c>
      <c r="AD60" s="1">
        <f t="shared" si="48"/>
        <v>0</v>
      </c>
      <c r="AE60" s="1">
        <f t="shared" si="48"/>
        <v>0</v>
      </c>
      <c r="AF60" s="1">
        <f t="shared" si="48"/>
        <v>3</v>
      </c>
      <c r="AG60" s="1">
        <f t="shared" si="48"/>
        <v>3</v>
      </c>
      <c r="AH60" s="1">
        <f t="shared" si="48"/>
        <v>0</v>
      </c>
    </row>
    <row r="61" spans="1:55" x14ac:dyDescent="0.2">
      <c r="D61" s="3" t="s">
        <v>70</v>
      </c>
      <c r="G61" s="1">
        <f t="shared" ref="G61:AH61" si="49">COUNTIFS(G$8:G$51,"S")</f>
        <v>1</v>
      </c>
      <c r="H61" s="1">
        <f t="shared" si="49"/>
        <v>1</v>
      </c>
      <c r="I61" s="1">
        <f t="shared" si="49"/>
        <v>1</v>
      </c>
      <c r="J61" s="1">
        <f t="shared" si="49"/>
        <v>1</v>
      </c>
      <c r="K61" s="1">
        <f t="shared" si="49"/>
        <v>1</v>
      </c>
      <c r="L61" s="1">
        <f t="shared" si="49"/>
        <v>1</v>
      </c>
      <c r="M61" s="1">
        <f t="shared" si="49"/>
        <v>1</v>
      </c>
      <c r="N61" s="1">
        <f t="shared" si="49"/>
        <v>1</v>
      </c>
      <c r="O61" s="1">
        <f t="shared" si="49"/>
        <v>1</v>
      </c>
      <c r="P61" s="1">
        <f t="shared" si="49"/>
        <v>1</v>
      </c>
      <c r="Q61" s="1">
        <f t="shared" si="49"/>
        <v>1</v>
      </c>
      <c r="R61" s="1">
        <f t="shared" si="49"/>
        <v>1</v>
      </c>
      <c r="S61" s="1">
        <f t="shared" si="49"/>
        <v>1</v>
      </c>
      <c r="T61" s="1">
        <f t="shared" si="49"/>
        <v>1</v>
      </c>
      <c r="U61" s="1">
        <f t="shared" si="49"/>
        <v>1</v>
      </c>
      <c r="V61" s="1">
        <f t="shared" si="49"/>
        <v>1</v>
      </c>
      <c r="W61" s="1">
        <f t="shared" si="49"/>
        <v>1</v>
      </c>
      <c r="X61" s="1">
        <f t="shared" si="49"/>
        <v>1</v>
      </c>
      <c r="Y61" s="1">
        <f t="shared" si="49"/>
        <v>1</v>
      </c>
      <c r="Z61" s="1">
        <f t="shared" si="49"/>
        <v>1</v>
      </c>
      <c r="AA61" s="1">
        <f t="shared" si="49"/>
        <v>1</v>
      </c>
      <c r="AB61" s="1">
        <f t="shared" si="49"/>
        <v>1</v>
      </c>
      <c r="AC61" s="1">
        <f t="shared" si="49"/>
        <v>1</v>
      </c>
      <c r="AD61" s="1">
        <f t="shared" si="49"/>
        <v>1</v>
      </c>
      <c r="AE61" s="1">
        <f t="shared" si="49"/>
        <v>0</v>
      </c>
      <c r="AF61" s="1">
        <f t="shared" si="49"/>
        <v>1</v>
      </c>
      <c r="AG61" s="1">
        <f t="shared" si="49"/>
        <v>1</v>
      </c>
      <c r="AH61" s="1">
        <f t="shared" si="49"/>
        <v>1</v>
      </c>
    </row>
    <row r="64" spans="1:55" x14ac:dyDescent="0.2">
      <c r="C64" s="3" t="s">
        <v>189</v>
      </c>
      <c r="D64" s="237" t="str">
        <f>TEXT(C3-1,"mmm yy")</f>
        <v>Sep 25</v>
      </c>
    </row>
    <row r="65" spans="3:4" x14ac:dyDescent="0.2">
      <c r="C65" s="3" t="s">
        <v>190</v>
      </c>
      <c r="D65" s="239">
        <v>57</v>
      </c>
    </row>
    <row r="66" spans="3:4" x14ac:dyDescent="0.2">
      <c r="C66" s="3" t="s">
        <v>192</v>
      </c>
      <c r="D66" s="3" t="str">
        <f>SUBSTITUTE(ADDRESS(1,COLUMN(C5)+D65-1,4),"1","")</f>
        <v>BG</v>
      </c>
    </row>
    <row r="67" spans="3:4" x14ac:dyDescent="0.2">
      <c r="C67" s="3" t="s">
        <v>191</v>
      </c>
      <c r="D67" s="239">
        <v>39</v>
      </c>
    </row>
  </sheetData>
  <mergeCells count="7">
    <mergeCell ref="AJ3:AM3"/>
    <mergeCell ref="AJ4:AM4"/>
    <mergeCell ref="AN4:BC4"/>
    <mergeCell ref="AJ5:AM6"/>
    <mergeCell ref="AN5:AS6"/>
    <mergeCell ref="AT5:AX6"/>
    <mergeCell ref="AY5:BC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7557-3AFE-9B4A-B2F4-5632203C869F}">
  <dimension ref="B2:BU53"/>
  <sheetViews>
    <sheetView showGridLines="0" zoomScaleNormal="85" workbookViewId="0">
      <pane xSplit="5" ySplit="7" topLeftCell="F8" activePane="bottomRight" state="frozen"/>
      <selection pane="topRight" activeCell="E1" sqref="E1"/>
      <selection pane="bottomLeft" activeCell="A6" sqref="A6"/>
      <selection pane="bottomRight" activeCell="AL28" sqref="AL28"/>
    </sheetView>
  </sheetViews>
  <sheetFormatPr baseColWidth="10" defaultColWidth="10.83203125" defaultRowHeight="15" x14ac:dyDescent="0.2"/>
  <cols>
    <col min="1" max="1" width="3.83203125" style="1" customWidth="1"/>
    <col min="2" max="2" width="2.83203125" style="1" customWidth="1"/>
    <col min="3" max="3" width="3.83203125" style="3" bestFit="1" customWidth="1"/>
    <col min="4" max="4" width="20.1640625" style="3" bestFit="1" customWidth="1"/>
    <col min="5" max="5" width="11.83203125" style="3" bestFit="1" customWidth="1"/>
    <col min="6" max="40" width="10.83203125" style="1"/>
    <col min="41" max="41" width="3.1640625" style="1" customWidth="1"/>
    <col min="42" max="43" width="10.83203125" style="1"/>
    <col min="44" max="44" width="14.1640625" style="1" bestFit="1" customWidth="1"/>
    <col min="45" max="45" width="17" style="1" bestFit="1" customWidth="1"/>
    <col min="46" max="46" width="10.83203125" style="1"/>
    <col min="47" max="47" width="13.5" style="1" bestFit="1" customWidth="1"/>
    <col min="48" max="48" width="11.5" style="1" bestFit="1" customWidth="1"/>
    <col min="49" max="53" width="10.83203125" style="1"/>
    <col min="54" max="54" width="14.1640625" style="1" bestFit="1" customWidth="1"/>
    <col min="55" max="55" width="17" style="1" bestFit="1" customWidth="1"/>
    <col min="56" max="56" width="22.83203125" style="1" bestFit="1" customWidth="1"/>
    <col min="57" max="58" width="10.83203125" style="1"/>
    <col min="59" max="59" width="14.1640625" style="1" bestFit="1" customWidth="1"/>
    <col min="60" max="60" width="17" style="1" bestFit="1" customWidth="1"/>
    <col min="61" max="61" width="22.83203125" style="1" bestFit="1" customWidth="1"/>
    <col min="62" max="16384" width="10.83203125" style="1"/>
  </cols>
  <sheetData>
    <row r="2" spans="2:73" x14ac:dyDescent="0.2">
      <c r="C2" s="1"/>
      <c r="D2" s="1">
        <v>1</v>
      </c>
      <c r="E2" s="1">
        <f>D2+1</f>
        <v>2</v>
      </c>
      <c r="F2" s="1">
        <f t="shared" ref="F2:BI2" si="0">E2+1</f>
        <v>3</v>
      </c>
      <c r="G2" s="1">
        <f t="shared" si="0"/>
        <v>4</v>
      </c>
      <c r="H2" s="1">
        <f t="shared" si="0"/>
        <v>5</v>
      </c>
      <c r="I2" s="1">
        <f t="shared" si="0"/>
        <v>6</v>
      </c>
      <c r="J2" s="1">
        <f t="shared" si="0"/>
        <v>7</v>
      </c>
      <c r="K2" s="1">
        <f t="shared" si="0"/>
        <v>8</v>
      </c>
      <c r="L2" s="1">
        <f t="shared" si="0"/>
        <v>9</v>
      </c>
      <c r="M2" s="1">
        <f t="shared" si="0"/>
        <v>10</v>
      </c>
      <c r="N2" s="1">
        <f t="shared" si="0"/>
        <v>11</v>
      </c>
      <c r="O2" s="1">
        <f t="shared" si="0"/>
        <v>12</v>
      </c>
      <c r="P2" s="1">
        <f t="shared" si="0"/>
        <v>13</v>
      </c>
      <c r="Q2" s="1">
        <f t="shared" si="0"/>
        <v>14</v>
      </c>
      <c r="R2" s="1">
        <f t="shared" si="0"/>
        <v>15</v>
      </c>
      <c r="S2" s="1">
        <f t="shared" si="0"/>
        <v>16</v>
      </c>
      <c r="T2" s="1">
        <f t="shared" si="0"/>
        <v>17</v>
      </c>
      <c r="U2" s="1">
        <f t="shared" si="0"/>
        <v>18</v>
      </c>
      <c r="V2" s="1">
        <f t="shared" si="0"/>
        <v>19</v>
      </c>
      <c r="W2" s="1">
        <f t="shared" si="0"/>
        <v>20</v>
      </c>
      <c r="X2" s="1">
        <f t="shared" si="0"/>
        <v>21</v>
      </c>
      <c r="Y2" s="1">
        <f t="shared" si="0"/>
        <v>22</v>
      </c>
      <c r="Z2" s="1">
        <f t="shared" si="0"/>
        <v>23</v>
      </c>
      <c r="AA2" s="1">
        <f t="shared" si="0"/>
        <v>24</v>
      </c>
      <c r="AB2" s="1">
        <f t="shared" si="0"/>
        <v>25</v>
      </c>
      <c r="AC2" s="1">
        <f t="shared" si="0"/>
        <v>26</v>
      </c>
      <c r="AD2" s="1">
        <f t="shared" si="0"/>
        <v>27</v>
      </c>
      <c r="AE2" s="1">
        <f t="shared" si="0"/>
        <v>28</v>
      </c>
      <c r="AF2" s="1">
        <f t="shared" si="0"/>
        <v>29</v>
      </c>
      <c r="AG2" s="1">
        <f t="shared" si="0"/>
        <v>30</v>
      </c>
      <c r="AH2" s="1">
        <f t="shared" si="0"/>
        <v>31</v>
      </c>
      <c r="AI2" s="1">
        <f t="shared" si="0"/>
        <v>32</v>
      </c>
      <c r="AJ2" s="1">
        <f t="shared" si="0"/>
        <v>33</v>
      </c>
      <c r="AK2" s="1">
        <f t="shared" si="0"/>
        <v>34</v>
      </c>
      <c r="AL2" s="1">
        <f t="shared" si="0"/>
        <v>35</v>
      </c>
      <c r="AM2" s="1">
        <f t="shared" si="0"/>
        <v>36</v>
      </c>
      <c r="AN2" s="1">
        <f t="shared" si="0"/>
        <v>37</v>
      </c>
      <c r="AO2" s="1">
        <f t="shared" si="0"/>
        <v>38</v>
      </c>
      <c r="AP2" s="1">
        <f t="shared" si="0"/>
        <v>39</v>
      </c>
      <c r="AQ2" s="1">
        <f t="shared" si="0"/>
        <v>40</v>
      </c>
      <c r="AR2" s="1">
        <f t="shared" si="0"/>
        <v>41</v>
      </c>
      <c r="AS2" s="1">
        <f t="shared" si="0"/>
        <v>42</v>
      </c>
      <c r="AT2" s="1">
        <f t="shared" si="0"/>
        <v>43</v>
      </c>
      <c r="AU2" s="1">
        <f t="shared" si="0"/>
        <v>44</v>
      </c>
      <c r="AV2" s="1">
        <f t="shared" si="0"/>
        <v>45</v>
      </c>
      <c r="AW2" s="1">
        <f t="shared" si="0"/>
        <v>46</v>
      </c>
      <c r="AX2" s="1">
        <f t="shared" si="0"/>
        <v>47</v>
      </c>
      <c r="AY2" s="1">
        <f t="shared" si="0"/>
        <v>48</v>
      </c>
      <c r="AZ2" s="1">
        <f t="shared" si="0"/>
        <v>49</v>
      </c>
      <c r="BA2" s="1">
        <f t="shared" si="0"/>
        <v>50</v>
      </c>
      <c r="BB2" s="1">
        <f t="shared" si="0"/>
        <v>51</v>
      </c>
      <c r="BC2" s="1">
        <f t="shared" si="0"/>
        <v>52</v>
      </c>
      <c r="BD2" s="1">
        <f t="shared" si="0"/>
        <v>53</v>
      </c>
      <c r="BE2" s="240">
        <f t="shared" si="0"/>
        <v>54</v>
      </c>
      <c r="BF2" s="1">
        <f t="shared" si="0"/>
        <v>55</v>
      </c>
      <c r="BG2" s="1">
        <f t="shared" si="0"/>
        <v>56</v>
      </c>
      <c r="BH2" s="249">
        <f t="shared" si="0"/>
        <v>57</v>
      </c>
      <c r="BI2" s="1">
        <f t="shared" si="0"/>
        <v>58</v>
      </c>
    </row>
    <row r="3" spans="2:73" ht="27" thickBot="1" x14ac:dyDescent="0.25">
      <c r="D3" s="238">
        <v>45901</v>
      </c>
      <c r="E3" s="3" t="s">
        <v>159</v>
      </c>
      <c r="F3" s="1" t="s">
        <v>160</v>
      </c>
      <c r="G3" s="1" t="s">
        <v>160</v>
      </c>
      <c r="H3" s="1" t="s">
        <v>160</v>
      </c>
      <c r="I3" s="1" t="s">
        <v>160</v>
      </c>
      <c r="J3" s="1" t="s">
        <v>160</v>
      </c>
      <c r="K3" s="1" t="s">
        <v>160</v>
      </c>
      <c r="L3" s="1" t="s">
        <v>160</v>
      </c>
      <c r="M3" s="1" t="s">
        <v>160</v>
      </c>
      <c r="N3" s="1" t="s">
        <v>160</v>
      </c>
      <c r="O3" s="1" t="s">
        <v>160</v>
      </c>
      <c r="P3" s="1" t="s">
        <v>160</v>
      </c>
      <c r="Q3" s="1" t="s">
        <v>160</v>
      </c>
      <c r="R3" s="1" t="s">
        <v>160</v>
      </c>
      <c r="S3" s="1" t="s">
        <v>160</v>
      </c>
      <c r="T3" s="1" t="s">
        <v>160</v>
      </c>
      <c r="U3" s="1" t="s">
        <v>160</v>
      </c>
      <c r="V3" s="1" t="s">
        <v>160</v>
      </c>
      <c r="W3" s="1" t="s">
        <v>160</v>
      </c>
      <c r="X3" s="1" t="s">
        <v>160</v>
      </c>
      <c r="Y3" s="1" t="s">
        <v>160</v>
      </c>
      <c r="Z3" s="1" t="s">
        <v>160</v>
      </c>
      <c r="AA3" s="1" t="s">
        <v>160</v>
      </c>
      <c r="AB3" s="1" t="s">
        <v>160</v>
      </c>
      <c r="AC3" s="1" t="s">
        <v>160</v>
      </c>
      <c r="AD3" s="1" t="s">
        <v>160</v>
      </c>
      <c r="AE3" s="1" t="s">
        <v>160</v>
      </c>
      <c r="AF3" s="1" t="s">
        <v>160</v>
      </c>
      <c r="AG3" s="1" t="s">
        <v>160</v>
      </c>
      <c r="AH3" s="1" t="s">
        <v>160</v>
      </c>
      <c r="AI3" s="1" t="s">
        <v>160</v>
      </c>
      <c r="AJ3" s="1" t="s">
        <v>160</v>
      </c>
      <c r="AK3" s="1" t="s">
        <v>160</v>
      </c>
      <c r="AL3" s="1" t="s">
        <v>160</v>
      </c>
      <c r="AM3" s="1" t="s">
        <v>160</v>
      </c>
      <c r="AN3" s="1" t="s">
        <v>160</v>
      </c>
      <c r="AP3" s="423" t="s">
        <v>120</v>
      </c>
      <c r="AQ3" s="423"/>
      <c r="AR3" s="423"/>
      <c r="AS3" s="423"/>
    </row>
    <row r="4" spans="2:73" ht="16" thickBot="1" x14ac:dyDescent="0.25">
      <c r="F4" s="1" t="s">
        <v>133</v>
      </c>
      <c r="H4" s="1" t="s">
        <v>1</v>
      </c>
      <c r="AP4" s="405" t="s">
        <v>133</v>
      </c>
      <c r="AQ4" s="406"/>
      <c r="AR4" s="406"/>
      <c r="AS4" s="407"/>
      <c r="AT4" s="408" t="s">
        <v>175</v>
      </c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10"/>
    </row>
    <row r="5" spans="2:73" x14ac:dyDescent="0.2">
      <c r="B5" s="1">
        <v>1</v>
      </c>
      <c r="F5" s="57">
        <f>H5-2</f>
        <v>45902</v>
      </c>
      <c r="G5" s="59">
        <f>H5-1</f>
        <v>45903</v>
      </c>
      <c r="H5" s="97">
        <v>45904</v>
      </c>
      <c r="I5" s="58">
        <f>H5+1</f>
        <v>45905</v>
      </c>
      <c r="J5" s="58">
        <f>I5+1</f>
        <v>45906</v>
      </c>
      <c r="K5" s="58">
        <f t="shared" ref="K5:AN5" si="1">J5+1</f>
        <v>45907</v>
      </c>
      <c r="L5" s="58">
        <f t="shared" si="1"/>
        <v>45908</v>
      </c>
      <c r="M5" s="58">
        <f t="shared" si="1"/>
        <v>45909</v>
      </c>
      <c r="N5" s="58">
        <f t="shared" si="1"/>
        <v>45910</v>
      </c>
      <c r="O5" s="58">
        <f t="shared" si="1"/>
        <v>45911</v>
      </c>
      <c r="P5" s="58">
        <f t="shared" si="1"/>
        <v>45912</v>
      </c>
      <c r="Q5" s="58">
        <f t="shared" si="1"/>
        <v>45913</v>
      </c>
      <c r="R5" s="58">
        <f t="shared" si="1"/>
        <v>45914</v>
      </c>
      <c r="S5" s="58">
        <f t="shared" si="1"/>
        <v>45915</v>
      </c>
      <c r="T5" s="58">
        <f t="shared" si="1"/>
        <v>45916</v>
      </c>
      <c r="U5" s="58">
        <f t="shared" si="1"/>
        <v>45917</v>
      </c>
      <c r="V5" s="58">
        <f t="shared" si="1"/>
        <v>45918</v>
      </c>
      <c r="W5" s="58">
        <f t="shared" si="1"/>
        <v>45919</v>
      </c>
      <c r="X5" s="58">
        <f t="shared" si="1"/>
        <v>45920</v>
      </c>
      <c r="Y5" s="58">
        <f t="shared" si="1"/>
        <v>45921</v>
      </c>
      <c r="Z5" s="58">
        <f t="shared" si="1"/>
        <v>45922</v>
      </c>
      <c r="AA5" s="58">
        <f t="shared" si="1"/>
        <v>45923</v>
      </c>
      <c r="AB5" s="58">
        <f t="shared" si="1"/>
        <v>45924</v>
      </c>
      <c r="AC5" s="58">
        <f t="shared" si="1"/>
        <v>45925</v>
      </c>
      <c r="AD5" s="58">
        <f t="shared" si="1"/>
        <v>45926</v>
      </c>
      <c r="AE5" s="58">
        <f t="shared" si="1"/>
        <v>45927</v>
      </c>
      <c r="AF5" s="58">
        <f t="shared" si="1"/>
        <v>45928</v>
      </c>
      <c r="AG5" s="58">
        <f t="shared" si="1"/>
        <v>45929</v>
      </c>
      <c r="AH5" s="58">
        <f t="shared" si="1"/>
        <v>45930</v>
      </c>
      <c r="AI5" s="58">
        <f t="shared" si="1"/>
        <v>45931</v>
      </c>
      <c r="AJ5" s="58">
        <f t="shared" si="1"/>
        <v>45932</v>
      </c>
      <c r="AK5" s="58">
        <f t="shared" si="1"/>
        <v>45933</v>
      </c>
      <c r="AL5" s="58">
        <f t="shared" si="1"/>
        <v>45934</v>
      </c>
      <c r="AM5" s="58">
        <f t="shared" si="1"/>
        <v>45935</v>
      </c>
      <c r="AN5" s="59">
        <f t="shared" si="1"/>
        <v>45936</v>
      </c>
      <c r="AO5" s="5"/>
      <c r="AP5" s="411" t="s">
        <v>170</v>
      </c>
      <c r="AQ5" s="412"/>
      <c r="AR5" s="412"/>
      <c r="AS5" s="413"/>
      <c r="AT5" s="417" t="s">
        <v>176</v>
      </c>
      <c r="AU5" s="418"/>
      <c r="AV5" s="418"/>
      <c r="AW5" s="418"/>
      <c r="AX5" s="418"/>
      <c r="AY5" s="419"/>
      <c r="AZ5" s="417" t="s">
        <v>188</v>
      </c>
      <c r="BA5" s="418"/>
      <c r="BB5" s="418"/>
      <c r="BC5" s="418"/>
      <c r="BD5" s="419"/>
      <c r="BE5" s="417" t="s">
        <v>170</v>
      </c>
      <c r="BF5" s="418"/>
      <c r="BG5" s="418"/>
      <c r="BH5" s="418"/>
      <c r="BI5" s="419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</row>
    <row r="6" spans="2:73" ht="16" thickBot="1" x14ac:dyDescent="0.25">
      <c r="B6" s="1">
        <f>B5+1</f>
        <v>2</v>
      </c>
      <c r="F6" s="60">
        <f>WEEKDAY(F5,2)</f>
        <v>2</v>
      </c>
      <c r="G6" s="61">
        <f t="shared" ref="G6:AN6" si="2">WEEKDAY(G5,2)</f>
        <v>3</v>
      </c>
      <c r="H6" s="96">
        <f t="shared" si="2"/>
        <v>4</v>
      </c>
      <c r="I6" s="51">
        <f t="shared" si="2"/>
        <v>5</v>
      </c>
      <c r="J6" s="51">
        <f t="shared" si="2"/>
        <v>6</v>
      </c>
      <c r="K6" s="51">
        <f t="shared" si="2"/>
        <v>7</v>
      </c>
      <c r="L6" s="51">
        <f t="shared" si="2"/>
        <v>1</v>
      </c>
      <c r="M6" s="51">
        <f t="shared" si="2"/>
        <v>2</v>
      </c>
      <c r="N6" s="51">
        <f t="shared" si="2"/>
        <v>3</v>
      </c>
      <c r="O6" s="51">
        <f t="shared" si="2"/>
        <v>4</v>
      </c>
      <c r="P6" s="51">
        <f t="shared" si="2"/>
        <v>5</v>
      </c>
      <c r="Q6" s="51">
        <f t="shared" si="2"/>
        <v>6</v>
      </c>
      <c r="R6" s="51">
        <f t="shared" si="2"/>
        <v>7</v>
      </c>
      <c r="S6" s="51">
        <f t="shared" si="2"/>
        <v>1</v>
      </c>
      <c r="T6" s="51">
        <f t="shared" si="2"/>
        <v>2</v>
      </c>
      <c r="U6" s="51">
        <f t="shared" si="2"/>
        <v>3</v>
      </c>
      <c r="V6" s="51">
        <f t="shared" si="2"/>
        <v>4</v>
      </c>
      <c r="W6" s="51">
        <f t="shared" si="2"/>
        <v>5</v>
      </c>
      <c r="X6" s="51">
        <f t="shared" si="2"/>
        <v>6</v>
      </c>
      <c r="Y6" s="51">
        <f t="shared" si="2"/>
        <v>7</v>
      </c>
      <c r="Z6" s="51">
        <f t="shared" si="2"/>
        <v>1</v>
      </c>
      <c r="AA6" s="51">
        <f t="shared" si="2"/>
        <v>2</v>
      </c>
      <c r="AB6" s="51">
        <f t="shared" si="2"/>
        <v>3</v>
      </c>
      <c r="AC6" s="51">
        <f t="shared" si="2"/>
        <v>4</v>
      </c>
      <c r="AD6" s="51">
        <f t="shared" si="2"/>
        <v>5</v>
      </c>
      <c r="AE6" s="51">
        <f t="shared" si="2"/>
        <v>6</v>
      </c>
      <c r="AF6" s="51">
        <f t="shared" si="2"/>
        <v>7</v>
      </c>
      <c r="AG6" s="51">
        <f t="shared" si="2"/>
        <v>1</v>
      </c>
      <c r="AH6" s="51">
        <f t="shared" si="2"/>
        <v>2</v>
      </c>
      <c r="AI6" s="51">
        <f t="shared" si="2"/>
        <v>3</v>
      </c>
      <c r="AJ6" s="51">
        <f t="shared" si="2"/>
        <v>4</v>
      </c>
      <c r="AK6" s="51">
        <f t="shared" si="2"/>
        <v>5</v>
      </c>
      <c r="AL6" s="51">
        <f t="shared" si="2"/>
        <v>6</v>
      </c>
      <c r="AM6" s="51">
        <f t="shared" si="2"/>
        <v>7</v>
      </c>
      <c r="AN6" s="61">
        <f t="shared" si="2"/>
        <v>1</v>
      </c>
      <c r="AO6" s="5"/>
      <c r="AP6" s="414"/>
      <c r="AQ6" s="415"/>
      <c r="AR6" s="415"/>
      <c r="AS6" s="416"/>
      <c r="AT6" s="420"/>
      <c r="AU6" s="421"/>
      <c r="AV6" s="421"/>
      <c r="AW6" s="421"/>
      <c r="AX6" s="421"/>
      <c r="AY6" s="422"/>
      <c r="AZ6" s="420"/>
      <c r="BA6" s="421"/>
      <c r="BB6" s="421"/>
      <c r="BC6" s="421"/>
      <c r="BD6" s="422"/>
      <c r="BE6" s="420"/>
      <c r="BF6" s="421"/>
      <c r="BG6" s="421"/>
      <c r="BH6" s="421"/>
      <c r="BI6" s="422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</row>
    <row r="7" spans="2:73" ht="16" thickBot="1" x14ac:dyDescent="0.25">
      <c r="B7" s="1">
        <f t="shared" ref="B7:B43" si="3">B6+1</f>
        <v>3</v>
      </c>
      <c r="C7" s="52" t="s">
        <v>158</v>
      </c>
      <c r="D7" s="53" t="s">
        <v>132</v>
      </c>
      <c r="E7" s="63" t="s">
        <v>4</v>
      </c>
      <c r="F7" s="62" t="str">
        <f>VLOOKUP(WEEKDAY(F5,2),Index!$B$2:$C$8,2,0)</f>
        <v>Tuesday</v>
      </c>
      <c r="G7" s="56" t="str">
        <f>VLOOKUP(WEEKDAY(G5,2),Index!$B$2:$C$8,2,0)</f>
        <v>Wednesday</v>
      </c>
      <c r="H7" s="85" t="str">
        <f>VLOOKUP(WEEKDAY(H5,2),Index!$B$2:$C$8,2,0)</f>
        <v>Thursday</v>
      </c>
      <c r="I7" s="54" t="str">
        <f>VLOOKUP(WEEKDAY(I5,2),Index!$B$2:$C$8,2,0)</f>
        <v>Friday</v>
      </c>
      <c r="J7" s="55" t="str">
        <f>VLOOKUP(WEEKDAY(J5,2),Index!$B$2:$C$8,2,0)</f>
        <v>Saturday</v>
      </c>
      <c r="K7" s="55" t="str">
        <f>VLOOKUP(WEEKDAY(K5,2),Index!$B$2:$C$8,2,0)</f>
        <v>Sunday</v>
      </c>
      <c r="L7" s="54" t="str">
        <f>VLOOKUP(WEEKDAY(L5,2),Index!$B$2:$C$8,2,0)</f>
        <v>Monday</v>
      </c>
      <c r="M7" s="54" t="str">
        <f>VLOOKUP(WEEKDAY(M5,2),Index!$B$2:$C$8,2,0)</f>
        <v>Tuesday</v>
      </c>
      <c r="N7" s="54" t="str">
        <f>VLOOKUP(WEEKDAY(N5,2),Index!$B$2:$C$8,2,0)</f>
        <v>Wednesday</v>
      </c>
      <c r="O7" s="54" t="str">
        <f>VLOOKUP(WEEKDAY(O5,2),Index!$B$2:$C$8,2,0)</f>
        <v>Thursday</v>
      </c>
      <c r="P7" s="54" t="str">
        <f>VLOOKUP(WEEKDAY(P5,2),Index!$B$2:$C$8,2,0)</f>
        <v>Friday</v>
      </c>
      <c r="Q7" s="55" t="str">
        <f>VLOOKUP(WEEKDAY(Q5,2),Index!$B$2:$C$8,2,0)</f>
        <v>Saturday</v>
      </c>
      <c r="R7" s="55" t="str">
        <f>VLOOKUP(WEEKDAY(R5,2),Index!$B$2:$C$8,2,0)</f>
        <v>Sunday</v>
      </c>
      <c r="S7" s="54" t="str">
        <f>VLOOKUP(WEEKDAY(S5,2),Index!$B$2:$C$8,2,0)</f>
        <v>Monday</v>
      </c>
      <c r="T7" s="54" t="str">
        <f>VLOOKUP(WEEKDAY(T5,2),Index!$B$2:$C$8,2,0)</f>
        <v>Tuesday</v>
      </c>
      <c r="U7" s="54" t="str">
        <f>VLOOKUP(WEEKDAY(U5,2),Index!$B$2:$C$8,2,0)</f>
        <v>Wednesday</v>
      </c>
      <c r="V7" s="54" t="str">
        <f>VLOOKUP(WEEKDAY(V5,2),Index!$B$2:$C$8,2,0)</f>
        <v>Thursday</v>
      </c>
      <c r="W7" s="54" t="str">
        <f>VLOOKUP(WEEKDAY(W5,2),Index!$B$2:$C$8,2,0)</f>
        <v>Friday</v>
      </c>
      <c r="X7" s="55" t="str">
        <f>VLOOKUP(WEEKDAY(X5,2),Index!$B$2:$C$8,2,0)</f>
        <v>Saturday</v>
      </c>
      <c r="Y7" s="55" t="str">
        <f>VLOOKUP(WEEKDAY(Y5,2),Index!$B$2:$C$8,2,0)</f>
        <v>Sunday</v>
      </c>
      <c r="Z7" s="54" t="str">
        <f>VLOOKUP(WEEKDAY(Z5,2),Index!$B$2:$C$8,2,0)</f>
        <v>Monday</v>
      </c>
      <c r="AA7" s="54" t="str">
        <f>VLOOKUP(WEEKDAY(AA5,2),Index!$B$2:$C$8,2,0)</f>
        <v>Tuesday</v>
      </c>
      <c r="AB7" s="54" t="str">
        <f>VLOOKUP(WEEKDAY(AB5,2),Index!$B$2:$C$8,2,0)</f>
        <v>Wednesday</v>
      </c>
      <c r="AC7" s="54" t="str">
        <f>VLOOKUP(WEEKDAY(AC5,2),Index!$B$2:$C$8,2,0)</f>
        <v>Thursday</v>
      </c>
      <c r="AD7" s="54" t="str">
        <f>VLOOKUP(WEEKDAY(AD5,2),Index!$B$2:$C$8,2,0)</f>
        <v>Friday</v>
      </c>
      <c r="AE7" s="55" t="str">
        <f>VLOOKUP(WEEKDAY(AE5,2),Index!$B$2:$C$8,2,0)</f>
        <v>Saturday</v>
      </c>
      <c r="AF7" s="55" t="str">
        <f>VLOOKUP(WEEKDAY(AF5,2),Index!$B$2:$C$8,2,0)</f>
        <v>Sunday</v>
      </c>
      <c r="AG7" s="54" t="str">
        <f>VLOOKUP(WEEKDAY(AG5,2),Index!$B$2:$C$8,2,0)</f>
        <v>Monday</v>
      </c>
      <c r="AH7" s="54" t="str">
        <f>VLOOKUP(WEEKDAY(AH5,2),Index!$B$2:$C$8,2,0)</f>
        <v>Tuesday</v>
      </c>
      <c r="AI7" s="54" t="str">
        <f>VLOOKUP(WEEKDAY(AI5,2),Index!$B$2:$C$8,2,0)</f>
        <v>Wednesday</v>
      </c>
      <c r="AJ7" s="54" t="str">
        <f>VLOOKUP(WEEKDAY(AJ5,2),Index!$B$2:$C$8,2,0)</f>
        <v>Thursday</v>
      </c>
      <c r="AK7" s="54" t="str">
        <f>VLOOKUP(WEEKDAY(AK5,2),Index!$B$2:$C$8,2,0)</f>
        <v>Friday</v>
      </c>
      <c r="AL7" s="55" t="str">
        <f>VLOOKUP(WEEKDAY(AL5,2),Index!$B$2:$C$8,2,0)</f>
        <v>Saturday</v>
      </c>
      <c r="AM7" s="55" t="str">
        <f>VLOOKUP(WEEKDAY(AM5,2),Index!$B$2:$C$8,2,0)</f>
        <v>Sunday</v>
      </c>
      <c r="AN7" s="56" t="str">
        <f>VLOOKUP(WEEKDAY(AN5,2),Index!$B$2:$C$8,2,0)</f>
        <v>Monday</v>
      </c>
      <c r="AP7" s="49" t="s">
        <v>171</v>
      </c>
      <c r="AQ7" s="48" t="s">
        <v>172</v>
      </c>
      <c r="AR7" s="48" t="s">
        <v>173</v>
      </c>
      <c r="AS7" s="50" t="s">
        <v>174</v>
      </c>
      <c r="AT7" s="80" t="s">
        <v>169</v>
      </c>
      <c r="AU7" s="81" t="s">
        <v>177</v>
      </c>
      <c r="AV7" s="81" t="s">
        <v>178</v>
      </c>
      <c r="AW7" s="81" t="s">
        <v>168</v>
      </c>
      <c r="AX7" s="82" t="s">
        <v>19</v>
      </c>
      <c r="AY7" s="83" t="s">
        <v>77</v>
      </c>
      <c r="AZ7" s="84" t="s">
        <v>171</v>
      </c>
      <c r="BA7" s="82" t="s">
        <v>172</v>
      </c>
      <c r="BB7" s="82" t="s">
        <v>173</v>
      </c>
      <c r="BC7" s="82" t="s">
        <v>174</v>
      </c>
      <c r="BD7" s="83" t="s">
        <v>180</v>
      </c>
      <c r="BE7" s="84" t="s">
        <v>171</v>
      </c>
      <c r="BF7" s="82" t="s">
        <v>172</v>
      </c>
      <c r="BG7" s="82" t="s">
        <v>173</v>
      </c>
      <c r="BH7" s="82" t="s">
        <v>174</v>
      </c>
      <c r="BI7" s="83" t="s">
        <v>180</v>
      </c>
    </row>
    <row r="8" spans="2:73" x14ac:dyDescent="0.2">
      <c r="B8" s="1">
        <f t="shared" si="3"/>
        <v>4</v>
      </c>
      <c r="C8" s="64">
        <v>1</v>
      </c>
      <c r="D8" s="65" t="s">
        <v>134</v>
      </c>
      <c r="E8" s="87">
        <v>31</v>
      </c>
      <c r="F8" s="230" t="str">
        <f>IFERROR(IF(VLOOKUP($D8,'Aug 25'!$B$5:$AM$41,37,FALSE)=0,"",VLOOKUP($D8,'Aug 25'!$B$5:$AM$41,37,FALSE)),"")</f>
        <v/>
      </c>
      <c r="G8" s="70" t="str">
        <f>IFERROR(IF(VLOOKUP($D8,'Aug 25'!$B$5:$AM$41,38,FALSE)=0,"",VLOOKUP($D8,'Aug 25'!$B$5:$AM$41,38,FALSE)),"")</f>
        <v/>
      </c>
      <c r="H8" s="86"/>
      <c r="I8" s="66"/>
      <c r="J8" s="67" t="s">
        <v>30</v>
      </c>
      <c r="K8" s="67" t="s">
        <v>90</v>
      </c>
      <c r="L8" s="66"/>
      <c r="M8" s="66"/>
      <c r="N8" s="66"/>
      <c r="O8" s="66"/>
      <c r="P8" s="66"/>
      <c r="Q8" s="67"/>
      <c r="R8" s="68" t="s">
        <v>85</v>
      </c>
      <c r="S8" s="68" t="s">
        <v>85</v>
      </c>
      <c r="T8" s="66"/>
      <c r="U8" s="66"/>
      <c r="V8" s="66"/>
      <c r="W8" s="66"/>
      <c r="X8" s="69" t="s">
        <v>21</v>
      </c>
      <c r="Y8" s="67"/>
      <c r="Z8" s="66" t="s">
        <v>30</v>
      </c>
      <c r="AA8" s="66"/>
      <c r="AB8" s="66"/>
      <c r="AC8" s="66"/>
      <c r="AD8" s="66" t="s">
        <v>30</v>
      </c>
      <c r="AE8" s="67"/>
      <c r="AF8" s="67"/>
      <c r="AG8" s="66"/>
      <c r="AH8" s="66" t="s">
        <v>34</v>
      </c>
      <c r="AI8" s="66"/>
      <c r="AJ8" s="66"/>
      <c r="AK8" s="66"/>
      <c r="AL8" s="67"/>
      <c r="AM8" s="67" t="s">
        <v>30</v>
      </c>
      <c r="AN8" s="70"/>
      <c r="AP8" s="43">
        <v>0</v>
      </c>
      <c r="AQ8" s="44">
        <v>0</v>
      </c>
      <c r="AR8" s="44">
        <v>0</v>
      </c>
      <c r="AS8" s="45">
        <v>0</v>
      </c>
      <c r="AT8" s="42">
        <f>COUNTIFS(H8:AN8,"HO*",$H$6:$AN$6,"&lt;5")</f>
        <v>2</v>
      </c>
      <c r="AU8" s="23">
        <f>COUNTIFS(H8:AN8,"HO*",$H$6:$AN$6,"5")</f>
        <v>1</v>
      </c>
      <c r="AV8" s="23">
        <f>COUNTIFS(H8:AN8,"HO*",$H$6:$AN$6,"6")-COUNTIFS(H8:AN8,"HO6",$H$6:$AN$6,"6")</f>
        <v>1</v>
      </c>
      <c r="AW8" s="23">
        <f>COUNTIFS(H8:AN8,"HO*",$H$6:$AN$6,"7")-COUNTIFS(H8:AN8,"HO6",$H$6:$AN$6,"7")</f>
        <v>1</v>
      </c>
      <c r="AX8" s="23">
        <f>COUNTIF(H8:AN8,"HO6")</f>
        <v>0</v>
      </c>
      <c r="AY8" s="39">
        <f>COUNTIF(H8:AN8,"S")</f>
        <v>0</v>
      </c>
      <c r="AZ8" s="42">
        <f>SUM(AT8:AW8)+AX8*0.5</f>
        <v>5</v>
      </c>
      <c r="BA8" s="23">
        <f>AT8*1+AU8*1.5+AV8*2.5+AW8*2+AX8*0.5</f>
        <v>8</v>
      </c>
      <c r="BB8" s="46">
        <f>COUNTIFS(H8:AN8,"",$H$6:$AN$6,"&gt;5")+COUNTIFS(H8:AN8,"X",$H$6:$AN$6,"&gt;5")+COUNTIFS(H8:AN8,"Pledge",$H$6:$AN$6,"&gt;5")</f>
        <v>6</v>
      </c>
      <c r="BC8" s="23">
        <f>COUNTIF(H8:AN8,"WR*")</f>
        <v>1</v>
      </c>
      <c r="BD8" s="47">
        <f>BA8/AZ8</f>
        <v>1.6</v>
      </c>
      <c r="BE8" s="37">
        <f>AZ8+AP8</f>
        <v>5</v>
      </c>
      <c r="BF8" s="23">
        <f>BA8+AQ8</f>
        <v>8</v>
      </c>
      <c r="BG8" s="23">
        <f>BB8+AR8</f>
        <v>6</v>
      </c>
      <c r="BH8" s="23">
        <f>BC8+AS8</f>
        <v>1</v>
      </c>
      <c r="BI8" s="47">
        <f>BF8/BE8</f>
        <v>1.6</v>
      </c>
    </row>
    <row r="9" spans="2:73" x14ac:dyDescent="0.2">
      <c r="B9" s="1">
        <f t="shared" si="3"/>
        <v>5</v>
      </c>
      <c r="C9" s="71">
        <f>C8+1</f>
        <v>2</v>
      </c>
      <c r="D9" s="6" t="s">
        <v>135</v>
      </c>
      <c r="E9" s="88">
        <v>31</v>
      </c>
      <c r="F9" s="25" t="str">
        <f>IFERROR(IF(VLOOKUP($D9,'Aug 25'!$B$5:$AM$41,37,FALSE)=0,"",VLOOKUP($D9,'Aug 25'!$B$5:$AM$41,37,FALSE)),"")</f>
        <v/>
      </c>
      <c r="G9" s="26" t="str">
        <f>IFERROR(IF(VLOOKUP($D9,'Aug 25'!$B$5:$AM$41,38,FALSE)=0,"",VLOOKUP($D9,'Aug 25'!$B$5:$AM$41,38,FALSE)),"")</f>
        <v/>
      </c>
      <c r="H9" s="24"/>
      <c r="I9" s="18" t="s">
        <v>30</v>
      </c>
      <c r="J9" s="17" t="s">
        <v>90</v>
      </c>
      <c r="K9" s="17"/>
      <c r="L9" s="18"/>
      <c r="M9" s="18" t="s">
        <v>77</v>
      </c>
      <c r="N9" s="18"/>
      <c r="O9" s="18"/>
      <c r="P9" s="18" t="s">
        <v>30</v>
      </c>
      <c r="Q9" s="16" t="s">
        <v>85</v>
      </c>
      <c r="R9" s="17"/>
      <c r="S9" s="18"/>
      <c r="T9" s="18"/>
      <c r="U9" s="15" t="s">
        <v>30</v>
      </c>
      <c r="V9" s="18"/>
      <c r="W9" s="18"/>
      <c r="X9" s="17" t="s">
        <v>181</v>
      </c>
      <c r="Y9" s="17" t="s">
        <v>30</v>
      </c>
      <c r="Z9" s="18"/>
      <c r="AA9" s="18"/>
      <c r="AB9" s="15"/>
      <c r="AC9" s="18"/>
      <c r="AD9" s="18"/>
      <c r="AE9" s="16" t="s">
        <v>85</v>
      </c>
      <c r="AF9" s="17"/>
      <c r="AG9" s="18"/>
      <c r="AH9" s="18"/>
      <c r="AI9" s="18"/>
      <c r="AJ9" s="18"/>
      <c r="AK9" s="18"/>
      <c r="AL9" s="17" t="s">
        <v>30</v>
      </c>
      <c r="AM9" s="17"/>
      <c r="AN9" s="26"/>
      <c r="AP9" s="27">
        <v>0</v>
      </c>
      <c r="AQ9" s="21">
        <v>0</v>
      </c>
      <c r="AR9" s="21">
        <v>0</v>
      </c>
      <c r="AS9" s="28">
        <v>0</v>
      </c>
      <c r="AT9" s="25">
        <f t="shared" ref="AT9:AT43" si="4">COUNTIFS(H9:AN9,"HO*",$H$6:$AN$6,"&lt;5")</f>
        <v>1</v>
      </c>
      <c r="AU9" s="18">
        <f t="shared" ref="AU9:AU43" si="5">COUNTIFS(H9:AN9,"HO*",$H$6:$AN$6,"5")</f>
        <v>2</v>
      </c>
      <c r="AV9" s="18">
        <f t="shared" ref="AV9:AV43" si="6">COUNTIFS(H9:AN9,"HO*",$H$6:$AN$6,"6")-COUNTIFS(H9:AN9,"HO6",$H$6:$AN$6,"6")</f>
        <v>1</v>
      </c>
      <c r="AW9" s="18">
        <f t="shared" ref="AW9:AW43" si="7">COUNTIFS(H9:AN9,"HO*",$H$6:$AN$6,"7")-COUNTIFS(H9:AN9,"HO6",$H$6:$AN$6,"7")</f>
        <v>1</v>
      </c>
      <c r="AX9" s="18">
        <f t="shared" ref="AX9:AX43" si="8">COUNTIF(H9:AN9,"HO6")</f>
        <v>0</v>
      </c>
      <c r="AY9" s="26">
        <f t="shared" ref="AY9:AY43" si="9">COUNTIF(H9:AN9,"S")</f>
        <v>1</v>
      </c>
      <c r="AZ9" s="25">
        <f t="shared" ref="AZ9:AZ43" si="10">SUM(AT9:AW9)+AX9*0.5</f>
        <v>5</v>
      </c>
      <c r="BA9" s="18">
        <f t="shared" ref="BA9:BA43" si="11">AT9*1+AU9*1.5+AV9*2.5+AW9*2+AX9*0.5</f>
        <v>8.5</v>
      </c>
      <c r="BB9" s="22">
        <f t="shared" ref="BB9:BB43" si="12">COUNTIFS(H9:AN9,"",$H$6:$AN$6,"&gt;5")+COUNTIFS(H9:AN9,"X",$H$6:$AN$6,"&gt;5")+COUNTIFS(H9:AN9,"Pledge",$H$6:$AN$6,"&gt;5")</f>
        <v>7</v>
      </c>
      <c r="BC9" s="18">
        <f t="shared" ref="BC9:BC43" si="13">COUNTIF(H9:AN9,"WR*")</f>
        <v>0</v>
      </c>
      <c r="BD9" s="32">
        <f t="shared" ref="BD9:BD43" si="14">BA9/AZ9</f>
        <v>1.7</v>
      </c>
      <c r="BE9" s="24">
        <f t="shared" ref="BE9:BE43" si="15">AZ9+AP9</f>
        <v>5</v>
      </c>
      <c r="BF9" s="18">
        <f t="shared" ref="BF9:BF43" si="16">BA9+AQ9</f>
        <v>8.5</v>
      </c>
      <c r="BG9" s="18">
        <f t="shared" ref="BG9:BG43" si="17">BB9+AR9</f>
        <v>7</v>
      </c>
      <c r="BH9" s="18">
        <f t="shared" ref="BH9:BH43" si="18">BC9+AS9</f>
        <v>0</v>
      </c>
      <c r="BI9" s="32">
        <f t="shared" ref="BI9:BI43" si="19">BF9/BE9</f>
        <v>1.7</v>
      </c>
    </row>
    <row r="10" spans="2:73" x14ac:dyDescent="0.2">
      <c r="B10" s="1">
        <f t="shared" si="3"/>
        <v>6</v>
      </c>
      <c r="C10" s="71">
        <f t="shared" ref="C10:C43" si="20">C9+1</f>
        <v>3</v>
      </c>
      <c r="D10" s="6" t="s">
        <v>136</v>
      </c>
      <c r="E10" s="88">
        <v>31</v>
      </c>
      <c r="F10" s="25" t="str">
        <f>IFERROR(IF(VLOOKUP($D10,'Aug 25'!$B$5:$AM$41,37,FALSE)=0,"",VLOOKUP($D10,'Aug 25'!$B$5:$AM$41,37,FALSE)),"")</f>
        <v/>
      </c>
      <c r="G10" s="26" t="str">
        <f>IFERROR(IF(VLOOKUP($D10,'Aug 25'!$B$5:$AM$41,38,FALSE)=0,"",VLOOKUP($D10,'Aug 25'!$B$5:$AM$41,38,FALSE)),"")</f>
        <v/>
      </c>
      <c r="H10" s="95" t="s">
        <v>85</v>
      </c>
      <c r="I10" s="18"/>
      <c r="J10" s="17" t="s">
        <v>90</v>
      </c>
      <c r="K10" s="17"/>
      <c r="L10" s="18"/>
      <c r="M10" s="18"/>
      <c r="N10" s="15" t="s">
        <v>30</v>
      </c>
      <c r="O10" s="18"/>
      <c r="P10" s="18"/>
      <c r="Q10" s="16" t="s">
        <v>85</v>
      </c>
      <c r="R10" s="17" t="s">
        <v>31</v>
      </c>
      <c r="S10" s="18"/>
      <c r="T10" s="18"/>
      <c r="U10" s="18"/>
      <c r="V10" s="15" t="s">
        <v>32</v>
      </c>
      <c r="W10" s="18"/>
      <c r="X10" s="17" t="s">
        <v>181</v>
      </c>
      <c r="Y10" s="17"/>
      <c r="Z10" s="18" t="s">
        <v>77</v>
      </c>
      <c r="AA10" s="18"/>
      <c r="AB10" s="18"/>
      <c r="AC10" s="18"/>
      <c r="AD10" s="18"/>
      <c r="AE10" s="17" t="s">
        <v>31</v>
      </c>
      <c r="AF10" s="17"/>
      <c r="AG10" s="18"/>
      <c r="AH10" s="18"/>
      <c r="AI10" s="18"/>
      <c r="AJ10" s="18"/>
      <c r="AK10" s="18" t="s">
        <v>32</v>
      </c>
      <c r="AL10" s="17"/>
      <c r="AM10" s="17"/>
      <c r="AN10" s="26"/>
      <c r="AP10" s="27">
        <v>0</v>
      </c>
      <c r="AQ10" s="21">
        <v>0</v>
      </c>
      <c r="AR10" s="21">
        <v>0</v>
      </c>
      <c r="AS10" s="28">
        <v>0</v>
      </c>
      <c r="AT10" s="25">
        <f t="shared" si="4"/>
        <v>2</v>
      </c>
      <c r="AU10" s="18">
        <f t="shared" si="5"/>
        <v>1</v>
      </c>
      <c r="AV10" s="18">
        <f t="shared" si="6"/>
        <v>1</v>
      </c>
      <c r="AW10" s="18">
        <f t="shared" si="7"/>
        <v>1</v>
      </c>
      <c r="AX10" s="18">
        <f t="shared" si="8"/>
        <v>0</v>
      </c>
      <c r="AY10" s="26">
        <f t="shared" si="9"/>
        <v>1</v>
      </c>
      <c r="AZ10" s="25">
        <f t="shared" si="10"/>
        <v>5</v>
      </c>
      <c r="BA10" s="18">
        <f t="shared" si="11"/>
        <v>8</v>
      </c>
      <c r="BB10" s="22">
        <f t="shared" si="12"/>
        <v>7</v>
      </c>
      <c r="BC10" s="18">
        <f t="shared" si="13"/>
        <v>0</v>
      </c>
      <c r="BD10" s="32">
        <f t="shared" si="14"/>
        <v>1.6</v>
      </c>
      <c r="BE10" s="24">
        <f t="shared" si="15"/>
        <v>5</v>
      </c>
      <c r="BF10" s="18">
        <f t="shared" si="16"/>
        <v>8</v>
      </c>
      <c r="BG10" s="18">
        <f t="shared" si="17"/>
        <v>7</v>
      </c>
      <c r="BH10" s="18">
        <f t="shared" si="18"/>
        <v>0</v>
      </c>
      <c r="BI10" s="32">
        <f t="shared" si="19"/>
        <v>1.6</v>
      </c>
    </row>
    <row r="11" spans="2:73" x14ac:dyDescent="0.2">
      <c r="B11" s="1">
        <f t="shared" si="3"/>
        <v>7</v>
      </c>
      <c r="C11" s="71">
        <f t="shared" si="20"/>
        <v>4</v>
      </c>
      <c r="D11" s="6" t="s">
        <v>137</v>
      </c>
      <c r="E11" s="88">
        <v>55</v>
      </c>
      <c r="F11" s="25" t="str">
        <f>IFERROR(IF(VLOOKUP($D11,'Aug 25'!$B$5:$AM$41,37,FALSE)=0,"",VLOOKUP($D11,'Aug 25'!$B$5:$AM$41,37,FALSE)),"")</f>
        <v/>
      </c>
      <c r="G11" s="26" t="str">
        <f>IFERROR(IF(VLOOKUP($D11,'Aug 25'!$B$5:$AM$41,38,FALSE)=0,"",VLOOKUP($D11,'Aug 25'!$B$5:$AM$41,38,FALSE)),"")</f>
        <v/>
      </c>
      <c r="H11" s="24"/>
      <c r="I11" s="18"/>
      <c r="J11" s="17" t="s">
        <v>31</v>
      </c>
      <c r="K11" s="17" t="s">
        <v>90</v>
      </c>
      <c r="L11" s="18"/>
      <c r="M11" s="18"/>
      <c r="N11" s="18"/>
      <c r="O11" s="18"/>
      <c r="P11" s="18" t="s">
        <v>77</v>
      </c>
      <c r="Q11" s="17"/>
      <c r="R11" s="17"/>
      <c r="S11" s="18" t="s">
        <v>30</v>
      </c>
      <c r="T11" s="18"/>
      <c r="U11" s="18"/>
      <c r="V11" s="18"/>
      <c r="W11" s="18"/>
      <c r="X11" s="19" t="s">
        <v>186</v>
      </c>
      <c r="Y11" s="17"/>
      <c r="Z11" s="18"/>
      <c r="AA11" s="18" t="s">
        <v>30</v>
      </c>
      <c r="AB11" s="18"/>
      <c r="AC11" s="18"/>
      <c r="AD11" s="18"/>
      <c r="AE11" s="17"/>
      <c r="AF11" s="17" t="s">
        <v>31</v>
      </c>
      <c r="AG11" s="18"/>
      <c r="AH11" s="18"/>
      <c r="AI11" s="18"/>
      <c r="AJ11" s="18" t="s">
        <v>31</v>
      </c>
      <c r="AK11" s="18"/>
      <c r="AL11" s="17"/>
      <c r="AM11" s="17"/>
      <c r="AN11" s="26" t="s">
        <v>30</v>
      </c>
      <c r="AP11" s="27">
        <v>0</v>
      </c>
      <c r="AQ11" s="21">
        <v>0</v>
      </c>
      <c r="AR11" s="21">
        <v>0</v>
      </c>
      <c r="AS11" s="28">
        <v>0</v>
      </c>
      <c r="AT11" s="25">
        <f t="shared" si="4"/>
        <v>4</v>
      </c>
      <c r="AU11" s="18">
        <f t="shared" si="5"/>
        <v>0</v>
      </c>
      <c r="AV11" s="18">
        <f t="shared" si="6"/>
        <v>1</v>
      </c>
      <c r="AW11" s="18">
        <f t="shared" si="7"/>
        <v>1</v>
      </c>
      <c r="AX11" s="18">
        <f t="shared" si="8"/>
        <v>0</v>
      </c>
      <c r="AY11" s="26">
        <f t="shared" si="9"/>
        <v>1</v>
      </c>
      <c r="AZ11" s="25">
        <f t="shared" si="10"/>
        <v>6</v>
      </c>
      <c r="BA11" s="18">
        <f t="shared" si="11"/>
        <v>8.5</v>
      </c>
      <c r="BB11" s="22">
        <f t="shared" si="12"/>
        <v>6</v>
      </c>
      <c r="BC11" s="18">
        <f t="shared" si="13"/>
        <v>1</v>
      </c>
      <c r="BD11" s="32">
        <f t="shared" si="14"/>
        <v>1.4166666666666667</v>
      </c>
      <c r="BE11" s="24">
        <f t="shared" si="15"/>
        <v>6</v>
      </c>
      <c r="BF11" s="18">
        <f t="shared" si="16"/>
        <v>8.5</v>
      </c>
      <c r="BG11" s="18">
        <f t="shared" si="17"/>
        <v>6</v>
      </c>
      <c r="BH11" s="18">
        <f t="shared" si="18"/>
        <v>1</v>
      </c>
      <c r="BI11" s="32">
        <f t="shared" si="19"/>
        <v>1.4166666666666667</v>
      </c>
    </row>
    <row r="12" spans="2:73" x14ac:dyDescent="0.2">
      <c r="B12" s="1">
        <f t="shared" si="3"/>
        <v>8</v>
      </c>
      <c r="C12" s="71">
        <f t="shared" si="20"/>
        <v>5</v>
      </c>
      <c r="D12" s="6" t="s">
        <v>138</v>
      </c>
      <c r="E12" s="88">
        <v>55</v>
      </c>
      <c r="F12" s="25" t="str">
        <f>IFERROR(IF(VLOOKUP($D12,'Aug 25'!$B$5:$AM$41,37,FALSE)=0,"",VLOOKUP($D12,'Aug 25'!$B$5:$AM$41,37,FALSE)),"")</f>
        <v/>
      </c>
      <c r="G12" s="26" t="str">
        <f>IFERROR(IF(VLOOKUP($D12,'Aug 25'!$B$5:$AM$41,38,FALSE)=0,"",VLOOKUP($D12,'Aug 25'!$B$5:$AM$41,38,FALSE)),"")</f>
        <v/>
      </c>
      <c r="H12" s="24"/>
      <c r="I12" s="18"/>
      <c r="J12" s="16" t="s">
        <v>85</v>
      </c>
      <c r="K12" s="17" t="s">
        <v>30</v>
      </c>
      <c r="L12" s="18"/>
      <c r="M12" s="18"/>
      <c r="N12" s="18"/>
      <c r="O12" s="15"/>
      <c r="P12" s="18"/>
      <c r="Q12" s="17" t="s">
        <v>81</v>
      </c>
      <c r="R12" s="17"/>
      <c r="S12" s="18" t="s">
        <v>77</v>
      </c>
      <c r="T12" s="18"/>
      <c r="U12" s="18"/>
      <c r="V12" s="15" t="s">
        <v>31</v>
      </c>
      <c r="W12" s="18"/>
      <c r="X12" s="17" t="s">
        <v>181</v>
      </c>
      <c r="Y12" s="17"/>
      <c r="Z12" s="18"/>
      <c r="AA12" s="18"/>
      <c r="AB12" s="18" t="s">
        <v>30</v>
      </c>
      <c r="AC12" s="18"/>
      <c r="AD12" s="18"/>
      <c r="AE12" s="16" t="s">
        <v>85</v>
      </c>
      <c r="AF12" s="17"/>
      <c r="AG12" s="18"/>
      <c r="AH12" s="18"/>
      <c r="AI12" s="18" t="s">
        <v>30</v>
      </c>
      <c r="AJ12" s="18"/>
      <c r="AK12" s="18"/>
      <c r="AL12" s="16" t="s">
        <v>85</v>
      </c>
      <c r="AM12" s="17" t="s">
        <v>19</v>
      </c>
      <c r="AN12" s="26"/>
      <c r="AP12" s="27">
        <v>0</v>
      </c>
      <c r="AQ12" s="21">
        <v>0</v>
      </c>
      <c r="AR12" s="21">
        <v>0</v>
      </c>
      <c r="AS12" s="28">
        <v>0</v>
      </c>
      <c r="AT12" s="25">
        <f t="shared" si="4"/>
        <v>3</v>
      </c>
      <c r="AU12" s="18">
        <f t="shared" si="5"/>
        <v>0</v>
      </c>
      <c r="AV12" s="18">
        <f t="shared" si="6"/>
        <v>0</v>
      </c>
      <c r="AW12" s="18">
        <f t="shared" si="7"/>
        <v>1</v>
      </c>
      <c r="AX12" s="18">
        <f t="shared" si="8"/>
        <v>1</v>
      </c>
      <c r="AY12" s="26">
        <f t="shared" si="9"/>
        <v>1</v>
      </c>
      <c r="AZ12" s="25">
        <f t="shared" si="10"/>
        <v>4.5</v>
      </c>
      <c r="BA12" s="18">
        <f t="shared" si="11"/>
        <v>5.5</v>
      </c>
      <c r="BB12" s="22">
        <f t="shared" si="12"/>
        <v>7</v>
      </c>
      <c r="BC12" s="18">
        <f t="shared" si="13"/>
        <v>1</v>
      </c>
      <c r="BD12" s="32">
        <f t="shared" si="14"/>
        <v>1.2222222222222223</v>
      </c>
      <c r="BE12" s="24">
        <f t="shared" si="15"/>
        <v>4.5</v>
      </c>
      <c r="BF12" s="18">
        <f t="shared" si="16"/>
        <v>5.5</v>
      </c>
      <c r="BG12" s="18">
        <f t="shared" si="17"/>
        <v>7</v>
      </c>
      <c r="BH12" s="18">
        <f t="shared" si="18"/>
        <v>1</v>
      </c>
      <c r="BI12" s="32">
        <f t="shared" si="19"/>
        <v>1.2222222222222223</v>
      </c>
    </row>
    <row r="13" spans="2:73" x14ac:dyDescent="0.2">
      <c r="B13" s="1">
        <f t="shared" si="3"/>
        <v>9</v>
      </c>
      <c r="C13" s="71">
        <f t="shared" si="20"/>
        <v>6</v>
      </c>
      <c r="D13" s="7" t="s">
        <v>127</v>
      </c>
      <c r="E13" s="88">
        <v>51</v>
      </c>
      <c r="F13" s="25" t="str">
        <f>IFERROR(IF(VLOOKUP($D13,'Aug 25'!$B$5:$AM$41,37,FALSE)=0,"",VLOOKUP($D13,'Aug 25'!$B$5:$AM$41,37,FALSE)),"")</f>
        <v/>
      </c>
      <c r="G13" s="26" t="str">
        <f>IFERROR(IF(VLOOKUP($D13,'Aug 25'!$B$5:$AM$41,38,FALSE)=0,"",VLOOKUP($D13,'Aug 25'!$B$5:$AM$41,38,FALSE)),"")</f>
        <v>HO5</v>
      </c>
      <c r="H13" s="24"/>
      <c r="I13" s="18"/>
      <c r="J13" s="17"/>
      <c r="K13" s="17"/>
      <c r="L13" s="18"/>
      <c r="M13" s="15" t="s">
        <v>30</v>
      </c>
      <c r="N13" s="18"/>
      <c r="O13" s="18"/>
      <c r="P13" s="18"/>
      <c r="Q13" s="16" t="s">
        <v>85</v>
      </c>
      <c r="R13" s="17" t="s">
        <v>21</v>
      </c>
      <c r="S13" s="18" t="s">
        <v>83</v>
      </c>
      <c r="T13" s="18" t="s">
        <v>83</v>
      </c>
      <c r="U13" s="18" t="s">
        <v>77</v>
      </c>
      <c r="V13" s="18"/>
      <c r="W13" s="18"/>
      <c r="X13" s="16" t="s">
        <v>30</v>
      </c>
      <c r="Y13" s="17"/>
      <c r="Z13" s="18"/>
      <c r="AA13" s="18"/>
      <c r="AB13" s="18"/>
      <c r="AC13" s="15" t="s">
        <v>30</v>
      </c>
      <c r="AD13" s="18"/>
      <c r="AE13" s="17"/>
      <c r="AF13" s="17"/>
      <c r="AG13" s="18"/>
      <c r="AH13" s="233" t="s">
        <v>196</v>
      </c>
      <c r="AI13" s="18"/>
      <c r="AJ13" s="18"/>
      <c r="AK13" s="18"/>
      <c r="AL13" s="17"/>
      <c r="AM13" s="17" t="s">
        <v>34</v>
      </c>
      <c r="AN13" s="26"/>
      <c r="AP13" s="27">
        <v>10</v>
      </c>
      <c r="AQ13" s="21">
        <v>13.5</v>
      </c>
      <c r="AR13" s="21">
        <v>11</v>
      </c>
      <c r="AS13" s="28">
        <v>2</v>
      </c>
      <c r="AT13" s="25">
        <f t="shared" si="4"/>
        <v>2</v>
      </c>
      <c r="AU13" s="18">
        <f t="shared" si="5"/>
        <v>0</v>
      </c>
      <c r="AV13" s="18">
        <f t="shared" si="6"/>
        <v>1</v>
      </c>
      <c r="AW13" s="18">
        <f t="shared" si="7"/>
        <v>1</v>
      </c>
      <c r="AX13" s="18">
        <f t="shared" si="8"/>
        <v>0</v>
      </c>
      <c r="AY13" s="26">
        <f t="shared" si="9"/>
        <v>1</v>
      </c>
      <c r="AZ13" s="25">
        <f t="shared" si="10"/>
        <v>4</v>
      </c>
      <c r="BA13" s="18">
        <f t="shared" si="11"/>
        <v>6.5</v>
      </c>
      <c r="BB13" s="22">
        <f t="shared" si="12"/>
        <v>7</v>
      </c>
      <c r="BC13" s="18">
        <f t="shared" si="13"/>
        <v>1</v>
      </c>
      <c r="BD13" s="32">
        <f t="shared" si="14"/>
        <v>1.625</v>
      </c>
      <c r="BE13" s="24">
        <f t="shared" si="15"/>
        <v>14</v>
      </c>
      <c r="BF13" s="18">
        <f t="shared" si="16"/>
        <v>20</v>
      </c>
      <c r="BG13" s="18">
        <f t="shared" si="17"/>
        <v>18</v>
      </c>
      <c r="BH13" s="18">
        <f t="shared" si="18"/>
        <v>3</v>
      </c>
      <c r="BI13" s="32">
        <f t="shared" si="19"/>
        <v>1.4285714285714286</v>
      </c>
    </row>
    <row r="14" spans="2:73" x14ac:dyDescent="0.2">
      <c r="B14" s="1">
        <f t="shared" si="3"/>
        <v>10</v>
      </c>
      <c r="C14" s="72">
        <f t="shared" si="20"/>
        <v>7</v>
      </c>
      <c r="D14" s="8" t="s">
        <v>139</v>
      </c>
      <c r="E14" s="89">
        <v>46</v>
      </c>
      <c r="F14" s="25" t="str">
        <f>IFERROR(IF(VLOOKUP($D14,'Aug 25'!$B$5:$AM$41,37,FALSE)=0,"",VLOOKUP($D14,'Aug 25'!$B$5:$AM$41,37,FALSE)),"")</f>
        <v/>
      </c>
      <c r="G14" s="26" t="str">
        <f>IFERROR(IF(VLOOKUP($D14,'Aug 25'!$B$5:$AM$41,38,FALSE)=0,"",VLOOKUP($D14,'Aug 25'!$B$5:$AM$41,38,FALSE)),"")</f>
        <v/>
      </c>
      <c r="H14" s="24"/>
      <c r="I14" s="18"/>
      <c r="J14" s="16" t="s">
        <v>85</v>
      </c>
      <c r="K14" s="17" t="s">
        <v>90</v>
      </c>
      <c r="L14" s="18"/>
      <c r="M14" s="18"/>
      <c r="N14" s="18"/>
      <c r="O14" s="15" t="s">
        <v>34</v>
      </c>
      <c r="P14" s="18"/>
      <c r="Q14" s="17"/>
      <c r="R14" s="17"/>
      <c r="S14" s="18" t="s">
        <v>34</v>
      </c>
      <c r="T14" s="18"/>
      <c r="U14" s="18"/>
      <c r="V14" s="18"/>
      <c r="W14" s="18" t="s">
        <v>77</v>
      </c>
      <c r="X14" s="16" t="s">
        <v>181</v>
      </c>
      <c r="Y14" s="17"/>
      <c r="Z14" s="18" t="s">
        <v>83</v>
      </c>
      <c r="AA14" s="233" t="s">
        <v>29</v>
      </c>
      <c r="AB14" s="15"/>
      <c r="AC14" s="18"/>
      <c r="AD14" s="18"/>
      <c r="AE14" s="17"/>
      <c r="AF14" s="17" t="s">
        <v>19</v>
      </c>
      <c r="AG14" s="18"/>
      <c r="AH14" s="18"/>
      <c r="AI14" s="18"/>
      <c r="AJ14" s="18"/>
      <c r="AK14" s="18"/>
      <c r="AL14" s="232" t="s">
        <v>196</v>
      </c>
      <c r="AM14" s="17"/>
      <c r="AN14" s="26"/>
      <c r="AP14" s="27">
        <v>0</v>
      </c>
      <c r="AQ14" s="21">
        <v>0</v>
      </c>
      <c r="AR14" s="21">
        <v>0</v>
      </c>
      <c r="AS14" s="28">
        <v>0</v>
      </c>
      <c r="AT14" s="25">
        <f t="shared" si="4"/>
        <v>3</v>
      </c>
      <c r="AU14" s="18">
        <f t="shared" si="5"/>
        <v>0</v>
      </c>
      <c r="AV14" s="18">
        <f t="shared" si="6"/>
        <v>0</v>
      </c>
      <c r="AW14" s="18">
        <f t="shared" si="7"/>
        <v>0</v>
      </c>
      <c r="AX14" s="18">
        <f t="shared" si="8"/>
        <v>1</v>
      </c>
      <c r="AY14" s="26">
        <f t="shared" si="9"/>
        <v>1</v>
      </c>
      <c r="AZ14" s="25">
        <f t="shared" si="10"/>
        <v>3.5</v>
      </c>
      <c r="BA14" s="18">
        <f t="shared" si="11"/>
        <v>3.5</v>
      </c>
      <c r="BB14" s="22">
        <f t="shared" si="12"/>
        <v>7</v>
      </c>
      <c r="BC14" s="18">
        <f t="shared" si="13"/>
        <v>0</v>
      </c>
      <c r="BD14" s="32">
        <f t="shared" si="14"/>
        <v>1</v>
      </c>
      <c r="BE14" s="24">
        <f t="shared" si="15"/>
        <v>3.5</v>
      </c>
      <c r="BF14" s="18">
        <f t="shared" si="16"/>
        <v>3.5</v>
      </c>
      <c r="BG14" s="18">
        <f t="shared" si="17"/>
        <v>7</v>
      </c>
      <c r="BH14" s="18">
        <f t="shared" si="18"/>
        <v>0</v>
      </c>
      <c r="BI14" s="32">
        <f t="shared" si="19"/>
        <v>1</v>
      </c>
    </row>
    <row r="15" spans="2:73" x14ac:dyDescent="0.2">
      <c r="B15" s="1">
        <f t="shared" si="3"/>
        <v>11</v>
      </c>
      <c r="C15" s="71">
        <f t="shared" si="20"/>
        <v>8</v>
      </c>
      <c r="D15" s="9" t="s">
        <v>121</v>
      </c>
      <c r="E15" s="89">
        <v>56</v>
      </c>
      <c r="F15" s="25" t="str">
        <f>IFERROR(IF(VLOOKUP($D15,'Aug 25'!$B$5:$AM$41,37,FALSE)=0,"",VLOOKUP($D15,'Aug 25'!$B$5:$AM$41,37,FALSE)),"")</f>
        <v/>
      </c>
      <c r="G15" s="26" t="str">
        <f>IFERROR(IF(VLOOKUP($D15,'Aug 25'!$B$5:$AM$41,38,FALSE)=0,"",VLOOKUP($D15,'Aug 25'!$B$5:$AM$41,38,FALSE)),"")</f>
        <v>HO1</v>
      </c>
      <c r="H15" s="24"/>
      <c r="I15" s="18"/>
      <c r="J15" s="17"/>
      <c r="K15" s="16" t="s">
        <v>85</v>
      </c>
      <c r="L15" s="18"/>
      <c r="M15" s="18"/>
      <c r="N15" s="18"/>
      <c r="O15" s="18"/>
      <c r="P15" s="15" t="s">
        <v>34</v>
      </c>
      <c r="Q15" s="17"/>
      <c r="R15" s="17"/>
      <c r="S15" s="18"/>
      <c r="T15" s="18" t="s">
        <v>77</v>
      </c>
      <c r="U15" s="18"/>
      <c r="V15" s="18"/>
      <c r="W15" s="18"/>
      <c r="X15" s="16" t="s">
        <v>34</v>
      </c>
      <c r="Y15" s="17"/>
      <c r="Z15" s="18"/>
      <c r="AA15" s="15" t="s">
        <v>34</v>
      </c>
      <c r="AB15" s="18"/>
      <c r="AC15" s="18"/>
      <c r="AD15" s="18"/>
      <c r="AE15" s="17" t="s">
        <v>81</v>
      </c>
      <c r="AF15" s="17"/>
      <c r="AG15" s="18" t="s">
        <v>83</v>
      </c>
      <c r="AH15" s="18"/>
      <c r="AI15" s="18"/>
      <c r="AJ15" s="18"/>
      <c r="AK15" s="18"/>
      <c r="AL15" s="17" t="s">
        <v>19</v>
      </c>
      <c r="AM15" s="17"/>
      <c r="AN15" s="26"/>
      <c r="AP15" s="27">
        <v>10</v>
      </c>
      <c r="AQ15" s="21">
        <v>13.5</v>
      </c>
      <c r="AR15" s="21">
        <v>11</v>
      </c>
      <c r="AS15" s="28">
        <v>2</v>
      </c>
      <c r="AT15" s="25">
        <f t="shared" si="4"/>
        <v>1</v>
      </c>
      <c r="AU15" s="18">
        <f t="shared" si="5"/>
        <v>1</v>
      </c>
      <c r="AV15" s="18">
        <f t="shared" si="6"/>
        <v>1</v>
      </c>
      <c r="AW15" s="18">
        <f t="shared" si="7"/>
        <v>0</v>
      </c>
      <c r="AX15" s="18">
        <f t="shared" si="8"/>
        <v>1</v>
      </c>
      <c r="AY15" s="26">
        <f t="shared" si="9"/>
        <v>1</v>
      </c>
      <c r="AZ15" s="25">
        <f t="shared" si="10"/>
        <v>3.5</v>
      </c>
      <c r="BA15" s="18">
        <f t="shared" si="11"/>
        <v>5.5</v>
      </c>
      <c r="BB15" s="22">
        <f t="shared" si="12"/>
        <v>7</v>
      </c>
      <c r="BC15" s="18">
        <f t="shared" si="13"/>
        <v>1</v>
      </c>
      <c r="BD15" s="32">
        <f t="shared" si="14"/>
        <v>1.5714285714285714</v>
      </c>
      <c r="BE15" s="24">
        <f t="shared" si="15"/>
        <v>13.5</v>
      </c>
      <c r="BF15" s="18">
        <f t="shared" si="16"/>
        <v>19</v>
      </c>
      <c r="BG15" s="18">
        <f t="shared" si="17"/>
        <v>18</v>
      </c>
      <c r="BH15" s="18">
        <f t="shared" si="18"/>
        <v>3</v>
      </c>
      <c r="BI15" s="32">
        <f t="shared" si="19"/>
        <v>1.4074074074074074</v>
      </c>
    </row>
    <row r="16" spans="2:73" x14ac:dyDescent="0.2">
      <c r="B16" s="1">
        <f t="shared" si="3"/>
        <v>12</v>
      </c>
      <c r="C16" s="71">
        <f t="shared" si="20"/>
        <v>9</v>
      </c>
      <c r="D16" s="8" t="s">
        <v>140</v>
      </c>
      <c r="E16" s="89">
        <v>56</v>
      </c>
      <c r="F16" s="25" t="str">
        <f>IFERROR(IF(VLOOKUP($D16,'Aug 25'!$B$5:$AM$41,37,FALSE)=0,"",VLOOKUP($D16,'Aug 25'!$B$5:$AM$41,37,FALSE)),"")</f>
        <v/>
      </c>
      <c r="G16" s="26" t="str">
        <f>IFERROR(IF(VLOOKUP($D16,'Aug 25'!$B$5:$AM$41,38,FALSE)=0,"",VLOOKUP($D16,'Aug 25'!$B$5:$AM$41,38,FALSE)),"")</f>
        <v/>
      </c>
      <c r="H16" s="95" t="s">
        <v>85</v>
      </c>
      <c r="I16" s="18" t="s">
        <v>34</v>
      </c>
      <c r="J16" s="17" t="s">
        <v>90</v>
      </c>
      <c r="K16" s="17"/>
      <c r="L16" s="18"/>
      <c r="M16" s="15" t="s">
        <v>34</v>
      </c>
      <c r="N16" s="18"/>
      <c r="O16" s="18"/>
      <c r="P16" s="18"/>
      <c r="Q16" s="17" t="s">
        <v>34</v>
      </c>
      <c r="R16" s="17"/>
      <c r="S16" s="18"/>
      <c r="T16" s="15"/>
      <c r="U16" s="18"/>
      <c r="V16" s="18"/>
      <c r="W16" s="233" t="s">
        <v>34</v>
      </c>
      <c r="X16" s="16" t="s">
        <v>181</v>
      </c>
      <c r="Y16" s="17"/>
      <c r="Z16" s="18"/>
      <c r="AA16" s="18"/>
      <c r="AB16" s="18"/>
      <c r="AC16" s="18"/>
      <c r="AD16" s="18" t="s">
        <v>77</v>
      </c>
      <c r="AE16" s="17"/>
      <c r="AF16" s="17"/>
      <c r="AG16" s="18"/>
      <c r="AH16" s="18"/>
      <c r="AI16" s="18"/>
      <c r="AJ16" s="15" t="s">
        <v>34</v>
      </c>
      <c r="AK16" s="18"/>
      <c r="AL16" s="17"/>
      <c r="AM16" s="17" t="s">
        <v>77</v>
      </c>
      <c r="AN16" s="26"/>
      <c r="AP16" s="27">
        <v>0</v>
      </c>
      <c r="AQ16" s="21">
        <v>0</v>
      </c>
      <c r="AR16" s="21">
        <v>0</v>
      </c>
      <c r="AS16" s="28">
        <v>0</v>
      </c>
      <c r="AT16" s="25">
        <f t="shared" si="4"/>
        <v>2</v>
      </c>
      <c r="AU16" s="18">
        <f t="shared" si="5"/>
        <v>2</v>
      </c>
      <c r="AV16" s="18">
        <f t="shared" si="6"/>
        <v>1</v>
      </c>
      <c r="AW16" s="18">
        <f t="shared" si="7"/>
        <v>0</v>
      </c>
      <c r="AX16" s="18">
        <f t="shared" si="8"/>
        <v>0</v>
      </c>
      <c r="AY16" s="26">
        <f t="shared" si="9"/>
        <v>2</v>
      </c>
      <c r="AZ16" s="25">
        <f t="shared" si="10"/>
        <v>5</v>
      </c>
      <c r="BA16" s="18">
        <f t="shared" si="11"/>
        <v>7.5</v>
      </c>
      <c r="BB16" s="22">
        <f t="shared" si="12"/>
        <v>7</v>
      </c>
      <c r="BC16" s="18">
        <f t="shared" si="13"/>
        <v>0</v>
      </c>
      <c r="BD16" s="32">
        <f t="shared" si="14"/>
        <v>1.5</v>
      </c>
      <c r="BE16" s="24">
        <f t="shared" si="15"/>
        <v>5</v>
      </c>
      <c r="BF16" s="18">
        <f t="shared" si="16"/>
        <v>7.5</v>
      </c>
      <c r="BG16" s="18">
        <f t="shared" si="17"/>
        <v>7</v>
      </c>
      <c r="BH16" s="18">
        <f t="shared" si="18"/>
        <v>0</v>
      </c>
      <c r="BI16" s="32">
        <f t="shared" si="19"/>
        <v>1.5</v>
      </c>
    </row>
    <row r="17" spans="2:61" x14ac:dyDescent="0.2">
      <c r="B17" s="1">
        <f t="shared" si="3"/>
        <v>13</v>
      </c>
      <c r="C17" s="71">
        <f t="shared" si="20"/>
        <v>10</v>
      </c>
      <c r="D17" s="8" t="s">
        <v>194</v>
      </c>
      <c r="E17" s="89">
        <v>56</v>
      </c>
      <c r="F17" s="25" t="str">
        <f>IFERROR(IF(VLOOKUP($D17,'Aug 25'!$B$5:$AM$41,37,FALSE)=0,"",VLOOKUP($D17,'Aug 25'!$B$5:$AM$41,37,FALSE)),"")</f>
        <v/>
      </c>
      <c r="G17" s="26" t="str">
        <f>IFERROR(IF(VLOOKUP($D17,'Aug 25'!$B$5:$AM$41,38,FALSE)=0,"",VLOOKUP($D17,'Aug 25'!$B$5:$AM$41,38,FALSE)),"")</f>
        <v/>
      </c>
      <c r="H17" s="24"/>
      <c r="I17" s="18"/>
      <c r="J17" s="17" t="s">
        <v>34</v>
      </c>
      <c r="K17" s="17" t="s">
        <v>90</v>
      </c>
      <c r="L17" s="18"/>
      <c r="M17" s="18"/>
      <c r="N17" s="18"/>
      <c r="O17" s="18"/>
      <c r="P17" s="18"/>
      <c r="Q17" s="17" t="s">
        <v>77</v>
      </c>
      <c r="R17" s="17"/>
      <c r="S17" s="18"/>
      <c r="T17" s="18"/>
      <c r="U17" s="15" t="s">
        <v>34</v>
      </c>
      <c r="V17" s="18"/>
      <c r="W17" s="18"/>
      <c r="X17" s="16" t="s">
        <v>181</v>
      </c>
      <c r="Y17" s="17" t="s">
        <v>34</v>
      </c>
      <c r="Z17" s="18"/>
      <c r="AA17" s="18"/>
      <c r="AB17" s="18"/>
      <c r="AC17" s="15" t="s">
        <v>34</v>
      </c>
      <c r="AD17" s="18"/>
      <c r="AE17" s="16" t="s">
        <v>85</v>
      </c>
      <c r="AF17" s="17"/>
      <c r="AG17" s="18" t="s">
        <v>83</v>
      </c>
      <c r="AH17" s="18" t="s">
        <v>83</v>
      </c>
      <c r="AI17" s="18" t="s">
        <v>34</v>
      </c>
      <c r="AJ17" s="18"/>
      <c r="AK17" s="18"/>
      <c r="AL17" s="17" t="s">
        <v>20</v>
      </c>
      <c r="AM17" s="17"/>
      <c r="AN17" s="26"/>
      <c r="AP17" s="27">
        <v>0</v>
      </c>
      <c r="AQ17" s="21">
        <v>0</v>
      </c>
      <c r="AR17" s="21">
        <v>0</v>
      </c>
      <c r="AS17" s="28">
        <v>0</v>
      </c>
      <c r="AT17" s="25">
        <f t="shared" si="4"/>
        <v>3</v>
      </c>
      <c r="AU17" s="18">
        <f t="shared" si="5"/>
        <v>0</v>
      </c>
      <c r="AV17" s="18">
        <f t="shared" si="6"/>
        <v>1</v>
      </c>
      <c r="AW17" s="18">
        <f t="shared" si="7"/>
        <v>1</v>
      </c>
      <c r="AX17" s="18">
        <f t="shared" si="8"/>
        <v>0</v>
      </c>
      <c r="AY17" s="26">
        <f t="shared" si="9"/>
        <v>1</v>
      </c>
      <c r="AZ17" s="25">
        <f t="shared" si="10"/>
        <v>5</v>
      </c>
      <c r="BA17" s="18">
        <f t="shared" si="11"/>
        <v>7.5</v>
      </c>
      <c r="BB17" s="22">
        <f t="shared" si="12"/>
        <v>5</v>
      </c>
      <c r="BC17" s="18">
        <f t="shared" si="13"/>
        <v>1</v>
      </c>
      <c r="BD17" s="32">
        <f t="shared" si="14"/>
        <v>1.5</v>
      </c>
      <c r="BE17" s="24">
        <f t="shared" si="15"/>
        <v>5</v>
      </c>
      <c r="BF17" s="18">
        <f t="shared" si="16"/>
        <v>7.5</v>
      </c>
      <c r="BG17" s="18">
        <f t="shared" si="17"/>
        <v>5</v>
      </c>
      <c r="BH17" s="18">
        <f t="shared" si="18"/>
        <v>1</v>
      </c>
      <c r="BI17" s="32">
        <f t="shared" si="19"/>
        <v>1.5</v>
      </c>
    </row>
    <row r="18" spans="2:61" x14ac:dyDescent="0.2">
      <c r="B18" s="1">
        <f t="shared" si="3"/>
        <v>14</v>
      </c>
      <c r="C18" s="71">
        <f t="shared" si="20"/>
        <v>11</v>
      </c>
      <c r="D18" s="8" t="s">
        <v>141</v>
      </c>
      <c r="E18" s="89">
        <v>56</v>
      </c>
      <c r="F18" s="25" t="str">
        <f>IFERROR(IF(VLOOKUP($D18,'Aug 25'!$B$5:$AM$41,37,FALSE)=0,"",VLOOKUP($D18,'Aug 25'!$B$5:$AM$41,37,FALSE)),"")</f>
        <v/>
      </c>
      <c r="G18" s="26" t="str">
        <f>IFERROR(IF(VLOOKUP($D18,'Aug 25'!$B$5:$AM$41,38,FALSE)=0,"",VLOOKUP($D18,'Aug 25'!$B$5:$AM$41,38,FALSE)),"")</f>
        <v/>
      </c>
      <c r="H18" s="94" t="s">
        <v>34</v>
      </c>
      <c r="I18" s="18"/>
      <c r="J18" s="17"/>
      <c r="K18" s="17" t="s">
        <v>34</v>
      </c>
      <c r="L18" s="18"/>
      <c r="M18" s="18"/>
      <c r="N18" s="18"/>
      <c r="O18" s="18"/>
      <c r="P18" s="18"/>
      <c r="Q18" s="17"/>
      <c r="R18" s="16" t="s">
        <v>85</v>
      </c>
      <c r="S18" s="18"/>
      <c r="T18" s="233" t="s">
        <v>34</v>
      </c>
      <c r="U18" s="18"/>
      <c r="V18" s="18"/>
      <c r="W18" s="15"/>
      <c r="X18" s="16" t="s">
        <v>181</v>
      </c>
      <c r="Y18" s="232" t="s">
        <v>20</v>
      </c>
      <c r="Z18" s="18"/>
      <c r="AA18" s="18"/>
      <c r="AB18" s="18"/>
      <c r="AC18" s="18"/>
      <c r="AD18" s="18" t="s">
        <v>34</v>
      </c>
      <c r="AE18" s="17"/>
      <c r="AF18" s="17"/>
      <c r="AG18" s="18" t="s">
        <v>77</v>
      </c>
      <c r="AH18" s="18"/>
      <c r="AI18" s="18"/>
      <c r="AJ18" s="18"/>
      <c r="AK18" s="18"/>
      <c r="AL18" s="15" t="s">
        <v>34</v>
      </c>
      <c r="AM18" s="17"/>
      <c r="AN18" s="26"/>
      <c r="AP18" s="27">
        <v>0</v>
      </c>
      <c r="AQ18" s="21">
        <v>0</v>
      </c>
      <c r="AR18" s="21">
        <v>0</v>
      </c>
      <c r="AS18" s="28">
        <v>0</v>
      </c>
      <c r="AT18" s="25">
        <f t="shared" si="4"/>
        <v>2</v>
      </c>
      <c r="AU18" s="18">
        <f t="shared" si="5"/>
        <v>1</v>
      </c>
      <c r="AV18" s="18">
        <f t="shared" si="6"/>
        <v>1</v>
      </c>
      <c r="AW18" s="18">
        <f t="shared" si="7"/>
        <v>1</v>
      </c>
      <c r="AX18" s="18">
        <f t="shared" si="8"/>
        <v>0</v>
      </c>
      <c r="AY18" s="26">
        <f t="shared" si="9"/>
        <v>1</v>
      </c>
      <c r="AZ18" s="25">
        <f t="shared" si="10"/>
        <v>5</v>
      </c>
      <c r="BA18" s="18">
        <f t="shared" si="11"/>
        <v>8</v>
      </c>
      <c r="BB18" s="22">
        <f t="shared" si="12"/>
        <v>7</v>
      </c>
      <c r="BC18" s="18">
        <f t="shared" si="13"/>
        <v>1</v>
      </c>
      <c r="BD18" s="32">
        <f t="shared" si="14"/>
        <v>1.6</v>
      </c>
      <c r="BE18" s="24">
        <f t="shared" si="15"/>
        <v>5</v>
      </c>
      <c r="BF18" s="18">
        <f t="shared" si="16"/>
        <v>8</v>
      </c>
      <c r="BG18" s="18">
        <f t="shared" si="17"/>
        <v>7</v>
      </c>
      <c r="BH18" s="18">
        <f t="shared" si="18"/>
        <v>1</v>
      </c>
      <c r="BI18" s="32">
        <f t="shared" si="19"/>
        <v>1.6</v>
      </c>
    </row>
    <row r="19" spans="2:61" x14ac:dyDescent="0.2">
      <c r="B19" s="1">
        <f t="shared" si="3"/>
        <v>15</v>
      </c>
      <c r="C19" s="71">
        <f t="shared" si="20"/>
        <v>12</v>
      </c>
      <c r="D19" s="8" t="s">
        <v>142</v>
      </c>
      <c r="E19" s="89">
        <v>56</v>
      </c>
      <c r="F19" s="25" t="str">
        <f>IFERROR(IF(VLOOKUP($D19,'Aug 25'!$B$5:$AM$41,37,FALSE)=0,"",VLOOKUP($D19,'Aug 25'!$B$5:$AM$41,37,FALSE)),"")</f>
        <v/>
      </c>
      <c r="G19" s="26" t="str">
        <f>IFERROR(IF(VLOOKUP($D19,'Aug 25'!$B$5:$AM$41,38,FALSE)=0,"",VLOOKUP($D19,'Aug 25'!$B$5:$AM$41,38,FALSE)),"")</f>
        <v/>
      </c>
      <c r="H19" s="24" t="s">
        <v>77</v>
      </c>
      <c r="I19" s="18"/>
      <c r="J19" s="17"/>
      <c r="K19" s="17" t="s">
        <v>90</v>
      </c>
      <c r="L19" s="18"/>
      <c r="M19" s="18"/>
      <c r="N19" s="18" t="s">
        <v>34</v>
      </c>
      <c r="O19" s="15"/>
      <c r="P19" s="18"/>
      <c r="Q19" s="17"/>
      <c r="R19" s="17" t="s">
        <v>34</v>
      </c>
      <c r="S19" s="18"/>
      <c r="T19" s="18"/>
      <c r="U19" s="18"/>
      <c r="V19" s="15" t="s">
        <v>34</v>
      </c>
      <c r="W19" s="18"/>
      <c r="X19" s="16" t="s">
        <v>181</v>
      </c>
      <c r="Y19" s="16" t="s">
        <v>85</v>
      </c>
      <c r="Z19" s="18" t="s">
        <v>83</v>
      </c>
      <c r="AA19" s="18" t="s">
        <v>83</v>
      </c>
      <c r="AB19" s="18" t="s">
        <v>34</v>
      </c>
      <c r="AC19" s="18"/>
      <c r="AD19" s="18"/>
      <c r="AE19" s="17"/>
      <c r="AF19" s="17"/>
      <c r="AG19" s="18" t="s">
        <v>34</v>
      </c>
      <c r="AH19" s="18"/>
      <c r="AI19" s="18"/>
      <c r="AJ19" s="18"/>
      <c r="AK19" s="18"/>
      <c r="AL19" s="17" t="s">
        <v>21</v>
      </c>
      <c r="AM19" s="17"/>
      <c r="AN19" s="26"/>
      <c r="AP19" s="27">
        <v>0</v>
      </c>
      <c r="AQ19" s="21">
        <v>0</v>
      </c>
      <c r="AR19" s="21">
        <v>0</v>
      </c>
      <c r="AS19" s="28">
        <v>0</v>
      </c>
      <c r="AT19" s="25">
        <f t="shared" si="4"/>
        <v>4</v>
      </c>
      <c r="AU19" s="18">
        <f t="shared" si="5"/>
        <v>0</v>
      </c>
      <c r="AV19" s="18">
        <f t="shared" si="6"/>
        <v>0</v>
      </c>
      <c r="AW19" s="18">
        <f t="shared" si="7"/>
        <v>1</v>
      </c>
      <c r="AX19" s="18">
        <f t="shared" si="8"/>
        <v>0</v>
      </c>
      <c r="AY19" s="26">
        <f t="shared" si="9"/>
        <v>1</v>
      </c>
      <c r="AZ19" s="25">
        <f t="shared" si="10"/>
        <v>5</v>
      </c>
      <c r="BA19" s="18">
        <f t="shared" si="11"/>
        <v>6</v>
      </c>
      <c r="BB19" s="22">
        <f t="shared" si="12"/>
        <v>7</v>
      </c>
      <c r="BC19" s="18">
        <f t="shared" si="13"/>
        <v>1</v>
      </c>
      <c r="BD19" s="32">
        <f t="shared" si="14"/>
        <v>1.2</v>
      </c>
      <c r="BE19" s="24">
        <f t="shared" si="15"/>
        <v>5</v>
      </c>
      <c r="BF19" s="18">
        <f t="shared" si="16"/>
        <v>6</v>
      </c>
      <c r="BG19" s="18">
        <f t="shared" si="17"/>
        <v>7</v>
      </c>
      <c r="BH19" s="18">
        <f t="shared" si="18"/>
        <v>1</v>
      </c>
      <c r="BI19" s="32">
        <f t="shared" si="19"/>
        <v>1.2</v>
      </c>
    </row>
    <row r="20" spans="2:61" x14ac:dyDescent="0.2">
      <c r="B20" s="1">
        <f t="shared" si="3"/>
        <v>16</v>
      </c>
      <c r="C20" s="71">
        <f t="shared" si="20"/>
        <v>13</v>
      </c>
      <c r="D20" s="8" t="s">
        <v>143</v>
      </c>
      <c r="E20" s="89">
        <v>85</v>
      </c>
      <c r="F20" s="25" t="str">
        <f>IFERROR(IF(VLOOKUP($D20,'Aug 25'!$B$5:$AM$41,37,FALSE)=0,"",VLOOKUP($D20,'Aug 25'!$B$5:$AM$41,37,FALSE)),"")</f>
        <v/>
      </c>
      <c r="G20" s="26" t="str">
        <f>IFERROR(IF(VLOOKUP($D20,'Aug 25'!$B$5:$AM$41,38,FALSE)=0,"",VLOOKUP($D20,'Aug 25'!$B$5:$AM$41,38,FALSE)),"")</f>
        <v/>
      </c>
      <c r="H20" s="24"/>
      <c r="I20" s="18"/>
      <c r="J20" s="16" t="s">
        <v>85</v>
      </c>
      <c r="K20" s="17" t="s">
        <v>90</v>
      </c>
      <c r="L20" s="15" t="s">
        <v>34</v>
      </c>
      <c r="M20" s="18"/>
      <c r="N20" s="18"/>
      <c r="O20" s="18"/>
      <c r="P20" s="18" t="s">
        <v>31</v>
      </c>
      <c r="Q20" s="17"/>
      <c r="R20" s="17"/>
      <c r="S20" s="18"/>
      <c r="T20" s="18"/>
      <c r="U20" s="15" t="s">
        <v>31</v>
      </c>
      <c r="V20" s="18"/>
      <c r="W20" s="18"/>
      <c r="X20" s="16" t="s">
        <v>181</v>
      </c>
      <c r="Y20" s="17" t="s">
        <v>77</v>
      </c>
      <c r="Z20" s="18"/>
      <c r="AA20" s="18"/>
      <c r="AB20" s="18"/>
      <c r="AC20" s="18"/>
      <c r="AD20" s="18"/>
      <c r="AE20" s="17" t="s">
        <v>34</v>
      </c>
      <c r="AF20" s="17"/>
      <c r="AG20" s="18"/>
      <c r="AH20" s="18"/>
      <c r="AI20" s="18"/>
      <c r="AJ20" s="18"/>
      <c r="AK20" s="18" t="s">
        <v>34</v>
      </c>
      <c r="AL20" s="17"/>
      <c r="AM20" s="17"/>
      <c r="AN20" s="26"/>
      <c r="AP20" s="27">
        <v>0</v>
      </c>
      <c r="AQ20" s="21">
        <v>0</v>
      </c>
      <c r="AR20" s="21">
        <v>0</v>
      </c>
      <c r="AS20" s="28">
        <v>0</v>
      </c>
      <c r="AT20" s="25">
        <f t="shared" si="4"/>
        <v>2</v>
      </c>
      <c r="AU20" s="18">
        <f t="shared" si="5"/>
        <v>2</v>
      </c>
      <c r="AV20" s="18">
        <f t="shared" si="6"/>
        <v>1</v>
      </c>
      <c r="AW20" s="18">
        <f t="shared" si="7"/>
        <v>0</v>
      </c>
      <c r="AX20" s="18">
        <f t="shared" si="8"/>
        <v>0</v>
      </c>
      <c r="AY20" s="26">
        <f t="shared" si="9"/>
        <v>1</v>
      </c>
      <c r="AZ20" s="25">
        <f t="shared" si="10"/>
        <v>5</v>
      </c>
      <c r="BA20" s="18">
        <f t="shared" si="11"/>
        <v>7.5</v>
      </c>
      <c r="BB20" s="22">
        <f t="shared" si="12"/>
        <v>7</v>
      </c>
      <c r="BC20" s="18">
        <f t="shared" si="13"/>
        <v>0</v>
      </c>
      <c r="BD20" s="32">
        <f t="shared" si="14"/>
        <v>1.5</v>
      </c>
      <c r="BE20" s="24">
        <f t="shared" si="15"/>
        <v>5</v>
      </c>
      <c r="BF20" s="18">
        <f t="shared" si="16"/>
        <v>7.5</v>
      </c>
      <c r="BG20" s="18">
        <f t="shared" si="17"/>
        <v>7</v>
      </c>
      <c r="BH20" s="18">
        <f t="shared" si="18"/>
        <v>0</v>
      </c>
      <c r="BI20" s="32">
        <f t="shared" si="19"/>
        <v>1.5</v>
      </c>
    </row>
    <row r="21" spans="2:61" x14ac:dyDescent="0.2">
      <c r="B21" s="1">
        <f t="shared" si="3"/>
        <v>17</v>
      </c>
      <c r="C21" s="71">
        <f t="shared" si="20"/>
        <v>14</v>
      </c>
      <c r="D21" s="8" t="s">
        <v>144</v>
      </c>
      <c r="E21" s="89">
        <v>85</v>
      </c>
      <c r="F21" s="25" t="str">
        <f>IFERROR(IF(VLOOKUP($D21,'Aug 25'!$B$5:$AM$41,37,FALSE)=0,"",VLOOKUP($D21,'Aug 25'!$B$5:$AM$41,37,FALSE)),"")</f>
        <v/>
      </c>
      <c r="G21" s="26" t="str">
        <f>IFERROR(IF(VLOOKUP($D21,'Aug 25'!$B$5:$AM$41,38,FALSE)=0,"",VLOOKUP($D21,'Aug 25'!$B$5:$AM$41,38,FALSE)),"")</f>
        <v/>
      </c>
      <c r="H21" s="24"/>
      <c r="I21" s="18"/>
      <c r="J21" s="17"/>
      <c r="K21" s="17" t="s">
        <v>19</v>
      </c>
      <c r="L21" s="18"/>
      <c r="M21" s="18"/>
      <c r="N21" s="18"/>
      <c r="O21" s="18"/>
      <c r="P21" s="18"/>
      <c r="Q21" s="16" t="s">
        <v>85</v>
      </c>
      <c r="R21" s="16" t="s">
        <v>85</v>
      </c>
      <c r="S21" s="18" t="s">
        <v>83</v>
      </c>
      <c r="T21" s="18" t="s">
        <v>83</v>
      </c>
      <c r="U21" s="18"/>
      <c r="V21" s="18"/>
      <c r="W21" s="18" t="s">
        <v>30</v>
      </c>
      <c r="X21" s="17" t="s">
        <v>181</v>
      </c>
      <c r="Y21" s="17"/>
      <c r="Z21" s="18"/>
      <c r="AA21" s="15" t="s">
        <v>31</v>
      </c>
      <c r="AB21" s="18"/>
      <c r="AC21" s="18"/>
      <c r="AD21" s="18"/>
      <c r="AE21" s="17"/>
      <c r="AF21" s="17" t="s">
        <v>34</v>
      </c>
      <c r="AG21" s="18"/>
      <c r="AH21" s="15"/>
      <c r="AI21" s="18"/>
      <c r="AJ21" s="18" t="s">
        <v>30</v>
      </c>
      <c r="AK21" s="18"/>
      <c r="AL21" s="17"/>
      <c r="AM21" s="17"/>
      <c r="AN21" s="26" t="s">
        <v>34</v>
      </c>
      <c r="AP21" s="27">
        <v>0</v>
      </c>
      <c r="AQ21" s="21">
        <v>0</v>
      </c>
      <c r="AR21" s="21">
        <v>0</v>
      </c>
      <c r="AS21" s="28">
        <v>0</v>
      </c>
      <c r="AT21" s="25">
        <f t="shared" si="4"/>
        <v>3</v>
      </c>
      <c r="AU21" s="18">
        <f t="shared" si="5"/>
        <v>1</v>
      </c>
      <c r="AV21" s="18">
        <f t="shared" si="6"/>
        <v>0</v>
      </c>
      <c r="AW21" s="18">
        <f t="shared" si="7"/>
        <v>1</v>
      </c>
      <c r="AX21" s="18">
        <f t="shared" si="8"/>
        <v>1</v>
      </c>
      <c r="AY21" s="26">
        <f t="shared" si="9"/>
        <v>0</v>
      </c>
      <c r="AZ21" s="25">
        <f t="shared" si="10"/>
        <v>5.5</v>
      </c>
      <c r="BA21" s="18">
        <f t="shared" si="11"/>
        <v>7</v>
      </c>
      <c r="BB21" s="22">
        <f t="shared" si="12"/>
        <v>8</v>
      </c>
      <c r="BC21" s="18">
        <f t="shared" si="13"/>
        <v>0</v>
      </c>
      <c r="BD21" s="32">
        <f t="shared" si="14"/>
        <v>1.2727272727272727</v>
      </c>
      <c r="BE21" s="24">
        <f t="shared" si="15"/>
        <v>5.5</v>
      </c>
      <c r="BF21" s="18">
        <f t="shared" si="16"/>
        <v>7</v>
      </c>
      <c r="BG21" s="18">
        <f t="shared" si="17"/>
        <v>8</v>
      </c>
      <c r="BH21" s="18">
        <f t="shared" si="18"/>
        <v>0</v>
      </c>
      <c r="BI21" s="32">
        <f t="shared" si="19"/>
        <v>1.2727272727272727</v>
      </c>
    </row>
    <row r="22" spans="2:61" x14ac:dyDescent="0.2">
      <c r="B22" s="1">
        <f t="shared" si="3"/>
        <v>18</v>
      </c>
      <c r="C22" s="71">
        <f t="shared" si="20"/>
        <v>15</v>
      </c>
      <c r="D22" s="10" t="s">
        <v>123</v>
      </c>
      <c r="E22" s="90">
        <v>66</v>
      </c>
      <c r="F22" s="25" t="str">
        <f>IFERROR(IF(VLOOKUP($D22,'Aug 25'!$B$5:$AM$41,37,FALSE)=0,"",VLOOKUP($D22,'Aug 25'!$B$5:$AM$41,37,FALSE)),"")</f>
        <v/>
      </c>
      <c r="G22" s="26" t="str">
        <f>IFERROR(IF(VLOOKUP($D22,'Aug 25'!$B$5:$AM$41,38,FALSE)=0,"",VLOOKUP($D22,'Aug 25'!$B$5:$AM$41,38,FALSE)),"")</f>
        <v/>
      </c>
      <c r="H22" s="94" t="s">
        <v>32</v>
      </c>
      <c r="I22" s="18"/>
      <c r="J22" s="17"/>
      <c r="K22" s="16" t="s">
        <v>85</v>
      </c>
      <c r="L22" s="18" t="s">
        <v>83</v>
      </c>
      <c r="M22" s="18"/>
      <c r="N22" s="18"/>
      <c r="O22" s="15" t="s">
        <v>32</v>
      </c>
      <c r="P22" s="18"/>
      <c r="Q22" s="17"/>
      <c r="R22" s="16" t="s">
        <v>85</v>
      </c>
      <c r="S22" s="18"/>
      <c r="T22" s="18"/>
      <c r="U22" s="18"/>
      <c r="V22" s="18"/>
      <c r="W22" s="18"/>
      <c r="X22" s="17" t="s">
        <v>181</v>
      </c>
      <c r="Y22" s="17" t="s">
        <v>32</v>
      </c>
      <c r="Z22" s="18"/>
      <c r="AA22" s="18"/>
      <c r="AB22" s="18"/>
      <c r="AC22" s="18"/>
      <c r="AD22" s="18"/>
      <c r="AE22" s="17"/>
      <c r="AF22" s="17" t="s">
        <v>32</v>
      </c>
      <c r="AG22" s="18"/>
      <c r="AH22" s="18"/>
      <c r="AI22" s="18"/>
      <c r="AJ22" s="18"/>
      <c r="AK22" s="18" t="s">
        <v>30</v>
      </c>
      <c r="AL22" s="17"/>
      <c r="AM22" s="17"/>
      <c r="AN22" s="26" t="s">
        <v>77</v>
      </c>
      <c r="AP22" s="27">
        <v>9.5</v>
      </c>
      <c r="AQ22" s="21">
        <v>13.5</v>
      </c>
      <c r="AR22" s="21">
        <v>10</v>
      </c>
      <c r="AS22" s="28">
        <v>1</v>
      </c>
      <c r="AT22" s="25">
        <f t="shared" si="4"/>
        <v>2</v>
      </c>
      <c r="AU22" s="18">
        <f t="shared" si="5"/>
        <v>1</v>
      </c>
      <c r="AV22" s="18">
        <f t="shared" si="6"/>
        <v>0</v>
      </c>
      <c r="AW22" s="18">
        <f t="shared" si="7"/>
        <v>2</v>
      </c>
      <c r="AX22" s="18">
        <f t="shared" si="8"/>
        <v>0</v>
      </c>
      <c r="AY22" s="26">
        <f t="shared" si="9"/>
        <v>1</v>
      </c>
      <c r="AZ22" s="25">
        <f t="shared" si="10"/>
        <v>5</v>
      </c>
      <c r="BA22" s="18">
        <f t="shared" si="11"/>
        <v>7.5</v>
      </c>
      <c r="BB22" s="22">
        <f t="shared" si="12"/>
        <v>8</v>
      </c>
      <c r="BC22" s="18">
        <f t="shared" si="13"/>
        <v>0</v>
      </c>
      <c r="BD22" s="32">
        <f t="shared" si="14"/>
        <v>1.5</v>
      </c>
      <c r="BE22" s="24">
        <f t="shared" si="15"/>
        <v>14.5</v>
      </c>
      <c r="BF22" s="18">
        <f t="shared" si="16"/>
        <v>21</v>
      </c>
      <c r="BG22" s="18">
        <f t="shared" si="17"/>
        <v>18</v>
      </c>
      <c r="BH22" s="18">
        <f t="shared" si="18"/>
        <v>1</v>
      </c>
      <c r="BI22" s="32">
        <f t="shared" si="19"/>
        <v>1.4482758620689655</v>
      </c>
    </row>
    <row r="23" spans="2:61" x14ac:dyDescent="0.2">
      <c r="B23" s="1">
        <f t="shared" si="3"/>
        <v>19</v>
      </c>
      <c r="C23" s="71">
        <f t="shared" si="20"/>
        <v>16</v>
      </c>
      <c r="D23" s="11" t="s">
        <v>145</v>
      </c>
      <c r="E23" s="90">
        <v>66</v>
      </c>
      <c r="F23" s="25" t="str">
        <f>IFERROR(IF(VLOOKUP($D23,'Aug 25'!$B$5:$AM$41,37,FALSE)=0,"",VLOOKUP($D23,'Aug 25'!$B$5:$AM$41,37,FALSE)),"")</f>
        <v/>
      </c>
      <c r="G23" s="26" t="str">
        <f>IFERROR(IF(VLOOKUP($D23,'Aug 25'!$B$5:$AM$41,38,FALSE)=0,"",VLOOKUP($D23,'Aug 25'!$B$5:$AM$41,38,FALSE)),"")</f>
        <v/>
      </c>
      <c r="H23" s="24"/>
      <c r="I23" s="18"/>
      <c r="J23" s="17" t="s">
        <v>32</v>
      </c>
      <c r="K23" s="17" t="s">
        <v>90</v>
      </c>
      <c r="L23" s="18"/>
      <c r="M23" s="18"/>
      <c r="N23" s="18" t="s">
        <v>77</v>
      </c>
      <c r="O23" s="18"/>
      <c r="P23" s="18"/>
      <c r="Q23" s="17"/>
      <c r="R23" s="17" t="s">
        <v>81</v>
      </c>
      <c r="S23" s="18"/>
      <c r="T23" s="18"/>
      <c r="U23" s="18"/>
      <c r="V23" s="18"/>
      <c r="W23" s="18" t="s">
        <v>32</v>
      </c>
      <c r="X23" s="17" t="s">
        <v>181</v>
      </c>
      <c r="Y23" s="17"/>
      <c r="Z23" s="18"/>
      <c r="AA23" s="18"/>
      <c r="AB23" s="18"/>
      <c r="AC23" s="18"/>
      <c r="AD23" s="18"/>
      <c r="AE23" s="17" t="s">
        <v>32</v>
      </c>
      <c r="AF23" s="17"/>
      <c r="AG23" s="18"/>
      <c r="AH23" s="18" t="s">
        <v>32</v>
      </c>
      <c r="AI23" s="18"/>
      <c r="AJ23" s="18"/>
      <c r="AK23" s="18"/>
      <c r="AL23" s="17"/>
      <c r="AM23" s="17"/>
      <c r="AN23" s="26" t="s">
        <v>31</v>
      </c>
      <c r="AP23" s="27">
        <v>0</v>
      </c>
      <c r="AQ23" s="21">
        <v>0</v>
      </c>
      <c r="AR23" s="21">
        <v>0</v>
      </c>
      <c r="AS23" s="28">
        <v>0</v>
      </c>
      <c r="AT23" s="25">
        <f t="shared" si="4"/>
        <v>2</v>
      </c>
      <c r="AU23" s="18">
        <f t="shared" si="5"/>
        <v>1</v>
      </c>
      <c r="AV23" s="18">
        <f t="shared" si="6"/>
        <v>2</v>
      </c>
      <c r="AW23" s="18">
        <f t="shared" si="7"/>
        <v>0</v>
      </c>
      <c r="AX23" s="18">
        <f t="shared" si="8"/>
        <v>0</v>
      </c>
      <c r="AY23" s="26">
        <f t="shared" si="9"/>
        <v>1</v>
      </c>
      <c r="AZ23" s="25">
        <f t="shared" si="10"/>
        <v>5</v>
      </c>
      <c r="BA23" s="18">
        <f t="shared" si="11"/>
        <v>8.5</v>
      </c>
      <c r="BB23" s="22">
        <f t="shared" si="12"/>
        <v>6</v>
      </c>
      <c r="BC23" s="18">
        <f t="shared" si="13"/>
        <v>1</v>
      </c>
      <c r="BD23" s="32">
        <f t="shared" si="14"/>
        <v>1.7</v>
      </c>
      <c r="BE23" s="24">
        <f t="shared" si="15"/>
        <v>5</v>
      </c>
      <c r="BF23" s="18">
        <f t="shared" si="16"/>
        <v>8.5</v>
      </c>
      <c r="BG23" s="18">
        <f t="shared" si="17"/>
        <v>6</v>
      </c>
      <c r="BH23" s="18">
        <f t="shared" si="18"/>
        <v>1</v>
      </c>
      <c r="BI23" s="32">
        <f t="shared" si="19"/>
        <v>1.7</v>
      </c>
    </row>
    <row r="24" spans="2:61" x14ac:dyDescent="0.2">
      <c r="B24" s="1">
        <f t="shared" si="3"/>
        <v>20</v>
      </c>
      <c r="C24" s="71">
        <f t="shared" si="20"/>
        <v>17</v>
      </c>
      <c r="D24" s="11" t="s">
        <v>146</v>
      </c>
      <c r="E24" s="90">
        <v>66</v>
      </c>
      <c r="F24" s="25" t="str">
        <f>IFERROR(IF(VLOOKUP($D24,'Aug 25'!$B$5:$AM$41,37,FALSE)=0,"",VLOOKUP($D24,'Aug 25'!$B$5:$AM$41,37,FALSE)),"")</f>
        <v/>
      </c>
      <c r="G24" s="26" t="str">
        <f>IFERROR(IF(VLOOKUP($D24,'Aug 25'!$B$5:$AM$41,38,FALSE)=0,"",VLOOKUP($D24,'Aug 25'!$B$5:$AM$41,38,FALSE)),"")</f>
        <v/>
      </c>
      <c r="H24" s="24"/>
      <c r="I24" s="18"/>
      <c r="J24" s="17" t="s">
        <v>19</v>
      </c>
      <c r="K24" s="17"/>
      <c r="L24" s="18"/>
      <c r="M24" s="18"/>
      <c r="N24" s="18"/>
      <c r="O24" s="18"/>
      <c r="P24" s="18" t="s">
        <v>32</v>
      </c>
      <c r="Q24" s="16" t="s">
        <v>85</v>
      </c>
      <c r="R24" s="17"/>
      <c r="S24" s="18"/>
      <c r="T24" s="18"/>
      <c r="U24" s="15" t="s">
        <v>32</v>
      </c>
      <c r="V24" s="18"/>
      <c r="W24" s="18" t="s">
        <v>83</v>
      </c>
      <c r="X24" s="16" t="s">
        <v>181</v>
      </c>
      <c r="Y24" s="17" t="s">
        <v>21</v>
      </c>
      <c r="Z24" s="18"/>
      <c r="AA24" s="18"/>
      <c r="AB24" s="18"/>
      <c r="AC24" s="15" t="s">
        <v>32</v>
      </c>
      <c r="AD24" s="18"/>
      <c r="AE24" s="17"/>
      <c r="AF24" s="17" t="s">
        <v>77</v>
      </c>
      <c r="AG24" s="18"/>
      <c r="AH24" s="18"/>
      <c r="AI24" s="18"/>
      <c r="AJ24" s="18" t="s">
        <v>29</v>
      </c>
      <c r="AK24" s="18"/>
      <c r="AL24" s="17"/>
      <c r="AM24" s="17"/>
      <c r="AN24" s="26"/>
      <c r="AP24" s="27">
        <v>0</v>
      </c>
      <c r="AQ24" s="21">
        <v>0</v>
      </c>
      <c r="AR24" s="21">
        <v>0</v>
      </c>
      <c r="AS24" s="28">
        <v>0</v>
      </c>
      <c r="AT24" s="25">
        <f t="shared" si="4"/>
        <v>3</v>
      </c>
      <c r="AU24" s="18">
        <f t="shared" si="5"/>
        <v>1</v>
      </c>
      <c r="AV24" s="18">
        <f t="shared" si="6"/>
        <v>0</v>
      </c>
      <c r="AW24" s="18">
        <f t="shared" si="7"/>
        <v>0</v>
      </c>
      <c r="AX24" s="18">
        <f t="shared" si="8"/>
        <v>1</v>
      </c>
      <c r="AY24" s="26">
        <f t="shared" si="9"/>
        <v>1</v>
      </c>
      <c r="AZ24" s="25">
        <f t="shared" si="10"/>
        <v>4.5</v>
      </c>
      <c r="BA24" s="18">
        <f t="shared" si="11"/>
        <v>5</v>
      </c>
      <c r="BB24" s="22">
        <f t="shared" si="12"/>
        <v>7</v>
      </c>
      <c r="BC24" s="18">
        <f t="shared" si="13"/>
        <v>1</v>
      </c>
      <c r="BD24" s="32">
        <f t="shared" si="14"/>
        <v>1.1111111111111112</v>
      </c>
      <c r="BE24" s="24">
        <f t="shared" si="15"/>
        <v>4.5</v>
      </c>
      <c r="BF24" s="18">
        <f t="shared" si="16"/>
        <v>5</v>
      </c>
      <c r="BG24" s="18">
        <f t="shared" si="17"/>
        <v>7</v>
      </c>
      <c r="BH24" s="18">
        <f t="shared" si="18"/>
        <v>1</v>
      </c>
      <c r="BI24" s="32">
        <f t="shared" si="19"/>
        <v>1.1111111111111112</v>
      </c>
    </row>
    <row r="25" spans="2:61" x14ac:dyDescent="0.2">
      <c r="B25" s="1">
        <f t="shared" si="3"/>
        <v>21</v>
      </c>
      <c r="C25" s="71">
        <f t="shared" si="20"/>
        <v>18</v>
      </c>
      <c r="D25" s="11" t="s">
        <v>147</v>
      </c>
      <c r="E25" s="90">
        <v>66</v>
      </c>
      <c r="F25" s="25" t="str">
        <f>IFERROR(IF(VLOOKUP($D25,'Aug 25'!$B$5:$AM$41,37,FALSE)=0,"",VLOOKUP($D25,'Aug 25'!$B$5:$AM$41,37,FALSE)),"")</f>
        <v/>
      </c>
      <c r="G25" s="26" t="str">
        <f>IFERROR(IF(VLOOKUP($D25,'Aug 25'!$B$5:$AM$41,38,FALSE)=0,"",VLOOKUP($D25,'Aug 25'!$B$5:$AM$41,38,FALSE)),"")</f>
        <v/>
      </c>
      <c r="H25" s="24"/>
      <c r="I25" s="18"/>
      <c r="J25" s="17"/>
      <c r="K25" s="17" t="s">
        <v>32</v>
      </c>
      <c r="L25" s="18"/>
      <c r="M25" s="18"/>
      <c r="N25" s="18"/>
      <c r="O25" s="18" t="s">
        <v>77</v>
      </c>
      <c r="P25" s="18"/>
      <c r="Q25" s="17" t="s">
        <v>21</v>
      </c>
      <c r="R25" s="17"/>
      <c r="S25" s="18" t="s">
        <v>32</v>
      </c>
      <c r="T25" s="18"/>
      <c r="U25" s="18"/>
      <c r="V25" s="18"/>
      <c r="W25" s="18"/>
      <c r="X25" s="16" t="s">
        <v>181</v>
      </c>
      <c r="Y25" s="17"/>
      <c r="Z25" s="18" t="s">
        <v>32</v>
      </c>
      <c r="AA25" s="18"/>
      <c r="AB25" s="18"/>
      <c r="AC25" s="15" t="s">
        <v>31</v>
      </c>
      <c r="AD25" s="18"/>
      <c r="AE25" s="16" t="s">
        <v>85</v>
      </c>
      <c r="AF25" s="17"/>
      <c r="AG25" s="18"/>
      <c r="AH25" s="15"/>
      <c r="AI25" s="18"/>
      <c r="AJ25" s="18"/>
      <c r="AK25" s="18"/>
      <c r="AL25" s="17" t="s">
        <v>32</v>
      </c>
      <c r="AM25" s="17"/>
      <c r="AN25" s="26"/>
      <c r="AP25" s="27">
        <v>0</v>
      </c>
      <c r="AQ25" s="21">
        <v>0</v>
      </c>
      <c r="AR25" s="21">
        <v>0</v>
      </c>
      <c r="AS25" s="28">
        <v>0</v>
      </c>
      <c r="AT25" s="25">
        <f t="shared" si="4"/>
        <v>3</v>
      </c>
      <c r="AU25" s="18">
        <f t="shared" si="5"/>
        <v>0</v>
      </c>
      <c r="AV25" s="18">
        <f t="shared" si="6"/>
        <v>1</v>
      </c>
      <c r="AW25" s="18">
        <f t="shared" si="7"/>
        <v>1</v>
      </c>
      <c r="AX25" s="18">
        <f t="shared" si="8"/>
        <v>0</v>
      </c>
      <c r="AY25" s="26">
        <f t="shared" si="9"/>
        <v>1</v>
      </c>
      <c r="AZ25" s="25">
        <f t="shared" si="10"/>
        <v>5</v>
      </c>
      <c r="BA25" s="18">
        <f t="shared" si="11"/>
        <v>7.5</v>
      </c>
      <c r="BB25" s="22">
        <f t="shared" si="12"/>
        <v>7</v>
      </c>
      <c r="BC25" s="18">
        <f t="shared" si="13"/>
        <v>1</v>
      </c>
      <c r="BD25" s="32">
        <f t="shared" si="14"/>
        <v>1.5</v>
      </c>
      <c r="BE25" s="24">
        <f t="shared" si="15"/>
        <v>5</v>
      </c>
      <c r="BF25" s="18">
        <f t="shared" si="16"/>
        <v>7.5</v>
      </c>
      <c r="BG25" s="18">
        <f t="shared" si="17"/>
        <v>7</v>
      </c>
      <c r="BH25" s="18">
        <f t="shared" si="18"/>
        <v>1</v>
      </c>
      <c r="BI25" s="32">
        <f t="shared" si="19"/>
        <v>1.5</v>
      </c>
    </row>
    <row r="26" spans="2:61" x14ac:dyDescent="0.2">
      <c r="B26" s="1">
        <f t="shared" si="3"/>
        <v>22</v>
      </c>
      <c r="C26" s="71">
        <f t="shared" si="20"/>
        <v>19</v>
      </c>
      <c r="D26" s="10" t="s">
        <v>124</v>
      </c>
      <c r="E26" s="90">
        <v>86</v>
      </c>
      <c r="F26" s="25" t="str">
        <f>IFERROR(IF(VLOOKUP($D26,'Aug 25'!$B$5:$AM$41,37,FALSE)=0,"",VLOOKUP($D26,'Aug 25'!$B$5:$AM$41,37,FALSE)),"")</f>
        <v/>
      </c>
      <c r="G26" s="26" t="str">
        <f>IFERROR(IF(VLOOKUP($D26,'Aug 25'!$B$5:$AM$41,38,FALSE)=0,"",VLOOKUP($D26,'Aug 25'!$B$5:$AM$41,38,FALSE)),"")</f>
        <v/>
      </c>
      <c r="H26" s="24" t="s">
        <v>31</v>
      </c>
      <c r="I26" s="18"/>
      <c r="J26" s="17"/>
      <c r="K26" s="17"/>
      <c r="L26" s="15" t="s">
        <v>31</v>
      </c>
      <c r="M26" s="18"/>
      <c r="N26" s="18" t="s">
        <v>83</v>
      </c>
      <c r="O26" s="18" t="s">
        <v>83</v>
      </c>
      <c r="P26" s="18" t="s">
        <v>83</v>
      </c>
      <c r="Q26" s="16" t="s">
        <v>85</v>
      </c>
      <c r="R26" s="16" t="s">
        <v>85</v>
      </c>
      <c r="S26" s="18"/>
      <c r="T26" s="18"/>
      <c r="U26" s="18"/>
      <c r="V26" s="18"/>
      <c r="W26" s="18"/>
      <c r="X26" s="17" t="s">
        <v>32</v>
      </c>
      <c r="Y26" s="17"/>
      <c r="Z26" s="18"/>
      <c r="AA26" s="18"/>
      <c r="AB26" s="18" t="s">
        <v>31</v>
      </c>
      <c r="AC26" s="18"/>
      <c r="AD26" s="18"/>
      <c r="AE26" s="17" t="s">
        <v>19</v>
      </c>
      <c r="AF26" s="17"/>
      <c r="AG26" s="18"/>
      <c r="AH26" s="233" t="s">
        <v>30</v>
      </c>
      <c r="AI26" s="18"/>
      <c r="AJ26" s="18"/>
      <c r="AK26" s="18"/>
      <c r="AL26" s="17"/>
      <c r="AM26" s="17" t="s">
        <v>21</v>
      </c>
      <c r="AN26" s="26"/>
      <c r="AP26" s="27">
        <v>9</v>
      </c>
      <c r="AQ26" s="21">
        <v>15.5</v>
      </c>
      <c r="AR26" s="21">
        <v>10</v>
      </c>
      <c r="AS26" s="28">
        <v>1</v>
      </c>
      <c r="AT26" s="25">
        <f t="shared" si="4"/>
        <v>4</v>
      </c>
      <c r="AU26" s="18">
        <f t="shared" si="5"/>
        <v>0</v>
      </c>
      <c r="AV26" s="18">
        <f t="shared" si="6"/>
        <v>1</v>
      </c>
      <c r="AW26" s="18">
        <f t="shared" si="7"/>
        <v>0</v>
      </c>
      <c r="AX26" s="18">
        <f t="shared" si="8"/>
        <v>1</v>
      </c>
      <c r="AY26" s="26">
        <f t="shared" si="9"/>
        <v>0</v>
      </c>
      <c r="AZ26" s="25">
        <f t="shared" si="10"/>
        <v>5.5</v>
      </c>
      <c r="BA26" s="18">
        <f t="shared" si="11"/>
        <v>7</v>
      </c>
      <c r="BB26" s="22">
        <f t="shared" si="12"/>
        <v>7</v>
      </c>
      <c r="BC26" s="18">
        <f t="shared" si="13"/>
        <v>1</v>
      </c>
      <c r="BD26" s="32">
        <f t="shared" si="14"/>
        <v>1.2727272727272727</v>
      </c>
      <c r="BE26" s="24">
        <f t="shared" si="15"/>
        <v>14.5</v>
      </c>
      <c r="BF26" s="18">
        <f t="shared" si="16"/>
        <v>22.5</v>
      </c>
      <c r="BG26" s="18">
        <f t="shared" si="17"/>
        <v>17</v>
      </c>
      <c r="BH26" s="18">
        <f t="shared" si="18"/>
        <v>2</v>
      </c>
      <c r="BI26" s="32">
        <f t="shared" si="19"/>
        <v>1.5517241379310345</v>
      </c>
    </row>
    <row r="27" spans="2:61" x14ac:dyDescent="0.2">
      <c r="B27" s="1">
        <f t="shared" si="3"/>
        <v>23</v>
      </c>
      <c r="C27" s="71">
        <f t="shared" si="20"/>
        <v>20</v>
      </c>
      <c r="D27" s="11" t="s">
        <v>148</v>
      </c>
      <c r="E27" s="90">
        <v>86</v>
      </c>
      <c r="F27" s="25" t="str">
        <f>IFERROR(IF(VLOOKUP($D27,'Aug 25'!$B$5:$AM$41,37,FALSE)=0,"",VLOOKUP($D27,'Aug 25'!$B$5:$AM$41,37,FALSE)),"")</f>
        <v/>
      </c>
      <c r="G27" s="26" t="str">
        <f>IFERROR(IF(VLOOKUP($D27,'Aug 25'!$B$5:$AM$41,38,FALSE)=0,"",VLOOKUP($D27,'Aug 25'!$B$5:$AM$41,38,FALSE)),"")</f>
        <v/>
      </c>
      <c r="H27" s="24"/>
      <c r="I27" s="18"/>
      <c r="J27" s="16" t="s">
        <v>85</v>
      </c>
      <c r="K27" s="17" t="s">
        <v>31</v>
      </c>
      <c r="L27" s="18"/>
      <c r="M27" s="18"/>
      <c r="N27" s="18"/>
      <c r="O27" s="15"/>
      <c r="P27" s="18"/>
      <c r="Q27" s="17"/>
      <c r="R27" s="17"/>
      <c r="S27" s="18" t="s">
        <v>31</v>
      </c>
      <c r="T27" s="18"/>
      <c r="U27" s="18"/>
      <c r="V27" s="18"/>
      <c r="W27" s="18"/>
      <c r="X27" s="19" t="s">
        <v>81</v>
      </c>
      <c r="Y27" s="17"/>
      <c r="Z27" s="15" t="s">
        <v>31</v>
      </c>
      <c r="AA27" s="18"/>
      <c r="AB27" s="18"/>
      <c r="AC27" s="18"/>
      <c r="AD27" s="18" t="s">
        <v>31</v>
      </c>
      <c r="AE27" s="16" t="s">
        <v>85</v>
      </c>
      <c r="AF27" s="17"/>
      <c r="AG27" s="18"/>
      <c r="AH27" s="18"/>
      <c r="AI27" s="1" t="s">
        <v>31</v>
      </c>
      <c r="AJ27" s="18"/>
      <c r="AK27" s="18"/>
      <c r="AL27" s="232" t="s">
        <v>211</v>
      </c>
      <c r="AM27" s="17"/>
      <c r="AN27" s="26"/>
      <c r="AP27" s="27">
        <v>0</v>
      </c>
      <c r="AQ27" s="21">
        <v>0</v>
      </c>
      <c r="AR27" s="21">
        <v>0</v>
      </c>
      <c r="AS27" s="28">
        <v>0</v>
      </c>
      <c r="AT27" s="25">
        <f t="shared" si="4"/>
        <v>3</v>
      </c>
      <c r="AU27" s="18">
        <f t="shared" si="5"/>
        <v>1</v>
      </c>
      <c r="AV27" s="18">
        <f t="shared" si="6"/>
        <v>0</v>
      </c>
      <c r="AW27" s="18">
        <f t="shared" si="7"/>
        <v>1</v>
      </c>
      <c r="AX27" s="18">
        <f t="shared" si="8"/>
        <v>0</v>
      </c>
      <c r="AY27" s="26">
        <f t="shared" si="9"/>
        <v>0</v>
      </c>
      <c r="AZ27" s="25">
        <f t="shared" si="10"/>
        <v>5</v>
      </c>
      <c r="BA27" s="18">
        <f t="shared" si="11"/>
        <v>6.5</v>
      </c>
      <c r="BB27" s="22">
        <f t="shared" si="12"/>
        <v>7</v>
      </c>
      <c r="BC27" s="18">
        <f t="shared" si="13"/>
        <v>2</v>
      </c>
      <c r="BD27" s="32">
        <f t="shared" si="14"/>
        <v>1.3</v>
      </c>
      <c r="BE27" s="24">
        <f t="shared" si="15"/>
        <v>5</v>
      </c>
      <c r="BF27" s="18">
        <f t="shared" si="16"/>
        <v>6.5</v>
      </c>
      <c r="BG27" s="18">
        <f t="shared" si="17"/>
        <v>7</v>
      </c>
      <c r="BH27" s="18">
        <f t="shared" si="18"/>
        <v>2</v>
      </c>
      <c r="BI27" s="32">
        <f t="shared" si="19"/>
        <v>1.3</v>
      </c>
    </row>
    <row r="28" spans="2:61" x14ac:dyDescent="0.2">
      <c r="B28" s="1">
        <f t="shared" si="3"/>
        <v>24</v>
      </c>
      <c r="C28" s="71">
        <f t="shared" si="20"/>
        <v>21</v>
      </c>
      <c r="D28" s="11" t="s">
        <v>149</v>
      </c>
      <c r="E28" s="90">
        <v>86</v>
      </c>
      <c r="F28" s="25" t="str">
        <f>IFERROR(IF(VLOOKUP($D28,'Aug 25'!$B$5:$AM$41,37,FALSE)=0,"",VLOOKUP($D28,'Aug 25'!$B$5:$AM$41,37,FALSE)),"")</f>
        <v/>
      </c>
      <c r="G28" s="26" t="str">
        <f>IFERROR(IF(VLOOKUP($D28,'Aug 25'!$B$5:$AM$41,38,FALSE)=0,"",VLOOKUP($D28,'Aug 25'!$B$5:$AM$41,38,FALSE)),"")</f>
        <v/>
      </c>
      <c r="H28" s="24"/>
      <c r="I28" s="18" t="s">
        <v>31</v>
      </c>
      <c r="J28" s="17" t="s">
        <v>90</v>
      </c>
      <c r="K28" s="17"/>
      <c r="L28" s="18"/>
      <c r="M28" s="18"/>
      <c r="N28" s="18" t="s">
        <v>31</v>
      </c>
      <c r="O28" s="18"/>
      <c r="P28" s="18"/>
      <c r="Q28" s="17" t="s">
        <v>20</v>
      </c>
      <c r="R28" s="17"/>
      <c r="S28" s="18"/>
      <c r="T28" s="18" t="s">
        <v>32</v>
      </c>
      <c r="U28" s="18"/>
      <c r="V28" s="18"/>
      <c r="W28" s="18"/>
      <c r="X28" s="17" t="s">
        <v>181</v>
      </c>
      <c r="Y28" s="17" t="s">
        <v>31</v>
      </c>
      <c r="Z28" s="18"/>
      <c r="AA28" s="18"/>
      <c r="AB28" s="18"/>
      <c r="AC28" s="18"/>
      <c r="AD28" s="18" t="s">
        <v>32</v>
      </c>
      <c r="AE28" s="17"/>
      <c r="AF28" s="17"/>
      <c r="AG28" s="18"/>
      <c r="AH28" s="18"/>
      <c r="AI28" s="18" t="s">
        <v>77</v>
      </c>
      <c r="AJ28" s="18"/>
      <c r="AK28" s="18"/>
      <c r="AL28" s="232" t="s">
        <v>31</v>
      </c>
      <c r="AM28" s="17"/>
      <c r="AN28" s="26"/>
      <c r="AP28" s="27">
        <v>0</v>
      </c>
      <c r="AQ28" s="21">
        <v>0</v>
      </c>
      <c r="AR28" s="21">
        <v>0</v>
      </c>
      <c r="AS28" s="28">
        <v>0</v>
      </c>
      <c r="AT28" s="25">
        <f t="shared" si="4"/>
        <v>2</v>
      </c>
      <c r="AU28" s="18">
        <f t="shared" si="5"/>
        <v>2</v>
      </c>
      <c r="AV28" s="18">
        <f t="shared" si="6"/>
        <v>1</v>
      </c>
      <c r="AW28" s="18">
        <f t="shared" si="7"/>
        <v>1</v>
      </c>
      <c r="AX28" s="18">
        <f t="shared" si="8"/>
        <v>0</v>
      </c>
      <c r="AY28" s="26">
        <f t="shared" si="9"/>
        <v>1</v>
      </c>
      <c r="AZ28" s="25">
        <f t="shared" si="10"/>
        <v>6</v>
      </c>
      <c r="BA28" s="18">
        <f t="shared" si="11"/>
        <v>9.5</v>
      </c>
      <c r="BB28" s="22">
        <f t="shared" si="12"/>
        <v>6</v>
      </c>
      <c r="BC28" s="18">
        <f t="shared" si="13"/>
        <v>1</v>
      </c>
      <c r="BD28" s="32">
        <f t="shared" si="14"/>
        <v>1.5833333333333333</v>
      </c>
      <c r="BE28" s="24">
        <f t="shared" si="15"/>
        <v>6</v>
      </c>
      <c r="BF28" s="18">
        <f t="shared" si="16"/>
        <v>9.5</v>
      </c>
      <c r="BG28" s="18">
        <f t="shared" si="17"/>
        <v>6</v>
      </c>
      <c r="BH28" s="18">
        <f t="shared" si="18"/>
        <v>1</v>
      </c>
      <c r="BI28" s="32">
        <f t="shared" si="19"/>
        <v>1.5833333333333333</v>
      </c>
    </row>
    <row r="29" spans="2:61" x14ac:dyDescent="0.2">
      <c r="B29" s="1">
        <f t="shared" si="3"/>
        <v>25</v>
      </c>
      <c r="C29" s="71">
        <f t="shared" si="20"/>
        <v>22</v>
      </c>
      <c r="D29" s="10" t="s">
        <v>122</v>
      </c>
      <c r="E29" s="90">
        <v>41</v>
      </c>
      <c r="F29" s="25" t="str">
        <f>IFERROR(IF(VLOOKUP($D29,'Aug 25'!$B$5:$AM$41,37,FALSE)=0,"",VLOOKUP($D29,'Aug 25'!$B$5:$AM$41,37,FALSE)),"")</f>
        <v/>
      </c>
      <c r="G29" s="26" t="str">
        <f>IFERROR(IF(VLOOKUP($D29,'Aug 25'!$B$5:$AM$41,38,FALSE)=0,"",VLOOKUP($D29,'Aug 25'!$B$5:$AM$41,38,FALSE)),"")</f>
        <v>HO3</v>
      </c>
      <c r="H29" s="24"/>
      <c r="I29" s="18"/>
      <c r="J29" s="17" t="s">
        <v>77</v>
      </c>
      <c r="K29" s="17"/>
      <c r="L29" s="18"/>
      <c r="M29" s="233" t="s">
        <v>32</v>
      </c>
      <c r="N29" s="18"/>
      <c r="O29" s="18"/>
      <c r="P29" s="18"/>
      <c r="Q29" s="16" t="s">
        <v>85</v>
      </c>
      <c r="R29" s="15" t="s">
        <v>32</v>
      </c>
      <c r="S29" s="18"/>
      <c r="T29" s="18"/>
      <c r="U29" s="18"/>
      <c r="V29" s="18"/>
      <c r="W29" s="18"/>
      <c r="X29" s="16" t="s">
        <v>31</v>
      </c>
      <c r="Y29" s="15"/>
      <c r="Z29" s="18"/>
      <c r="AA29" s="18"/>
      <c r="AB29" s="18" t="s">
        <v>32</v>
      </c>
      <c r="AC29" s="18"/>
      <c r="AD29" s="18"/>
      <c r="AE29" s="17" t="s">
        <v>21</v>
      </c>
      <c r="AF29" s="17"/>
      <c r="AG29" s="18" t="s">
        <v>31</v>
      </c>
      <c r="AH29" s="18"/>
      <c r="AI29" s="18"/>
      <c r="AJ29" s="18" t="s">
        <v>32</v>
      </c>
      <c r="AK29" s="18"/>
      <c r="AL29" s="17"/>
      <c r="AM29" s="17"/>
      <c r="AN29" s="26" t="s">
        <v>32</v>
      </c>
      <c r="AP29" s="27">
        <v>6</v>
      </c>
      <c r="AQ29" s="21">
        <v>7.5</v>
      </c>
      <c r="AR29" s="21">
        <v>12</v>
      </c>
      <c r="AS29" s="28">
        <v>3</v>
      </c>
      <c r="AT29" s="25">
        <f t="shared" si="4"/>
        <v>5</v>
      </c>
      <c r="AU29" s="18">
        <f t="shared" si="5"/>
        <v>0</v>
      </c>
      <c r="AV29" s="18">
        <f t="shared" si="6"/>
        <v>1</v>
      </c>
      <c r="AW29" s="18">
        <f t="shared" si="7"/>
        <v>1</v>
      </c>
      <c r="AX29" s="18">
        <f t="shared" si="8"/>
        <v>0</v>
      </c>
      <c r="AY29" s="26">
        <f t="shared" si="9"/>
        <v>1</v>
      </c>
      <c r="AZ29" s="25">
        <f t="shared" si="10"/>
        <v>7</v>
      </c>
      <c r="BA29" s="18">
        <f t="shared" si="11"/>
        <v>9.5</v>
      </c>
      <c r="BB29" s="22">
        <f t="shared" si="12"/>
        <v>6</v>
      </c>
      <c r="BC29" s="18">
        <f t="shared" si="13"/>
        <v>1</v>
      </c>
      <c r="BD29" s="32">
        <f t="shared" si="14"/>
        <v>1.3571428571428572</v>
      </c>
      <c r="BE29" s="24">
        <f t="shared" si="15"/>
        <v>13</v>
      </c>
      <c r="BF29" s="18">
        <f t="shared" si="16"/>
        <v>17</v>
      </c>
      <c r="BG29" s="18">
        <f t="shared" si="17"/>
        <v>18</v>
      </c>
      <c r="BH29" s="18">
        <f t="shared" si="18"/>
        <v>4</v>
      </c>
      <c r="BI29" s="32">
        <f t="shared" si="19"/>
        <v>1.3076923076923077</v>
      </c>
    </row>
    <row r="30" spans="2:61" x14ac:dyDescent="0.2">
      <c r="B30" s="1">
        <f t="shared" si="3"/>
        <v>26</v>
      </c>
      <c r="C30" s="71">
        <f t="shared" si="20"/>
        <v>23</v>
      </c>
      <c r="D30" s="12" t="s">
        <v>126</v>
      </c>
      <c r="E30" s="91">
        <v>62</v>
      </c>
      <c r="F30" s="25" t="str">
        <f>IFERROR(IF(VLOOKUP($D30,'Aug 25'!$B$5:$AM$41,37,FALSE)=0,"",VLOOKUP($D30,'Aug 25'!$B$5:$AM$41,37,FALSE)),"")</f>
        <v/>
      </c>
      <c r="G30" s="26" t="str">
        <f>IFERROR(IF(VLOOKUP($D30,'Aug 25'!$B$5:$AM$41,38,FALSE)=0,"",VLOOKUP($D30,'Aug 25'!$B$5:$AM$41,38,FALSE)),"")</f>
        <v>HO4</v>
      </c>
      <c r="H30" s="24"/>
      <c r="I30" s="18"/>
      <c r="J30" s="17"/>
      <c r="K30" s="17"/>
      <c r="L30" s="18"/>
      <c r="M30" s="15"/>
      <c r="N30" s="18"/>
      <c r="O30" s="18" t="s">
        <v>83</v>
      </c>
      <c r="P30" s="18" t="s">
        <v>83</v>
      </c>
      <c r="Q30" s="17"/>
      <c r="R30" s="17"/>
      <c r="S30" s="18" t="s">
        <v>83</v>
      </c>
      <c r="T30" s="18" t="s">
        <v>83</v>
      </c>
      <c r="U30" s="16" t="s">
        <v>85</v>
      </c>
      <c r="V30" s="18"/>
      <c r="W30" s="18"/>
      <c r="X30" s="17" t="s">
        <v>29</v>
      </c>
      <c r="Y30" s="17"/>
      <c r="Z30" s="18"/>
      <c r="AA30" s="18"/>
      <c r="AB30" s="16" t="s">
        <v>85</v>
      </c>
      <c r="AC30" s="15" t="s">
        <v>29</v>
      </c>
      <c r="AD30" s="18"/>
      <c r="AE30" s="17"/>
      <c r="AF30" s="17" t="s">
        <v>21</v>
      </c>
      <c r="AG30" s="18"/>
      <c r="AH30" s="18" t="s">
        <v>29</v>
      </c>
      <c r="AI30" s="18"/>
      <c r="AJ30" s="18"/>
      <c r="AK30" s="18"/>
      <c r="AL30" s="17"/>
      <c r="AM30" s="17" t="s">
        <v>32</v>
      </c>
      <c r="AN30" s="26"/>
      <c r="AP30" s="27">
        <v>13</v>
      </c>
      <c r="AQ30" s="21">
        <v>15.5</v>
      </c>
      <c r="AR30" s="21">
        <v>11</v>
      </c>
      <c r="AS30" s="28">
        <v>3</v>
      </c>
      <c r="AT30" s="25">
        <f t="shared" si="4"/>
        <v>2</v>
      </c>
      <c r="AU30" s="18">
        <f t="shared" si="5"/>
        <v>0</v>
      </c>
      <c r="AV30" s="18">
        <f t="shared" si="6"/>
        <v>1</v>
      </c>
      <c r="AW30" s="18">
        <f t="shared" si="7"/>
        <v>1</v>
      </c>
      <c r="AX30" s="18">
        <f t="shared" si="8"/>
        <v>0</v>
      </c>
      <c r="AY30" s="26">
        <f t="shared" si="9"/>
        <v>0</v>
      </c>
      <c r="AZ30" s="25">
        <f t="shared" si="10"/>
        <v>4</v>
      </c>
      <c r="BA30" s="18">
        <f t="shared" si="11"/>
        <v>6.5</v>
      </c>
      <c r="BB30" s="22">
        <f t="shared" si="12"/>
        <v>7</v>
      </c>
      <c r="BC30" s="18">
        <f t="shared" si="13"/>
        <v>1</v>
      </c>
      <c r="BD30" s="32">
        <f t="shared" si="14"/>
        <v>1.625</v>
      </c>
      <c r="BE30" s="24">
        <f t="shared" si="15"/>
        <v>17</v>
      </c>
      <c r="BF30" s="18">
        <f t="shared" si="16"/>
        <v>22</v>
      </c>
      <c r="BG30" s="18">
        <f t="shared" si="17"/>
        <v>18</v>
      </c>
      <c r="BH30" s="18">
        <f t="shared" si="18"/>
        <v>4</v>
      </c>
      <c r="BI30" s="32">
        <f t="shared" si="19"/>
        <v>1.2941176470588236</v>
      </c>
    </row>
    <row r="31" spans="2:61" x14ac:dyDescent="0.2">
      <c r="B31" s="1">
        <f t="shared" si="3"/>
        <v>27</v>
      </c>
      <c r="C31" s="71">
        <f t="shared" si="20"/>
        <v>24</v>
      </c>
      <c r="D31" s="13" t="s">
        <v>150</v>
      </c>
      <c r="E31" s="91">
        <v>62</v>
      </c>
      <c r="F31" s="25" t="str">
        <f>IFERROR(IF(VLOOKUP($D31,'Aug 25'!$B$5:$AM$41,37,FALSE)=0,"",VLOOKUP($D31,'Aug 25'!$B$5:$AM$41,37,FALSE)),"")</f>
        <v/>
      </c>
      <c r="G31" s="26" t="str">
        <f>IFERROR(IF(VLOOKUP($D31,'Aug 25'!$B$5:$AM$41,38,FALSE)=0,"",VLOOKUP($D31,'Aug 25'!$B$5:$AM$41,38,FALSE)),"")</f>
        <v/>
      </c>
      <c r="H31" s="24"/>
      <c r="I31" s="18"/>
      <c r="J31" s="17" t="s">
        <v>90</v>
      </c>
      <c r="K31" s="17"/>
      <c r="L31" s="18"/>
      <c r="M31" s="18" t="s">
        <v>31</v>
      </c>
      <c r="N31" s="18"/>
      <c r="O31" s="18"/>
      <c r="P31" s="18"/>
      <c r="Q31" s="17" t="s">
        <v>32</v>
      </c>
      <c r="R31" s="17"/>
      <c r="S31" s="18"/>
      <c r="T31" s="18"/>
      <c r="U31" s="18"/>
      <c r="V31" s="18" t="s">
        <v>77</v>
      </c>
      <c r="W31" s="18"/>
      <c r="X31" s="17" t="s">
        <v>181</v>
      </c>
      <c r="Y31" s="17" t="s">
        <v>19</v>
      </c>
      <c r="Z31" s="18"/>
      <c r="AA31" s="18"/>
      <c r="AB31" s="18"/>
      <c r="AC31" s="18"/>
      <c r="AD31" s="18"/>
      <c r="AE31" s="17"/>
      <c r="AF31" s="17"/>
      <c r="AG31" s="18" t="s">
        <v>32</v>
      </c>
      <c r="AH31" s="18"/>
      <c r="AI31" s="18"/>
      <c r="AJ31" s="18"/>
      <c r="AK31" s="18" t="s">
        <v>31</v>
      </c>
      <c r="AL31" s="17"/>
      <c r="AM31" s="17"/>
      <c r="AN31" s="26"/>
      <c r="AP31" s="27">
        <v>0</v>
      </c>
      <c r="AQ31" s="21">
        <v>0</v>
      </c>
      <c r="AR31" s="21">
        <v>0</v>
      </c>
      <c r="AS31" s="28">
        <v>0</v>
      </c>
      <c r="AT31" s="25">
        <f t="shared" si="4"/>
        <v>2</v>
      </c>
      <c r="AU31" s="18">
        <f t="shared" si="5"/>
        <v>1</v>
      </c>
      <c r="AV31" s="18">
        <f t="shared" si="6"/>
        <v>1</v>
      </c>
      <c r="AW31" s="18">
        <f t="shared" si="7"/>
        <v>0</v>
      </c>
      <c r="AX31" s="18">
        <f t="shared" si="8"/>
        <v>1</v>
      </c>
      <c r="AY31" s="26">
        <f t="shared" si="9"/>
        <v>1</v>
      </c>
      <c r="AZ31" s="25">
        <f t="shared" si="10"/>
        <v>4.5</v>
      </c>
      <c r="BA31" s="18">
        <f t="shared" si="11"/>
        <v>6.5</v>
      </c>
      <c r="BB31" s="22">
        <f t="shared" si="12"/>
        <v>7</v>
      </c>
      <c r="BC31" s="18">
        <f t="shared" si="13"/>
        <v>0</v>
      </c>
      <c r="BD31" s="32">
        <f t="shared" si="14"/>
        <v>1.4444444444444444</v>
      </c>
      <c r="BE31" s="24">
        <f t="shared" si="15"/>
        <v>4.5</v>
      </c>
      <c r="BF31" s="18">
        <f t="shared" si="16"/>
        <v>6.5</v>
      </c>
      <c r="BG31" s="18">
        <f t="shared" si="17"/>
        <v>7</v>
      </c>
      <c r="BH31" s="18">
        <f t="shared" si="18"/>
        <v>0</v>
      </c>
      <c r="BI31" s="32">
        <f t="shared" si="19"/>
        <v>1.4444444444444444</v>
      </c>
    </row>
    <row r="32" spans="2:61" x14ac:dyDescent="0.2">
      <c r="B32" s="1">
        <f t="shared" si="3"/>
        <v>28</v>
      </c>
      <c r="C32" s="71">
        <f t="shared" si="20"/>
        <v>25</v>
      </c>
      <c r="D32" s="13" t="s">
        <v>151</v>
      </c>
      <c r="E32" s="91">
        <v>62</v>
      </c>
      <c r="F32" s="25" t="str">
        <f>IFERROR(IF(VLOOKUP($D32,'Aug 25'!$B$5:$AM$41,37,FALSE)=0,"",VLOOKUP($D32,'Aug 25'!$B$5:$AM$41,37,FALSE)),"")</f>
        <v/>
      </c>
      <c r="G32" s="26" t="str">
        <f>IFERROR(IF(VLOOKUP($D32,'Aug 25'!$B$5:$AM$41,38,FALSE)=0,"",VLOOKUP($D32,'Aug 25'!$B$5:$AM$41,38,FALSE)),"")</f>
        <v/>
      </c>
      <c r="H32" s="24"/>
      <c r="I32" s="15" t="s">
        <v>32</v>
      </c>
      <c r="J32" s="17" t="s">
        <v>90</v>
      </c>
      <c r="K32" s="17"/>
      <c r="L32" s="18"/>
      <c r="M32" s="18"/>
      <c r="N32" s="15" t="s">
        <v>32</v>
      </c>
      <c r="O32" s="18"/>
      <c r="P32" s="18"/>
      <c r="Q32" s="232" t="s">
        <v>19</v>
      </c>
      <c r="R32" s="17"/>
      <c r="S32" s="18"/>
      <c r="T32" s="18"/>
      <c r="U32" s="18"/>
      <c r="V32" s="18"/>
      <c r="W32" s="18"/>
      <c r="X32" s="16" t="s">
        <v>181</v>
      </c>
      <c r="Y32" s="17"/>
      <c r="Z32" s="18" t="s">
        <v>34</v>
      </c>
      <c r="AA32" s="18"/>
      <c r="AB32" s="18"/>
      <c r="AC32" s="18" t="s">
        <v>77</v>
      </c>
      <c r="AD32" s="16" t="s">
        <v>85</v>
      </c>
      <c r="AE32" s="17"/>
      <c r="AF32" s="17" t="s">
        <v>20</v>
      </c>
      <c r="AG32" s="18"/>
      <c r="AH32" s="18"/>
      <c r="AI32" s="18"/>
      <c r="AJ32" s="18"/>
      <c r="AK32" s="18"/>
      <c r="AL32" s="17"/>
      <c r="AM32" s="15"/>
      <c r="AN32" s="280" t="s">
        <v>29</v>
      </c>
      <c r="AP32" s="27">
        <v>0</v>
      </c>
      <c r="AQ32" s="21">
        <v>0</v>
      </c>
      <c r="AR32" s="21">
        <v>0</v>
      </c>
      <c r="AS32" s="28">
        <v>0</v>
      </c>
      <c r="AT32" s="25">
        <f t="shared" si="4"/>
        <v>3</v>
      </c>
      <c r="AU32" s="18">
        <f t="shared" si="5"/>
        <v>1</v>
      </c>
      <c r="AV32" s="18">
        <f t="shared" si="6"/>
        <v>0</v>
      </c>
      <c r="AW32" s="18">
        <f t="shared" si="7"/>
        <v>0</v>
      </c>
      <c r="AX32" s="18">
        <f t="shared" si="8"/>
        <v>1</v>
      </c>
      <c r="AY32" s="26">
        <f t="shared" si="9"/>
        <v>1</v>
      </c>
      <c r="AZ32" s="25">
        <f t="shared" si="10"/>
        <v>4.5</v>
      </c>
      <c r="BA32" s="18">
        <f t="shared" si="11"/>
        <v>5</v>
      </c>
      <c r="BB32" s="22">
        <f t="shared" si="12"/>
        <v>7</v>
      </c>
      <c r="BC32" s="18">
        <f t="shared" si="13"/>
        <v>1</v>
      </c>
      <c r="BD32" s="32">
        <f t="shared" si="14"/>
        <v>1.1111111111111112</v>
      </c>
      <c r="BE32" s="24">
        <f t="shared" si="15"/>
        <v>4.5</v>
      </c>
      <c r="BF32" s="18">
        <f t="shared" si="16"/>
        <v>5</v>
      </c>
      <c r="BG32" s="18">
        <f t="shared" si="17"/>
        <v>7</v>
      </c>
      <c r="BH32" s="18">
        <f t="shared" si="18"/>
        <v>1</v>
      </c>
      <c r="BI32" s="32">
        <f t="shared" si="19"/>
        <v>1.1111111111111112</v>
      </c>
    </row>
    <row r="33" spans="2:61" x14ac:dyDescent="0.2">
      <c r="B33" s="1">
        <f t="shared" si="3"/>
        <v>29</v>
      </c>
      <c r="C33" s="71">
        <f t="shared" si="20"/>
        <v>26</v>
      </c>
      <c r="D33" s="13" t="s">
        <v>152</v>
      </c>
      <c r="E33" s="91">
        <v>62</v>
      </c>
      <c r="F33" s="25" t="str">
        <f>IFERROR(IF(VLOOKUP($D33,'Aug 25'!$B$5:$AM$41,37,FALSE)=0,"",VLOOKUP($D33,'Aug 25'!$B$5:$AM$41,37,FALSE)),"")</f>
        <v/>
      </c>
      <c r="G33" s="26" t="str">
        <f>IFERROR(IF(VLOOKUP($D33,'Aug 25'!$B$5:$AM$41,38,FALSE)=0,"",VLOOKUP($D33,'Aug 25'!$B$5:$AM$41,38,FALSE)),"")</f>
        <v/>
      </c>
      <c r="H33" s="24"/>
      <c r="I33" s="18"/>
      <c r="J33" s="17" t="s">
        <v>90</v>
      </c>
      <c r="K33" s="17"/>
      <c r="L33" s="18" t="s">
        <v>32</v>
      </c>
      <c r="M33" s="18"/>
      <c r="N33" s="18"/>
      <c r="O33" s="18"/>
      <c r="P33" s="1" t="s">
        <v>29</v>
      </c>
      <c r="Q33" s="17"/>
      <c r="R33" s="17"/>
      <c r="S33" s="18"/>
      <c r="T33" s="15" t="s">
        <v>31</v>
      </c>
      <c r="U33" s="18"/>
      <c r="V33" s="18" t="s">
        <v>83</v>
      </c>
      <c r="W33" s="18" t="s">
        <v>83</v>
      </c>
      <c r="X33" s="16" t="s">
        <v>181</v>
      </c>
      <c r="Y33" s="16" t="s">
        <v>85</v>
      </c>
      <c r="Z33" s="18"/>
      <c r="AA33" s="18"/>
      <c r="AB33" s="18" t="s">
        <v>77</v>
      </c>
      <c r="AC33" s="18"/>
      <c r="AD33" s="18"/>
      <c r="AE33" s="17" t="s">
        <v>20</v>
      </c>
      <c r="AF33" s="17"/>
      <c r="AG33" s="18"/>
      <c r="AH33" s="15" t="s">
        <v>31</v>
      </c>
      <c r="AI33" s="18"/>
      <c r="AJ33" s="18"/>
      <c r="AK33" s="18"/>
      <c r="AL33" s="17" t="s">
        <v>29</v>
      </c>
      <c r="AM33" s="17"/>
      <c r="AN33" s="26"/>
      <c r="AP33" s="27">
        <v>0</v>
      </c>
      <c r="AQ33" s="21">
        <v>0</v>
      </c>
      <c r="AR33" s="21">
        <v>0</v>
      </c>
      <c r="AS33" s="28">
        <v>0</v>
      </c>
      <c r="AT33" s="25">
        <f t="shared" si="4"/>
        <v>3</v>
      </c>
      <c r="AU33" s="18">
        <f t="shared" si="5"/>
        <v>1</v>
      </c>
      <c r="AV33" s="18">
        <f t="shared" si="6"/>
        <v>1</v>
      </c>
      <c r="AW33" s="18">
        <f t="shared" si="7"/>
        <v>0</v>
      </c>
      <c r="AX33" s="18">
        <f t="shared" si="8"/>
        <v>0</v>
      </c>
      <c r="AY33" s="26">
        <f t="shared" si="9"/>
        <v>1</v>
      </c>
      <c r="AZ33" s="25">
        <f t="shared" si="10"/>
        <v>5</v>
      </c>
      <c r="BA33" s="18">
        <f t="shared" si="11"/>
        <v>7</v>
      </c>
      <c r="BB33" s="22">
        <f t="shared" si="12"/>
        <v>7</v>
      </c>
      <c r="BC33" s="18">
        <f t="shared" si="13"/>
        <v>1</v>
      </c>
      <c r="BD33" s="32">
        <f t="shared" si="14"/>
        <v>1.4</v>
      </c>
      <c r="BE33" s="24">
        <f t="shared" si="15"/>
        <v>5</v>
      </c>
      <c r="BF33" s="18">
        <f t="shared" si="16"/>
        <v>7</v>
      </c>
      <c r="BG33" s="18">
        <f t="shared" si="17"/>
        <v>7</v>
      </c>
      <c r="BH33" s="18">
        <f t="shared" si="18"/>
        <v>1</v>
      </c>
      <c r="BI33" s="32">
        <f t="shared" si="19"/>
        <v>1.4</v>
      </c>
    </row>
    <row r="34" spans="2:61" x14ac:dyDescent="0.2">
      <c r="B34" s="1">
        <f t="shared" si="3"/>
        <v>30</v>
      </c>
      <c r="C34" s="71">
        <f t="shared" si="20"/>
        <v>27</v>
      </c>
      <c r="D34" s="13" t="s">
        <v>153</v>
      </c>
      <c r="E34" s="91">
        <v>62</v>
      </c>
      <c r="F34" s="25" t="str">
        <f>IFERROR(IF(VLOOKUP($D34,'Aug 25'!$B$5:$AM$41,37,FALSE)=0,"",VLOOKUP($D34,'Aug 25'!$B$5:$AM$41,37,FALSE)),"")</f>
        <v/>
      </c>
      <c r="G34" s="26" t="str">
        <f>IFERROR(IF(VLOOKUP($D34,'Aug 25'!$B$5:$AM$41,38,FALSE)=0,"",VLOOKUP($D34,'Aug 25'!$B$5:$AM$41,38,FALSE)),"")</f>
        <v/>
      </c>
      <c r="H34" s="24"/>
      <c r="I34" s="18" t="s">
        <v>29</v>
      </c>
      <c r="J34" s="17" t="s">
        <v>90</v>
      </c>
      <c r="K34" s="17"/>
      <c r="L34" s="18" t="s">
        <v>83</v>
      </c>
      <c r="M34" s="18" t="s">
        <v>83</v>
      </c>
      <c r="N34" s="18" t="s">
        <v>83</v>
      </c>
      <c r="O34" s="18"/>
      <c r="P34" s="18"/>
      <c r="Q34" s="17" t="s">
        <v>31</v>
      </c>
      <c r="R34" s="17"/>
      <c r="S34" s="18"/>
      <c r="T34" s="18"/>
      <c r="U34" s="18"/>
      <c r="V34" s="18"/>
      <c r="W34" s="18" t="s">
        <v>31</v>
      </c>
      <c r="X34" s="17" t="s">
        <v>181</v>
      </c>
      <c r="Y34" s="17"/>
      <c r="Z34" s="18"/>
      <c r="AA34" s="18" t="s">
        <v>77</v>
      </c>
      <c r="AB34" s="18"/>
      <c r="AC34" s="18"/>
      <c r="AD34" s="18"/>
      <c r="AE34" s="17"/>
      <c r="AF34" s="17" t="s">
        <v>29</v>
      </c>
      <c r="AG34" s="18"/>
      <c r="AH34" s="18"/>
      <c r="AI34" s="18" t="s">
        <v>32</v>
      </c>
      <c r="AJ34" s="18"/>
      <c r="AK34" s="18"/>
      <c r="AL34" s="17"/>
      <c r="AM34" s="17"/>
      <c r="AN34" s="26"/>
      <c r="AP34" s="27">
        <v>0</v>
      </c>
      <c r="AQ34" s="21">
        <v>0</v>
      </c>
      <c r="AR34" s="21">
        <v>0</v>
      </c>
      <c r="AS34" s="28">
        <v>0</v>
      </c>
      <c r="AT34" s="25">
        <f t="shared" si="4"/>
        <v>1</v>
      </c>
      <c r="AU34" s="18">
        <f t="shared" si="5"/>
        <v>2</v>
      </c>
      <c r="AV34" s="18">
        <f t="shared" si="6"/>
        <v>1</v>
      </c>
      <c r="AW34" s="18">
        <f t="shared" si="7"/>
        <v>1</v>
      </c>
      <c r="AX34" s="18">
        <f t="shared" si="8"/>
        <v>0</v>
      </c>
      <c r="AY34" s="26">
        <f t="shared" si="9"/>
        <v>1</v>
      </c>
      <c r="AZ34" s="25">
        <f t="shared" si="10"/>
        <v>5</v>
      </c>
      <c r="BA34" s="18">
        <f t="shared" si="11"/>
        <v>8.5</v>
      </c>
      <c r="BB34" s="22">
        <f t="shared" si="12"/>
        <v>7</v>
      </c>
      <c r="BC34" s="18">
        <f t="shared" si="13"/>
        <v>0</v>
      </c>
      <c r="BD34" s="32">
        <f t="shared" si="14"/>
        <v>1.7</v>
      </c>
      <c r="BE34" s="24">
        <f t="shared" si="15"/>
        <v>5</v>
      </c>
      <c r="BF34" s="18">
        <f t="shared" si="16"/>
        <v>8.5</v>
      </c>
      <c r="BG34" s="18">
        <f t="shared" si="17"/>
        <v>7</v>
      </c>
      <c r="BH34" s="18">
        <f t="shared" si="18"/>
        <v>0</v>
      </c>
      <c r="BI34" s="32">
        <f t="shared" si="19"/>
        <v>1.7</v>
      </c>
    </row>
    <row r="35" spans="2:61" x14ac:dyDescent="0.2">
      <c r="B35" s="1">
        <f t="shared" si="3"/>
        <v>31</v>
      </c>
      <c r="C35" s="71">
        <f t="shared" si="20"/>
        <v>28</v>
      </c>
      <c r="D35" s="13" t="s">
        <v>154</v>
      </c>
      <c r="E35" s="91">
        <v>75</v>
      </c>
      <c r="F35" s="25" t="str">
        <f>IFERROR(IF(VLOOKUP($D35,'Aug 25'!$B$5:$AM$41,37,FALSE)=0,"",VLOOKUP($D35,'Aug 25'!$B$5:$AM$41,37,FALSE)),"")</f>
        <v/>
      </c>
      <c r="G35" s="26" t="str">
        <f>IFERROR(IF(VLOOKUP($D35,'Aug 25'!$B$5:$AM$41,38,FALSE)=0,"",VLOOKUP($D35,'Aug 25'!$B$5:$AM$41,38,FALSE)),"")</f>
        <v/>
      </c>
      <c r="H35" s="24"/>
      <c r="I35" s="18"/>
      <c r="J35" s="17"/>
      <c r="K35" s="15" t="s">
        <v>29</v>
      </c>
      <c r="L35" s="18"/>
      <c r="M35" s="18"/>
      <c r="N35" s="18" t="s">
        <v>179</v>
      </c>
      <c r="O35" s="18"/>
      <c r="P35" s="18"/>
      <c r="Q35" s="16" t="s">
        <v>85</v>
      </c>
      <c r="R35" s="17" t="s">
        <v>77</v>
      </c>
      <c r="S35" s="18"/>
      <c r="T35" s="18"/>
      <c r="U35" s="15" t="s">
        <v>29</v>
      </c>
      <c r="V35" s="18"/>
      <c r="W35" s="18"/>
      <c r="X35" s="17" t="s">
        <v>181</v>
      </c>
      <c r="Y35" s="17" t="s">
        <v>81</v>
      </c>
      <c r="Z35" s="18"/>
      <c r="AA35" s="18"/>
      <c r="AB35" s="18"/>
      <c r="AC35" s="18"/>
      <c r="AD35" s="18" t="s">
        <v>29</v>
      </c>
      <c r="AE35" s="16" t="s">
        <v>85</v>
      </c>
      <c r="AF35" s="17"/>
      <c r="AG35" s="18"/>
      <c r="AH35" s="18"/>
      <c r="AI35" s="18"/>
      <c r="AJ35" s="18"/>
      <c r="AK35" s="18"/>
      <c r="AL35" s="17"/>
      <c r="AM35" s="15" t="s">
        <v>31</v>
      </c>
      <c r="AN35" s="26"/>
      <c r="AP35" s="27">
        <v>0</v>
      </c>
      <c r="AQ35" s="21">
        <v>0</v>
      </c>
      <c r="AR35" s="21">
        <v>0</v>
      </c>
      <c r="AS35" s="28">
        <v>0</v>
      </c>
      <c r="AT35" s="25">
        <f t="shared" si="4"/>
        <v>1</v>
      </c>
      <c r="AU35" s="18">
        <f t="shared" si="5"/>
        <v>1</v>
      </c>
      <c r="AV35" s="18">
        <f t="shared" si="6"/>
        <v>0</v>
      </c>
      <c r="AW35" s="18">
        <f t="shared" si="7"/>
        <v>2</v>
      </c>
      <c r="AX35" s="18">
        <f t="shared" si="8"/>
        <v>0</v>
      </c>
      <c r="AY35" s="26">
        <f t="shared" si="9"/>
        <v>1</v>
      </c>
      <c r="AZ35" s="25">
        <f t="shared" si="10"/>
        <v>4</v>
      </c>
      <c r="BA35" s="18">
        <f t="shared" si="11"/>
        <v>6.5</v>
      </c>
      <c r="BB35" s="22">
        <f t="shared" si="12"/>
        <v>6</v>
      </c>
      <c r="BC35" s="18">
        <f t="shared" si="13"/>
        <v>1</v>
      </c>
      <c r="BD35" s="32">
        <f t="shared" si="14"/>
        <v>1.625</v>
      </c>
      <c r="BE35" s="24">
        <f t="shared" si="15"/>
        <v>4</v>
      </c>
      <c r="BF35" s="18">
        <f t="shared" si="16"/>
        <v>6.5</v>
      </c>
      <c r="BG35" s="18">
        <f t="shared" si="17"/>
        <v>6</v>
      </c>
      <c r="BH35" s="18">
        <f t="shared" si="18"/>
        <v>1</v>
      </c>
      <c r="BI35" s="32">
        <f t="shared" si="19"/>
        <v>1.625</v>
      </c>
    </row>
    <row r="36" spans="2:61" x14ac:dyDescent="0.2">
      <c r="B36" s="1">
        <f t="shared" si="3"/>
        <v>32</v>
      </c>
      <c r="C36" s="71">
        <f t="shared" si="20"/>
        <v>29</v>
      </c>
      <c r="D36" s="13" t="s">
        <v>155</v>
      </c>
      <c r="E36" s="91">
        <v>75</v>
      </c>
      <c r="F36" s="25" t="str">
        <f>IFERROR(IF(VLOOKUP($D36,'Aug 25'!$B$5:$AM$41,37,FALSE)=0,"",VLOOKUP($D36,'Aug 25'!$B$5:$AM$41,37,FALSE)),"")</f>
        <v/>
      </c>
      <c r="G36" s="26" t="str">
        <f>IFERROR(IF(VLOOKUP($D36,'Aug 25'!$B$5:$AM$41,38,FALSE)=0,"",VLOOKUP($D36,'Aug 25'!$B$5:$AM$41,38,FALSE)),"")</f>
        <v/>
      </c>
      <c r="H36" s="95" t="s">
        <v>85</v>
      </c>
      <c r="I36" s="16" t="s">
        <v>85</v>
      </c>
      <c r="J36" s="17" t="s">
        <v>29</v>
      </c>
      <c r="K36" s="17" t="s">
        <v>90</v>
      </c>
      <c r="L36" s="18"/>
      <c r="M36" s="18"/>
      <c r="N36" s="15" t="s">
        <v>29</v>
      </c>
      <c r="O36" s="18"/>
      <c r="P36" s="18"/>
      <c r="Q36" s="17"/>
      <c r="R36" s="15" t="s">
        <v>29</v>
      </c>
      <c r="S36" s="18"/>
      <c r="T36" s="18"/>
      <c r="U36" s="18"/>
      <c r="V36" s="18"/>
      <c r="W36" s="18"/>
      <c r="X36" s="19" t="s">
        <v>185</v>
      </c>
      <c r="Y36" s="17"/>
      <c r="Z36" s="18"/>
      <c r="AA36" s="18"/>
      <c r="AB36" s="18" t="s">
        <v>29</v>
      </c>
      <c r="AC36" s="18"/>
      <c r="AD36" s="18"/>
      <c r="AE36" s="17" t="s">
        <v>77</v>
      </c>
      <c r="AF36" s="17"/>
      <c r="AG36" s="18"/>
      <c r="AH36" s="18"/>
      <c r="AI36" s="18"/>
      <c r="AJ36" s="18"/>
      <c r="AK36" s="18" t="s">
        <v>77</v>
      </c>
      <c r="AL36" s="17"/>
      <c r="AM36" s="15"/>
      <c r="AN36" s="73" t="s">
        <v>85</v>
      </c>
      <c r="AP36" s="27">
        <v>0</v>
      </c>
      <c r="AQ36" s="21">
        <v>0</v>
      </c>
      <c r="AR36" s="21">
        <v>0</v>
      </c>
      <c r="AS36" s="28">
        <v>0</v>
      </c>
      <c r="AT36" s="25">
        <f t="shared" si="4"/>
        <v>2</v>
      </c>
      <c r="AU36" s="18">
        <f t="shared" si="5"/>
        <v>0</v>
      </c>
      <c r="AV36" s="18">
        <f t="shared" si="6"/>
        <v>1</v>
      </c>
      <c r="AW36" s="18">
        <f t="shared" si="7"/>
        <v>1</v>
      </c>
      <c r="AX36" s="18">
        <f t="shared" si="8"/>
        <v>0</v>
      </c>
      <c r="AY36" s="26">
        <f t="shared" si="9"/>
        <v>2</v>
      </c>
      <c r="AZ36" s="25">
        <f t="shared" si="10"/>
        <v>4</v>
      </c>
      <c r="BA36" s="18">
        <f t="shared" si="11"/>
        <v>6.5</v>
      </c>
      <c r="BB36" s="22">
        <f t="shared" si="12"/>
        <v>5</v>
      </c>
      <c r="BC36" s="18">
        <f t="shared" si="13"/>
        <v>1</v>
      </c>
      <c r="BD36" s="32">
        <f t="shared" si="14"/>
        <v>1.625</v>
      </c>
      <c r="BE36" s="24">
        <f t="shared" si="15"/>
        <v>4</v>
      </c>
      <c r="BF36" s="18">
        <f t="shared" si="16"/>
        <v>6.5</v>
      </c>
      <c r="BG36" s="18">
        <f t="shared" si="17"/>
        <v>5</v>
      </c>
      <c r="BH36" s="18">
        <f t="shared" si="18"/>
        <v>1</v>
      </c>
      <c r="BI36" s="32">
        <f t="shared" si="19"/>
        <v>1.625</v>
      </c>
    </row>
    <row r="37" spans="2:61" x14ac:dyDescent="0.2">
      <c r="B37" s="1">
        <f t="shared" si="3"/>
        <v>33</v>
      </c>
      <c r="C37" s="71">
        <f t="shared" si="20"/>
        <v>30</v>
      </c>
      <c r="D37" s="13" t="s">
        <v>156</v>
      </c>
      <c r="E37" s="91" t="s">
        <v>72</v>
      </c>
      <c r="F37" s="25" t="str">
        <f>IFERROR(IF(VLOOKUP($D37,'Aug 25'!$B$5:$AM$41,37,FALSE)=0,"",VLOOKUP($D37,'Aug 25'!$B$5:$AM$41,37,FALSE)),"")</f>
        <v/>
      </c>
      <c r="G37" s="26" t="str">
        <f>IFERROR(IF(VLOOKUP($D37,'Aug 25'!$B$5:$AM$41,38,FALSE)=0,"",VLOOKUP($D37,'Aug 25'!$B$5:$AM$41,38,FALSE)),"")</f>
        <v/>
      </c>
      <c r="H37" s="24"/>
      <c r="I37" s="18"/>
      <c r="J37" s="17"/>
      <c r="K37" s="17" t="s">
        <v>90</v>
      </c>
      <c r="L37" s="18" t="s">
        <v>29</v>
      </c>
      <c r="M37" s="18"/>
      <c r="N37" s="18"/>
      <c r="O37" s="18"/>
      <c r="P37" s="18"/>
      <c r="Q37" s="17" t="s">
        <v>30</v>
      </c>
      <c r="R37" s="15"/>
      <c r="S37" s="18"/>
      <c r="T37" s="18"/>
      <c r="U37" s="18"/>
      <c r="V37" s="18"/>
      <c r="W37" s="18" t="s">
        <v>29</v>
      </c>
      <c r="X37" s="17" t="s">
        <v>181</v>
      </c>
      <c r="Y37" s="17"/>
      <c r="Z37" s="18"/>
      <c r="AA37" s="15" t="s">
        <v>32</v>
      </c>
      <c r="AB37" s="18"/>
      <c r="AC37" s="18" t="s">
        <v>83</v>
      </c>
      <c r="AD37" s="18" t="s">
        <v>83</v>
      </c>
      <c r="AE37" s="16" t="s">
        <v>85</v>
      </c>
      <c r="AF37" s="16" t="s">
        <v>85</v>
      </c>
      <c r="AG37" s="18" t="s">
        <v>29</v>
      </c>
      <c r="AH37" s="18"/>
      <c r="AI37" s="18"/>
      <c r="AJ37" s="15" t="s">
        <v>77</v>
      </c>
      <c r="AK37" s="18"/>
      <c r="AL37" s="17"/>
      <c r="AM37" s="17" t="s">
        <v>81</v>
      </c>
      <c r="AN37" s="73" t="s">
        <v>85</v>
      </c>
      <c r="AP37" s="27">
        <v>0</v>
      </c>
      <c r="AQ37" s="21">
        <v>0</v>
      </c>
      <c r="AR37" s="21">
        <v>0</v>
      </c>
      <c r="AS37" s="28">
        <v>0</v>
      </c>
      <c r="AT37" s="25">
        <f t="shared" si="4"/>
        <v>3</v>
      </c>
      <c r="AU37" s="18">
        <f t="shared" si="5"/>
        <v>1</v>
      </c>
      <c r="AV37" s="18">
        <f t="shared" si="6"/>
        <v>1</v>
      </c>
      <c r="AW37" s="18">
        <f t="shared" si="7"/>
        <v>0</v>
      </c>
      <c r="AX37" s="18">
        <f t="shared" si="8"/>
        <v>0</v>
      </c>
      <c r="AY37" s="26">
        <f t="shared" si="9"/>
        <v>1</v>
      </c>
      <c r="AZ37" s="25">
        <f t="shared" si="10"/>
        <v>5</v>
      </c>
      <c r="BA37" s="18">
        <f t="shared" si="11"/>
        <v>7</v>
      </c>
      <c r="BB37" s="22">
        <f t="shared" si="12"/>
        <v>7</v>
      </c>
      <c r="BC37" s="18">
        <f t="shared" si="13"/>
        <v>1</v>
      </c>
      <c r="BD37" s="32">
        <f t="shared" si="14"/>
        <v>1.4</v>
      </c>
      <c r="BE37" s="24">
        <f t="shared" si="15"/>
        <v>5</v>
      </c>
      <c r="BF37" s="18">
        <f t="shared" si="16"/>
        <v>7</v>
      </c>
      <c r="BG37" s="18">
        <f t="shared" si="17"/>
        <v>7</v>
      </c>
      <c r="BH37" s="18">
        <f t="shared" si="18"/>
        <v>1</v>
      </c>
      <c r="BI37" s="32">
        <f t="shared" si="19"/>
        <v>1.4</v>
      </c>
    </row>
    <row r="38" spans="2:61" x14ac:dyDescent="0.2">
      <c r="B38" s="1">
        <f t="shared" si="3"/>
        <v>34</v>
      </c>
      <c r="C38" s="71">
        <f t="shared" si="20"/>
        <v>31</v>
      </c>
      <c r="D38" s="13" t="s">
        <v>157</v>
      </c>
      <c r="E38" s="91" t="s">
        <v>73</v>
      </c>
      <c r="F38" s="25" t="str">
        <f>IFERROR(IF(VLOOKUP($D38,'Aug 25'!$B$5:$AM$41,37,FALSE)=0,"",VLOOKUP($D38,'Aug 25'!$B$5:$AM$41,37,FALSE)),"")</f>
        <v/>
      </c>
      <c r="G38" s="26" t="str">
        <f>IFERROR(IF(VLOOKUP($D38,'Aug 25'!$B$5:$AM$41,38,FALSE)=0,"",VLOOKUP($D38,'Aug 25'!$B$5:$AM$41,38,FALSE)),"")</f>
        <v/>
      </c>
      <c r="H38" s="24"/>
      <c r="I38" s="18"/>
      <c r="J38" s="16" t="s">
        <v>85</v>
      </c>
      <c r="K38" s="74" t="s">
        <v>90</v>
      </c>
      <c r="L38" s="18"/>
      <c r="M38" s="15" t="s">
        <v>29</v>
      </c>
      <c r="N38" s="18"/>
      <c r="O38" s="18"/>
      <c r="P38" s="18"/>
      <c r="Q38" s="17" t="s">
        <v>29</v>
      </c>
      <c r="R38" s="17"/>
      <c r="S38" s="18"/>
      <c r="T38" s="15" t="s">
        <v>29</v>
      </c>
      <c r="U38" s="18"/>
      <c r="V38" s="18"/>
      <c r="W38" s="18"/>
      <c r="X38" s="16" t="s">
        <v>181</v>
      </c>
      <c r="Y38" s="17"/>
      <c r="Z38" s="18" t="s">
        <v>29</v>
      </c>
      <c r="AA38" s="18"/>
      <c r="AB38" s="18"/>
      <c r="AC38" s="18"/>
      <c r="AD38" s="18" t="s">
        <v>179</v>
      </c>
      <c r="AE38" s="17"/>
      <c r="AF38" s="17" t="s">
        <v>81</v>
      </c>
      <c r="AG38" s="18"/>
      <c r="AH38" s="18"/>
      <c r="AI38" s="18"/>
      <c r="AJ38" s="18"/>
      <c r="AK38" s="18" t="s">
        <v>29</v>
      </c>
      <c r="AL38" s="17"/>
      <c r="AM38" s="17"/>
      <c r="AN38" s="26"/>
      <c r="AP38" s="27">
        <v>0</v>
      </c>
      <c r="AQ38" s="21">
        <v>0</v>
      </c>
      <c r="AR38" s="21">
        <v>0</v>
      </c>
      <c r="AS38" s="28">
        <v>0</v>
      </c>
      <c r="AT38" s="25">
        <f t="shared" si="4"/>
        <v>3</v>
      </c>
      <c r="AU38" s="18">
        <f t="shared" si="5"/>
        <v>1</v>
      </c>
      <c r="AV38" s="18">
        <f t="shared" si="6"/>
        <v>1</v>
      </c>
      <c r="AW38" s="18">
        <f t="shared" si="7"/>
        <v>0</v>
      </c>
      <c r="AX38" s="18">
        <f t="shared" si="8"/>
        <v>0</v>
      </c>
      <c r="AY38" s="26">
        <f t="shared" si="9"/>
        <v>0</v>
      </c>
      <c r="AZ38" s="25">
        <f t="shared" si="10"/>
        <v>5</v>
      </c>
      <c r="BA38" s="18">
        <f t="shared" si="11"/>
        <v>7</v>
      </c>
      <c r="BB38" s="22">
        <f t="shared" si="12"/>
        <v>7</v>
      </c>
      <c r="BC38" s="18">
        <f t="shared" si="13"/>
        <v>1</v>
      </c>
      <c r="BD38" s="32">
        <f t="shared" si="14"/>
        <v>1.4</v>
      </c>
      <c r="BE38" s="24">
        <f t="shared" si="15"/>
        <v>5</v>
      </c>
      <c r="BF38" s="18">
        <f t="shared" si="16"/>
        <v>7</v>
      </c>
      <c r="BG38" s="18">
        <f t="shared" si="17"/>
        <v>7</v>
      </c>
      <c r="BH38" s="18">
        <f t="shared" si="18"/>
        <v>1</v>
      </c>
      <c r="BI38" s="32">
        <f t="shared" si="19"/>
        <v>1.4</v>
      </c>
    </row>
    <row r="39" spans="2:61" x14ac:dyDescent="0.2">
      <c r="B39" s="1">
        <f t="shared" si="3"/>
        <v>35</v>
      </c>
      <c r="C39" s="71">
        <f t="shared" si="20"/>
        <v>32</v>
      </c>
      <c r="D39" s="12" t="s">
        <v>183</v>
      </c>
      <c r="E39" s="91" t="s">
        <v>73</v>
      </c>
      <c r="F39" s="25" t="str">
        <f>IFERROR(IF(VLOOKUP($D39,'Aug 25'!$B$5:$AM$41,37,FALSE)=0,"",VLOOKUP($D39,'Aug 25'!$B$5:$AM$41,37,FALSE)),"")</f>
        <v/>
      </c>
      <c r="G39" s="26" t="str">
        <f>IFERROR(IF(VLOOKUP($D39,'Aug 25'!$B$5:$AM$41,38,FALSE)=0,"",VLOOKUP($D39,'Aug 25'!$B$5:$AM$41,38,FALSE)),"")</f>
        <v/>
      </c>
      <c r="H39" s="24"/>
      <c r="I39" s="18" t="s">
        <v>77</v>
      </c>
      <c r="J39" s="17"/>
      <c r="K39" s="17"/>
      <c r="L39" s="18"/>
      <c r="M39" s="18"/>
      <c r="N39" s="18"/>
      <c r="O39" s="18" t="s">
        <v>29</v>
      </c>
      <c r="P39" s="18"/>
      <c r="Q39" s="16" t="s">
        <v>85</v>
      </c>
      <c r="R39" s="16" t="s">
        <v>85</v>
      </c>
      <c r="S39" s="18" t="s">
        <v>83</v>
      </c>
      <c r="T39" s="18" t="s">
        <v>83</v>
      </c>
      <c r="U39" s="18" t="s">
        <v>83</v>
      </c>
      <c r="V39" s="18" t="s">
        <v>83</v>
      </c>
      <c r="W39" s="18" t="s">
        <v>83</v>
      </c>
      <c r="X39" s="17" t="s">
        <v>184</v>
      </c>
      <c r="Y39" s="17" t="s">
        <v>184</v>
      </c>
      <c r="Z39" s="18" t="s">
        <v>83</v>
      </c>
      <c r="AA39" s="18"/>
      <c r="AB39" s="18"/>
      <c r="AC39" s="15"/>
      <c r="AD39" s="18"/>
      <c r="AE39" s="17" t="s">
        <v>29</v>
      </c>
      <c r="AF39" s="17"/>
      <c r="AG39" s="18"/>
      <c r="AH39" s="18"/>
      <c r="AI39" s="15" t="s">
        <v>29</v>
      </c>
      <c r="AJ39" s="18"/>
      <c r="AK39" s="18" t="s">
        <v>83</v>
      </c>
      <c r="AL39" s="17"/>
      <c r="AM39" s="17" t="s">
        <v>20</v>
      </c>
      <c r="AN39" s="26"/>
      <c r="AP39" s="27">
        <v>13.5</v>
      </c>
      <c r="AQ39" s="21">
        <v>18.5</v>
      </c>
      <c r="AR39" s="21">
        <v>14</v>
      </c>
      <c r="AS39" s="28">
        <v>3</v>
      </c>
      <c r="AT39" s="25">
        <f t="shared" si="4"/>
        <v>2</v>
      </c>
      <c r="AU39" s="18">
        <f t="shared" si="5"/>
        <v>0</v>
      </c>
      <c r="AV39" s="18">
        <f t="shared" si="6"/>
        <v>1</v>
      </c>
      <c r="AW39" s="18">
        <f t="shared" si="7"/>
        <v>0</v>
      </c>
      <c r="AX39" s="18">
        <f t="shared" si="8"/>
        <v>0</v>
      </c>
      <c r="AY39" s="26">
        <f t="shared" si="9"/>
        <v>1</v>
      </c>
      <c r="AZ39" s="25">
        <f t="shared" si="10"/>
        <v>3</v>
      </c>
      <c r="BA39" s="18">
        <f t="shared" si="11"/>
        <v>4.5</v>
      </c>
      <c r="BB39" s="22">
        <f t="shared" si="12"/>
        <v>6</v>
      </c>
      <c r="BC39" s="18">
        <f t="shared" si="13"/>
        <v>1</v>
      </c>
      <c r="BD39" s="32">
        <f t="shared" si="14"/>
        <v>1.5</v>
      </c>
      <c r="BE39" s="24">
        <f t="shared" si="15"/>
        <v>16.5</v>
      </c>
      <c r="BF39" s="18">
        <f t="shared" si="16"/>
        <v>23</v>
      </c>
      <c r="BG39" s="18">
        <f t="shared" si="17"/>
        <v>20</v>
      </c>
      <c r="BH39" s="18">
        <f t="shared" si="18"/>
        <v>4</v>
      </c>
      <c r="BI39" s="32">
        <f t="shared" si="19"/>
        <v>1.393939393939394</v>
      </c>
    </row>
    <row r="40" spans="2:61" x14ac:dyDescent="0.2">
      <c r="B40" s="1">
        <f t="shared" si="3"/>
        <v>36</v>
      </c>
      <c r="C40" s="71">
        <f t="shared" si="20"/>
        <v>33</v>
      </c>
      <c r="D40" s="12" t="s">
        <v>125</v>
      </c>
      <c r="E40" s="91" t="s">
        <v>73</v>
      </c>
      <c r="F40" s="25" t="str">
        <f>IFERROR(IF(VLOOKUP($D40,'Aug 25'!$B$5:$AM$41,37,FALSE)=0,"",VLOOKUP($D40,'Aug 25'!$B$5:$AM$41,37,FALSE)),"")</f>
        <v/>
      </c>
      <c r="G40" s="26" t="str">
        <f>IFERROR(IF(VLOOKUP($D40,'Aug 25'!$B$5:$AM$41,38,FALSE)=0,"",VLOOKUP($D40,'Aug 25'!$B$5:$AM$41,38,FALSE)),"")</f>
        <v>S</v>
      </c>
      <c r="H40" s="24"/>
      <c r="I40" s="18"/>
      <c r="J40" s="16" t="s">
        <v>85</v>
      </c>
      <c r="K40" s="17"/>
      <c r="L40" s="18" t="s">
        <v>30</v>
      </c>
      <c r="M40" s="18"/>
      <c r="N40" s="18"/>
      <c r="O40" s="15"/>
      <c r="P40" s="18"/>
      <c r="Q40" s="17"/>
      <c r="R40" s="231" t="s">
        <v>19</v>
      </c>
      <c r="S40" s="18"/>
      <c r="T40" s="18"/>
      <c r="U40" s="18"/>
      <c r="V40" s="15" t="s">
        <v>29</v>
      </c>
      <c r="W40" s="18"/>
      <c r="X40" s="17" t="s">
        <v>181</v>
      </c>
      <c r="Y40" s="17" t="s">
        <v>29</v>
      </c>
      <c r="Z40" s="18"/>
      <c r="AA40" s="18"/>
      <c r="AB40" s="18"/>
      <c r="AC40" s="18"/>
      <c r="AD40" s="18" t="s">
        <v>83</v>
      </c>
      <c r="AE40" s="17" t="s">
        <v>184</v>
      </c>
      <c r="AF40" s="17" t="s">
        <v>184</v>
      </c>
      <c r="AG40" s="18" t="s">
        <v>83</v>
      </c>
      <c r="AH40" s="18" t="s">
        <v>83</v>
      </c>
      <c r="AI40" s="18" t="s">
        <v>83</v>
      </c>
      <c r="AJ40" s="18" t="s">
        <v>83</v>
      </c>
      <c r="AK40" s="18" t="s">
        <v>83</v>
      </c>
      <c r="AL40" s="16" t="s">
        <v>85</v>
      </c>
      <c r="AM40" s="16" t="s">
        <v>85</v>
      </c>
      <c r="AN40" s="26" t="s">
        <v>83</v>
      </c>
      <c r="AP40" s="27">
        <v>11</v>
      </c>
      <c r="AQ40" s="21">
        <v>13.5</v>
      </c>
      <c r="AR40" s="21">
        <v>11</v>
      </c>
      <c r="AS40" s="28">
        <v>0</v>
      </c>
      <c r="AT40" s="25">
        <f t="shared" si="4"/>
        <v>2</v>
      </c>
      <c r="AU40" s="18">
        <f t="shared" si="5"/>
        <v>0</v>
      </c>
      <c r="AV40" s="18">
        <f t="shared" si="6"/>
        <v>0</v>
      </c>
      <c r="AW40" s="18">
        <f t="shared" si="7"/>
        <v>1</v>
      </c>
      <c r="AX40" s="18">
        <f t="shared" si="8"/>
        <v>1</v>
      </c>
      <c r="AY40" s="26">
        <f t="shared" si="9"/>
        <v>0</v>
      </c>
      <c r="AZ40" s="25">
        <f t="shared" si="10"/>
        <v>3.5</v>
      </c>
      <c r="BA40" s="18">
        <f t="shared" si="11"/>
        <v>4.5</v>
      </c>
      <c r="BB40" s="22">
        <f t="shared" si="12"/>
        <v>6</v>
      </c>
      <c r="BC40" s="18">
        <f t="shared" si="13"/>
        <v>0</v>
      </c>
      <c r="BD40" s="32">
        <f t="shared" si="14"/>
        <v>1.2857142857142858</v>
      </c>
      <c r="BE40" s="24">
        <f t="shared" si="15"/>
        <v>14.5</v>
      </c>
      <c r="BF40" s="18">
        <f t="shared" si="16"/>
        <v>18</v>
      </c>
      <c r="BG40" s="18">
        <f t="shared" si="17"/>
        <v>17</v>
      </c>
      <c r="BH40" s="18">
        <f t="shared" si="18"/>
        <v>0</v>
      </c>
      <c r="BI40" s="32">
        <f t="shared" si="19"/>
        <v>1.2413793103448276</v>
      </c>
    </row>
    <row r="41" spans="2:61" x14ac:dyDescent="0.2">
      <c r="B41" s="1">
        <f t="shared" si="3"/>
        <v>37</v>
      </c>
      <c r="C41" s="71">
        <f t="shared" si="20"/>
        <v>34</v>
      </c>
      <c r="D41" s="14" t="s">
        <v>128</v>
      </c>
      <c r="E41" s="92" t="s">
        <v>89</v>
      </c>
      <c r="F41" s="25" t="str">
        <f>IFERROR(IF(VLOOKUP($D41,'Aug 25'!$B$5:$AM$41,37,FALSE)=0,"",VLOOKUP($D41,'Aug 25'!$B$5:$AM$41,37,FALSE)),"")</f>
        <v/>
      </c>
      <c r="G41" s="26" t="str">
        <f>IFERROR(IF(VLOOKUP($D41,'Aug 25'!$B$5:$AM$41,38,FALSE)=0,"",VLOOKUP($D41,'Aug 25'!$B$5:$AM$41,38,FALSE)),"")</f>
        <v>HO2</v>
      </c>
      <c r="H41" s="24"/>
      <c r="I41" s="18"/>
      <c r="J41" s="17"/>
      <c r="K41" s="17"/>
      <c r="L41" s="18"/>
      <c r="M41" s="18"/>
      <c r="N41" s="18" t="s">
        <v>85</v>
      </c>
      <c r="O41" s="15" t="s">
        <v>31</v>
      </c>
      <c r="P41" s="18"/>
      <c r="Q41" s="16" t="s">
        <v>85</v>
      </c>
      <c r="R41" s="16" t="s">
        <v>85</v>
      </c>
      <c r="S41" s="18" t="s">
        <v>29</v>
      </c>
      <c r="T41" s="18"/>
      <c r="U41" s="18" t="s">
        <v>85</v>
      </c>
      <c r="V41" s="18"/>
      <c r="W41" s="18"/>
      <c r="X41" s="17" t="s">
        <v>187</v>
      </c>
      <c r="Y41" s="17"/>
      <c r="Z41" s="15"/>
      <c r="AA41" s="18"/>
      <c r="AB41" s="18" t="s">
        <v>85</v>
      </c>
      <c r="AC41" s="18"/>
      <c r="AD41" s="18"/>
      <c r="AE41" s="17" t="s">
        <v>30</v>
      </c>
      <c r="AF41" s="17"/>
      <c r="AG41" s="18"/>
      <c r="AH41" s="18"/>
      <c r="AI41" s="18" t="s">
        <v>85</v>
      </c>
      <c r="AJ41" s="18"/>
      <c r="AK41" s="18"/>
      <c r="AL41" s="17" t="s">
        <v>81</v>
      </c>
      <c r="AM41" s="232" t="s">
        <v>29</v>
      </c>
      <c r="AN41" s="26"/>
      <c r="AP41" s="27">
        <v>8.5</v>
      </c>
      <c r="AQ41" s="21">
        <v>12</v>
      </c>
      <c r="AR41" s="21">
        <v>10</v>
      </c>
      <c r="AS41" s="28">
        <v>1</v>
      </c>
      <c r="AT41" s="25">
        <f t="shared" si="4"/>
        <v>2</v>
      </c>
      <c r="AU41" s="18">
        <f t="shared" si="5"/>
        <v>0</v>
      </c>
      <c r="AV41" s="18">
        <f t="shared" si="6"/>
        <v>2</v>
      </c>
      <c r="AW41" s="18">
        <f t="shared" si="7"/>
        <v>1</v>
      </c>
      <c r="AX41" s="20">
        <v>1</v>
      </c>
      <c r="AY41" s="40">
        <v>1</v>
      </c>
      <c r="AZ41" s="25">
        <f t="shared" si="10"/>
        <v>5.5</v>
      </c>
      <c r="BA41" s="18">
        <f t="shared" si="11"/>
        <v>9.5</v>
      </c>
      <c r="BB41" s="22">
        <f t="shared" si="12"/>
        <v>6</v>
      </c>
      <c r="BC41" s="18">
        <f t="shared" si="13"/>
        <v>1</v>
      </c>
      <c r="BD41" s="32">
        <f t="shared" si="14"/>
        <v>1.7272727272727273</v>
      </c>
      <c r="BE41" s="24">
        <f t="shared" si="15"/>
        <v>14</v>
      </c>
      <c r="BF41" s="18">
        <f t="shared" si="16"/>
        <v>21.5</v>
      </c>
      <c r="BG41" s="18">
        <f t="shared" si="17"/>
        <v>16</v>
      </c>
      <c r="BH41" s="18">
        <f t="shared" si="18"/>
        <v>2</v>
      </c>
      <c r="BI41" s="32">
        <f t="shared" si="19"/>
        <v>1.5357142857142858</v>
      </c>
    </row>
    <row r="42" spans="2:61" x14ac:dyDescent="0.2">
      <c r="B42" s="1">
        <f t="shared" si="3"/>
        <v>38</v>
      </c>
      <c r="C42" s="71">
        <f t="shared" si="20"/>
        <v>35</v>
      </c>
      <c r="D42" s="14" t="s">
        <v>118</v>
      </c>
      <c r="E42" s="92" t="s">
        <v>74</v>
      </c>
      <c r="F42" s="25" t="str">
        <f>IFERROR(IF(VLOOKUP($D42,'Aug 25'!$B$5:$AM$41,37,FALSE)=0,"",VLOOKUP($D42,'Aug 25'!$B$5:$AM$41,37,FALSE)),"")</f>
        <v/>
      </c>
      <c r="G42" s="26" t="str">
        <f>IFERROR(IF(VLOOKUP($D42,'Aug 25'!$B$5:$AM$41,38,FALSE)=0,"",VLOOKUP($D42,'Aug 25'!$B$5:$AM$41,38,FALSE)),"")</f>
        <v/>
      </c>
      <c r="H42" s="24" t="s">
        <v>30</v>
      </c>
      <c r="I42" s="18"/>
      <c r="J42" s="17"/>
      <c r="K42" s="17"/>
      <c r="L42" s="18" t="s">
        <v>77</v>
      </c>
      <c r="M42" s="18"/>
      <c r="N42" s="18"/>
      <c r="O42" s="18"/>
      <c r="P42" s="18"/>
      <c r="Q42" s="17"/>
      <c r="R42" s="17" t="s">
        <v>30</v>
      </c>
      <c r="S42" s="18"/>
      <c r="T42" s="18"/>
      <c r="U42" s="18"/>
      <c r="V42" s="15" t="s">
        <v>30</v>
      </c>
      <c r="W42" s="18"/>
      <c r="X42" s="16" t="s">
        <v>20</v>
      </c>
      <c r="Y42" s="16" t="s">
        <v>85</v>
      </c>
      <c r="Z42" s="18" t="s">
        <v>83</v>
      </c>
      <c r="AA42" s="18" t="s">
        <v>83</v>
      </c>
      <c r="AB42" s="18" t="s">
        <v>83</v>
      </c>
      <c r="AC42" s="18" t="s">
        <v>83</v>
      </c>
      <c r="AD42" s="18" t="s">
        <v>83</v>
      </c>
      <c r="AE42" s="17" t="s">
        <v>184</v>
      </c>
      <c r="AF42" s="17" t="s">
        <v>184</v>
      </c>
      <c r="AG42" s="18" t="s">
        <v>30</v>
      </c>
      <c r="AH42" s="18"/>
      <c r="AI42" s="18" t="s">
        <v>182</v>
      </c>
      <c r="AJ42" s="18" t="s">
        <v>182</v>
      </c>
      <c r="AK42" s="18" t="s">
        <v>182</v>
      </c>
      <c r="AL42" s="17" t="s">
        <v>182</v>
      </c>
      <c r="AM42" s="17" t="s">
        <v>182</v>
      </c>
      <c r="AN42" s="26" t="s">
        <v>182</v>
      </c>
      <c r="AP42" s="27">
        <v>13.5</v>
      </c>
      <c r="AQ42" s="21">
        <v>19</v>
      </c>
      <c r="AR42" s="21">
        <v>15</v>
      </c>
      <c r="AS42" s="28">
        <v>3</v>
      </c>
      <c r="AT42" s="25">
        <f t="shared" si="4"/>
        <v>3</v>
      </c>
      <c r="AU42" s="18">
        <f t="shared" si="5"/>
        <v>0</v>
      </c>
      <c r="AV42" s="18">
        <f t="shared" si="6"/>
        <v>0</v>
      </c>
      <c r="AW42" s="18">
        <f t="shared" si="7"/>
        <v>1</v>
      </c>
      <c r="AX42" s="18">
        <f t="shared" si="8"/>
        <v>0</v>
      </c>
      <c r="AY42" s="26">
        <f t="shared" si="9"/>
        <v>1</v>
      </c>
      <c r="AZ42" s="25">
        <f t="shared" si="10"/>
        <v>4</v>
      </c>
      <c r="BA42" s="18">
        <f t="shared" si="11"/>
        <v>5</v>
      </c>
      <c r="BB42" s="22">
        <f t="shared" si="12"/>
        <v>4</v>
      </c>
      <c r="BC42" s="18">
        <f t="shared" si="13"/>
        <v>1</v>
      </c>
      <c r="BD42" s="32">
        <f t="shared" si="14"/>
        <v>1.25</v>
      </c>
      <c r="BE42" s="24">
        <f t="shared" si="15"/>
        <v>17.5</v>
      </c>
      <c r="BF42" s="18">
        <f t="shared" si="16"/>
        <v>24</v>
      </c>
      <c r="BG42" s="18">
        <f t="shared" si="17"/>
        <v>19</v>
      </c>
      <c r="BH42" s="18">
        <f t="shared" si="18"/>
        <v>4</v>
      </c>
      <c r="BI42" s="32">
        <f t="shared" si="19"/>
        <v>1.3714285714285714</v>
      </c>
    </row>
    <row r="43" spans="2:61" ht="16" thickBot="1" x14ac:dyDescent="0.25">
      <c r="B43" s="249">
        <f t="shared" si="3"/>
        <v>39</v>
      </c>
      <c r="C43" s="75">
        <f t="shared" si="20"/>
        <v>36</v>
      </c>
      <c r="D43" s="76" t="s">
        <v>119</v>
      </c>
      <c r="E43" s="93" t="s">
        <v>74</v>
      </c>
      <c r="F43" s="33" t="str">
        <f>IFERROR(IF(VLOOKUP($D43,'Aug 25'!$B$5:$AM$41,37,FALSE)=0,"",VLOOKUP($D43,'Aug 25'!$B$5:$AM$41,37,FALSE)),"")</f>
        <v/>
      </c>
      <c r="G43" s="41" t="str">
        <f>IFERROR(IF(VLOOKUP($D43,'Aug 25'!$B$5:$AM$41,38,FALSE)=0,"",VLOOKUP($D43,'Aug 25'!$B$5:$AM$41,38,FALSE)),"")</f>
        <v/>
      </c>
      <c r="H43" s="38" t="s">
        <v>29</v>
      </c>
      <c r="I43" s="34"/>
      <c r="J43" s="77"/>
      <c r="K43" s="77" t="s">
        <v>77</v>
      </c>
      <c r="L43" s="34"/>
      <c r="M43" s="34"/>
      <c r="N43" s="34"/>
      <c r="O43" s="78" t="s">
        <v>30</v>
      </c>
      <c r="P43" s="34"/>
      <c r="Q43" s="77"/>
      <c r="R43" s="77" t="s">
        <v>20</v>
      </c>
      <c r="S43" s="34"/>
      <c r="T43" s="34" t="s">
        <v>30</v>
      </c>
      <c r="U43" s="34"/>
      <c r="V43" s="34" t="s">
        <v>83</v>
      </c>
      <c r="W43" s="34" t="s">
        <v>83</v>
      </c>
      <c r="X43" s="79" t="s">
        <v>85</v>
      </c>
      <c r="Y43" s="79" t="s">
        <v>85</v>
      </c>
      <c r="Z43" s="34" t="s">
        <v>83</v>
      </c>
      <c r="AA43" s="34"/>
      <c r="AB43" s="34"/>
      <c r="AC43" s="34"/>
      <c r="AD43" s="34"/>
      <c r="AE43" s="77"/>
      <c r="AF43" s="77" t="s">
        <v>30</v>
      </c>
      <c r="AG43" s="34"/>
      <c r="AH43" s="34"/>
      <c r="AI43" s="34" t="s">
        <v>182</v>
      </c>
      <c r="AJ43" s="34" t="s">
        <v>182</v>
      </c>
      <c r="AK43" s="34" t="s">
        <v>182</v>
      </c>
      <c r="AL43" s="77" t="s">
        <v>182</v>
      </c>
      <c r="AM43" s="77" t="s">
        <v>182</v>
      </c>
      <c r="AN43" s="41" t="s">
        <v>182</v>
      </c>
      <c r="AP43" s="29">
        <v>12.5</v>
      </c>
      <c r="AQ43" s="30">
        <v>19</v>
      </c>
      <c r="AR43" s="30">
        <v>15</v>
      </c>
      <c r="AS43" s="31">
        <v>2</v>
      </c>
      <c r="AT43" s="33">
        <f t="shared" si="4"/>
        <v>3</v>
      </c>
      <c r="AU43" s="34">
        <f t="shared" si="5"/>
        <v>0</v>
      </c>
      <c r="AV43" s="34">
        <f t="shared" si="6"/>
        <v>0</v>
      </c>
      <c r="AW43" s="34">
        <f t="shared" si="7"/>
        <v>1</v>
      </c>
      <c r="AX43" s="34">
        <f t="shared" si="8"/>
        <v>0</v>
      </c>
      <c r="AY43" s="41">
        <f t="shared" si="9"/>
        <v>1</v>
      </c>
      <c r="AZ43" s="33">
        <f t="shared" si="10"/>
        <v>4</v>
      </c>
      <c r="BA43" s="34">
        <f t="shared" si="11"/>
        <v>5</v>
      </c>
      <c r="BB43" s="35">
        <f t="shared" si="12"/>
        <v>5</v>
      </c>
      <c r="BC43" s="34">
        <f t="shared" si="13"/>
        <v>1</v>
      </c>
      <c r="BD43" s="36">
        <f t="shared" si="14"/>
        <v>1.25</v>
      </c>
      <c r="BE43" s="38">
        <f t="shared" si="15"/>
        <v>16.5</v>
      </c>
      <c r="BF43" s="34">
        <f t="shared" si="16"/>
        <v>24</v>
      </c>
      <c r="BG43" s="34">
        <f t="shared" si="17"/>
        <v>20</v>
      </c>
      <c r="BH43" s="34">
        <f t="shared" si="18"/>
        <v>3</v>
      </c>
      <c r="BI43" s="36">
        <f t="shared" si="19"/>
        <v>1.4545454545454546</v>
      </c>
    </row>
    <row r="45" spans="2:61" x14ac:dyDescent="0.2">
      <c r="E45" s="3" t="s">
        <v>161</v>
      </c>
      <c r="H45" s="1" t="str">
        <f>IF(VLOOKUP(H$7,Index!$C$2:$D$8,2,0)=0,IF(SUM('Sep 25'!H46:H53)=6,"Y","N"),IF(SUM('Sep 25'!H46:H53)=10,"Y","N"))</f>
        <v>Y</v>
      </c>
      <c r="I45" s="1" t="str">
        <f>IF(VLOOKUP(I$7,Index!$C$2:$D$8,2,0)=0,IF(SUM('Sep 25'!I46:I53)=6,"Y","N"),IF(SUM('Sep 25'!I46:I53)=10,"Y","N"))</f>
        <v>Y</v>
      </c>
      <c r="J45" s="1" t="str">
        <f>IF(VLOOKUP(J$7,Index!$C$2:$D$8,2,0)=0,IF(SUM('Sep 25'!J46:J53)=6,"Y","N"),IF(SUM('Sep 25'!J46:J53)=10,"Y","N"))</f>
        <v>N</v>
      </c>
      <c r="K45" s="1" t="str">
        <f>IF(VLOOKUP(K$7,Index!$C$2:$D$8,2,0)=0,IF(SUM('Sep 25'!K46:K53)=6,"Y","N"),IF(SUM('Sep 25'!K46:K53)=10,"Y","N"))</f>
        <v>N</v>
      </c>
      <c r="L45" s="1" t="str">
        <f>IF(VLOOKUP(L$7,Index!$C$2:$D$8,2,0)=0,IF(SUM('Sep 25'!L46:L53)=6,"Y","N"),IF(SUM('Sep 25'!L46:L53)=10,"Y","N"))</f>
        <v>Y</v>
      </c>
      <c r="M45" s="1" t="str">
        <f>IF(VLOOKUP(M$7,Index!$C$2:$D$8,2,0)=0,IF(SUM('Sep 25'!M46:M53)=6,"Y","N"),IF(SUM('Sep 25'!M46:M53)=10,"Y","N"))</f>
        <v>Y</v>
      </c>
      <c r="N45" s="1" t="str">
        <f>IF(VLOOKUP(N$7,Index!$C$2:$D$8,2,0)=0,IF(SUM('Sep 25'!N46:N53)=6,"Y","N"),IF(SUM('Sep 25'!N46:N53)=10,"Y","N"))</f>
        <v>Y</v>
      </c>
      <c r="O45" s="1" t="str">
        <f>IF(VLOOKUP(O$7,Index!$C$2:$D$8,2,0)=0,IF(SUM('Sep 25'!O46:O53)=6,"Y","N"),IF(SUM('Sep 25'!O46:O53)=10,"Y","N"))</f>
        <v>Y</v>
      </c>
      <c r="P45" s="1" t="str">
        <f>IF(VLOOKUP(P$7,Index!$C$2:$D$8,2,0)=0,IF(SUM('Sep 25'!P46:P53)=6,"Y","N"),IF(SUM('Sep 25'!P46:P53)=10,"Y","N"))</f>
        <v>Y</v>
      </c>
      <c r="Q45" s="1" t="str">
        <f>IF(VLOOKUP(Q$7,Index!$C$2:$D$8,2,0)=0,IF(SUM('Sep 25'!Q46:Q53)=6,"Y","N"),IF(SUM('Sep 25'!Q46:Q53)=10,"Y","N"))</f>
        <v>Y</v>
      </c>
      <c r="R45" s="1" t="str">
        <f>IF(VLOOKUP(R$7,Index!$C$2:$D$8,2,0)=0,IF(SUM('Sep 25'!R46:R53)=6,"Y","N"),IF(SUM('Sep 25'!R46:R53)=10,"Y","N"))</f>
        <v>Y</v>
      </c>
      <c r="S45" s="1" t="str">
        <f>IF(VLOOKUP(S$7,Index!$C$2:$D$8,2,0)=0,IF(SUM('Sep 25'!S46:S53)=6,"Y","N"),IF(SUM('Sep 25'!S46:S53)=10,"Y","N"))</f>
        <v>Y</v>
      </c>
      <c r="T45" s="1" t="str">
        <f>IF(VLOOKUP(T$7,Index!$C$2:$D$8,2,0)=0,IF(SUM('Sep 25'!T46:T53)=6,"Y","N"),IF(SUM('Sep 25'!T46:T53)=10,"Y","N"))</f>
        <v>Y</v>
      </c>
      <c r="U45" s="1" t="str">
        <f>IF(VLOOKUP(U$7,Index!$C$2:$D$8,2,0)=0,IF(SUM('Sep 25'!U46:U53)=6,"Y","N"),IF(SUM('Sep 25'!U46:U53)=10,"Y","N"))</f>
        <v>Y</v>
      </c>
      <c r="V45" s="1" t="str">
        <f>IF(VLOOKUP(V$7,Index!$C$2:$D$8,2,0)=0,IF(SUM('Sep 25'!V46:V53)=6,"Y","N"),IF(SUM('Sep 25'!V46:V53)=10,"Y","N"))</f>
        <v>Y</v>
      </c>
      <c r="W45" s="1" t="str">
        <f>IF(VLOOKUP(W$7,Index!$C$2:$D$8,2,0)=0,IF(SUM('Sep 25'!W46:W53)=6,"Y","N"),IF(SUM('Sep 25'!W46:W53)=10,"Y","N"))</f>
        <v>Y</v>
      </c>
      <c r="X45" s="1" t="str">
        <f>IF(VLOOKUP(X$7,Index!$C$2:$D$8,2,0)=0,IF(SUM('Sep 25'!X46:X53)=6,"Y","N"),IF(SUM('Sep 25'!X46:X53)=10,"Y","N"))</f>
        <v>Y</v>
      </c>
      <c r="Y45" s="1" t="str">
        <f>IF(VLOOKUP(Y$7,Index!$C$2:$D$8,2,0)=0,IF(SUM('Sep 25'!Y46:Y53)=6,"Y","N"),IF(SUM('Sep 25'!Y46:Y53)=10,"Y","N"))</f>
        <v>Y</v>
      </c>
      <c r="Z45" s="1" t="str">
        <f>IF(VLOOKUP(Z$7,Index!$C$2:$D$8,2,0)=0,IF(SUM('Sep 25'!Z46:Z53)=6,"Y","N"),IF(SUM('Sep 25'!Z46:Z53)=10,"Y","N"))</f>
        <v>Y</v>
      </c>
      <c r="AA45" s="1" t="str">
        <f>IF(VLOOKUP(AA$7,Index!$C$2:$D$8,2,0)=0,IF(SUM('Sep 25'!AA46:AA53)=6,"Y","N"),IF(SUM('Sep 25'!AA46:AA53)=10,"Y","N"))</f>
        <v>Y</v>
      </c>
      <c r="AB45" s="1" t="str">
        <f>IF(VLOOKUP(AB$7,Index!$C$2:$D$8,2,0)=0,IF(SUM('Sep 25'!AB46:AB53)=6,"Y","N"),IF(SUM('Sep 25'!AB46:AB53)=10,"Y","N"))</f>
        <v>Y</v>
      </c>
      <c r="AC45" s="1" t="str">
        <f>IF(VLOOKUP(AC$7,Index!$C$2:$D$8,2,0)=0,IF(SUM('Sep 25'!AC46:AC53)=6,"Y","N"),IF(SUM('Sep 25'!AC46:AC53)=10,"Y","N"))</f>
        <v>Y</v>
      </c>
      <c r="AD45" s="1" t="str">
        <f>IF(VLOOKUP(AD$7,Index!$C$2:$D$8,2,0)=0,IF(SUM('Sep 25'!AD46:AD53)=6,"Y","N"),IF(SUM('Sep 25'!AD46:AD53)=10,"Y","N"))</f>
        <v>Y</v>
      </c>
      <c r="AE45" s="1" t="str">
        <f>IF(VLOOKUP(AE$7,Index!$C$2:$D$8,2,0)=0,IF(SUM('Sep 25'!AE46:AE53)=6,"Y","N"),IF(SUM('Sep 25'!AE46:AE53)=10,"Y","N"))</f>
        <v>Y</v>
      </c>
      <c r="AF45" s="1" t="str">
        <f>IF(VLOOKUP(AF$7,Index!$C$2:$D$8,2,0)=0,IF(SUM('Sep 25'!AF46:AF53)=6,"Y","N"),IF(SUM('Sep 25'!AF46:AF53)=10,"Y","N"))</f>
        <v>Y</v>
      </c>
      <c r="AG45" s="1" t="str">
        <f>IF(VLOOKUP(AG$7,Index!$C$2:$D$8,2,0)=0,IF(SUM('Sep 25'!AG46:AG53)=6,"Y","N"),IF(SUM('Sep 25'!AG46:AG53)=10,"Y","N"))</f>
        <v>Y</v>
      </c>
      <c r="AH45" s="1" t="str">
        <f>IF(VLOOKUP(AH$7,Index!$C$2:$D$8,2,0)=0,IF(SUM('Sep 25'!AH46:AH53)=6,"Y","N"),IF(SUM('Sep 25'!AH46:AH53)=10,"Y","N"))</f>
        <v>N</v>
      </c>
      <c r="AI45" s="1" t="str">
        <f>IF(VLOOKUP(AI$7,Index!$C$2:$D$8,2,0)=0,IF(SUM('Sep 25'!AI46:AI53)=6,"Y","N"),IF(SUM('Sep 25'!AI46:AI53)=10,"Y","N"))</f>
        <v>Y</v>
      </c>
      <c r="AJ45" s="1" t="str">
        <f>IF(VLOOKUP(AJ$7,Index!$C$2:$D$8,2,0)=0,IF(SUM('Sep 25'!AJ46:AJ53)=6,"Y","N"),IF(SUM('Sep 25'!AJ46:AJ53)=10,"Y","N"))</f>
        <v>Y</v>
      </c>
      <c r="AK45" s="1" t="str">
        <f>IF(VLOOKUP(AK$7,Index!$C$2:$D$8,2,0)=0,IF(SUM('Sep 25'!AK46:AK53)=6,"Y","N"),IF(SUM('Sep 25'!AK46:AK53)=10,"Y","N"))</f>
        <v>Y</v>
      </c>
      <c r="AL45" s="1" t="str">
        <f>IF(VLOOKUP(AL$7,Index!$C$2:$D$8,2,0)=0,IF(SUM('Sep 25'!AL46:AL53)=6,"Y","N"),IF(SUM('Sep 25'!AL46:AL53)=10,"Y","N"))</f>
        <v>Y</v>
      </c>
      <c r="AM45" s="1" t="str">
        <f>IF(VLOOKUP(AM$7,Index!$C$2:$D$8,2,0)=0,IF(SUM('Sep 25'!AM46:AM53)=6,"Y","N"),IF(SUM('Sep 25'!AM46:AM53)=10,"Y","N"))</f>
        <v>Y</v>
      </c>
      <c r="AN45" s="1" t="str">
        <f>IF(VLOOKUP(AN$7,Index!$C$2:$D$8,2,0)=0,IF(SUM('Sep 25'!AN46:AN53)=6,"Y","N"),IF(SUM('Sep 25'!AN46:AN53)=10,"Y","N"))</f>
        <v>Y</v>
      </c>
    </row>
    <row r="46" spans="2:61" x14ac:dyDescent="0.2">
      <c r="E46" s="3" t="s">
        <v>30</v>
      </c>
      <c r="H46" s="1">
        <f t="shared" ref="H46:AN51" si="21">COUNTIFS(H$8:H$43,$E46)</f>
        <v>1</v>
      </c>
      <c r="I46" s="1">
        <f t="shared" si="21"/>
        <v>1</v>
      </c>
      <c r="J46" s="1">
        <f t="shared" si="21"/>
        <v>1</v>
      </c>
      <c r="K46" s="1">
        <f t="shared" si="21"/>
        <v>1</v>
      </c>
      <c r="L46" s="1">
        <f t="shared" si="21"/>
        <v>1</v>
      </c>
      <c r="M46" s="1">
        <f t="shared" si="21"/>
        <v>1</v>
      </c>
      <c r="N46" s="1">
        <f t="shared" si="21"/>
        <v>1</v>
      </c>
      <c r="O46" s="1">
        <f t="shared" si="21"/>
        <v>1</v>
      </c>
      <c r="P46" s="1">
        <f t="shared" si="21"/>
        <v>1</v>
      </c>
      <c r="Q46" s="1">
        <f t="shared" si="21"/>
        <v>1</v>
      </c>
      <c r="R46" s="1">
        <f t="shared" si="21"/>
        <v>1</v>
      </c>
      <c r="S46" s="1">
        <f t="shared" si="21"/>
        <v>1</v>
      </c>
      <c r="T46" s="1">
        <f t="shared" si="21"/>
        <v>1</v>
      </c>
      <c r="U46" s="1">
        <f t="shared" si="21"/>
        <v>1</v>
      </c>
      <c r="V46" s="1">
        <f t="shared" si="21"/>
        <v>1</v>
      </c>
      <c r="W46" s="1">
        <f t="shared" si="21"/>
        <v>1</v>
      </c>
      <c r="X46" s="1">
        <f t="shared" ref="X46:Y51" si="22">COUNTIFS(X$8:X$43,$E46)</f>
        <v>1</v>
      </c>
      <c r="Y46" s="1">
        <f t="shared" si="22"/>
        <v>1</v>
      </c>
      <c r="Z46" s="1">
        <f t="shared" si="21"/>
        <v>1</v>
      </c>
      <c r="AA46" s="1">
        <f t="shared" si="21"/>
        <v>1</v>
      </c>
      <c r="AB46" s="1">
        <f t="shared" si="21"/>
        <v>1</v>
      </c>
      <c r="AC46" s="1">
        <f t="shared" si="21"/>
        <v>1</v>
      </c>
      <c r="AD46" s="1">
        <f t="shared" si="21"/>
        <v>1</v>
      </c>
      <c r="AE46" s="1">
        <f t="shared" si="21"/>
        <v>1</v>
      </c>
      <c r="AF46" s="1">
        <f t="shared" si="21"/>
        <v>1</v>
      </c>
      <c r="AG46" s="1">
        <f t="shared" si="21"/>
        <v>1</v>
      </c>
      <c r="AH46" s="1">
        <f t="shared" si="21"/>
        <v>1</v>
      </c>
      <c r="AI46" s="1">
        <f t="shared" si="21"/>
        <v>1</v>
      </c>
      <c r="AJ46" s="1">
        <f t="shared" si="21"/>
        <v>1</v>
      </c>
      <c r="AK46" s="1">
        <f t="shared" si="21"/>
        <v>1</v>
      </c>
      <c r="AL46" s="1">
        <f t="shared" si="21"/>
        <v>1</v>
      </c>
      <c r="AM46" s="1">
        <f t="shared" si="21"/>
        <v>1</v>
      </c>
      <c r="AN46" s="1">
        <f t="shared" si="21"/>
        <v>1</v>
      </c>
    </row>
    <row r="47" spans="2:61" x14ac:dyDescent="0.2">
      <c r="E47" s="3" t="s">
        <v>34</v>
      </c>
      <c r="H47" s="1">
        <f t="shared" ref="H47:V47" si="23">COUNTIFS(H$8:H$43,$E47)</f>
        <v>1</v>
      </c>
      <c r="I47" s="1">
        <f t="shared" si="23"/>
        <v>1</v>
      </c>
      <c r="J47" s="1">
        <f t="shared" si="23"/>
        <v>1</v>
      </c>
      <c r="K47" s="1">
        <f t="shared" si="23"/>
        <v>1</v>
      </c>
      <c r="L47" s="1">
        <f t="shared" si="23"/>
        <v>1</v>
      </c>
      <c r="M47" s="1">
        <f t="shared" si="23"/>
        <v>1</v>
      </c>
      <c r="N47" s="1">
        <f t="shared" si="23"/>
        <v>1</v>
      </c>
      <c r="O47" s="1">
        <f t="shared" si="23"/>
        <v>1</v>
      </c>
      <c r="P47" s="1">
        <f t="shared" si="23"/>
        <v>1</v>
      </c>
      <c r="Q47" s="1">
        <f t="shared" si="23"/>
        <v>1</v>
      </c>
      <c r="R47" s="1">
        <f t="shared" si="23"/>
        <v>1</v>
      </c>
      <c r="S47" s="1">
        <f t="shared" si="23"/>
        <v>1</v>
      </c>
      <c r="T47" s="1">
        <f t="shared" si="23"/>
        <v>1</v>
      </c>
      <c r="U47" s="1">
        <f t="shared" si="23"/>
        <v>1</v>
      </c>
      <c r="V47" s="1">
        <f t="shared" si="23"/>
        <v>1</v>
      </c>
      <c r="W47" s="1">
        <f t="shared" si="21"/>
        <v>1</v>
      </c>
      <c r="X47" s="1">
        <f t="shared" si="22"/>
        <v>1</v>
      </c>
      <c r="Y47" s="1">
        <f t="shared" si="22"/>
        <v>1</v>
      </c>
      <c r="Z47" s="1">
        <f t="shared" si="21"/>
        <v>1</v>
      </c>
      <c r="AA47" s="1">
        <f t="shared" si="21"/>
        <v>1</v>
      </c>
      <c r="AB47" s="1">
        <f t="shared" si="21"/>
        <v>1</v>
      </c>
      <c r="AC47" s="1">
        <f t="shared" si="21"/>
        <v>1</v>
      </c>
      <c r="AD47" s="1">
        <f t="shared" si="21"/>
        <v>1</v>
      </c>
      <c r="AE47" s="1">
        <f t="shared" si="21"/>
        <v>1</v>
      </c>
      <c r="AF47" s="1">
        <f t="shared" si="21"/>
        <v>1</v>
      </c>
      <c r="AG47" s="1">
        <f t="shared" si="21"/>
        <v>1</v>
      </c>
      <c r="AH47" s="1">
        <f t="shared" si="21"/>
        <v>1</v>
      </c>
      <c r="AI47" s="1">
        <f t="shared" si="21"/>
        <v>1</v>
      </c>
      <c r="AJ47" s="1">
        <f t="shared" si="21"/>
        <v>1</v>
      </c>
      <c r="AK47" s="1">
        <f t="shared" si="21"/>
        <v>1</v>
      </c>
      <c r="AL47" s="1">
        <f t="shared" si="21"/>
        <v>1</v>
      </c>
      <c r="AM47" s="1">
        <f t="shared" si="21"/>
        <v>1</v>
      </c>
      <c r="AN47" s="1">
        <f t="shared" si="21"/>
        <v>1</v>
      </c>
    </row>
    <row r="48" spans="2:61" x14ac:dyDescent="0.2">
      <c r="E48" s="3" t="s">
        <v>32</v>
      </c>
      <c r="H48" s="1">
        <f t="shared" si="21"/>
        <v>1</v>
      </c>
      <c r="I48" s="1">
        <f t="shared" si="21"/>
        <v>1</v>
      </c>
      <c r="J48" s="1">
        <f t="shared" si="21"/>
        <v>1</v>
      </c>
      <c r="K48" s="1">
        <f t="shared" si="21"/>
        <v>1</v>
      </c>
      <c r="L48" s="1">
        <f t="shared" si="21"/>
        <v>1</v>
      </c>
      <c r="M48" s="1">
        <f t="shared" si="21"/>
        <v>1</v>
      </c>
      <c r="N48" s="1">
        <f t="shared" si="21"/>
        <v>1</v>
      </c>
      <c r="O48" s="1">
        <f t="shared" si="21"/>
        <v>1</v>
      </c>
      <c r="P48" s="1">
        <f t="shared" si="21"/>
        <v>1</v>
      </c>
      <c r="Q48" s="1">
        <f t="shared" si="21"/>
        <v>1</v>
      </c>
      <c r="R48" s="1">
        <f t="shared" si="21"/>
        <v>1</v>
      </c>
      <c r="S48" s="1">
        <f t="shared" si="21"/>
        <v>1</v>
      </c>
      <c r="T48" s="1">
        <f t="shared" si="21"/>
        <v>1</v>
      </c>
      <c r="U48" s="1">
        <f t="shared" si="21"/>
        <v>1</v>
      </c>
      <c r="V48" s="1">
        <f t="shared" si="21"/>
        <v>1</v>
      </c>
      <c r="W48" s="1">
        <f t="shared" si="21"/>
        <v>1</v>
      </c>
      <c r="X48" s="1">
        <f t="shared" si="22"/>
        <v>1</v>
      </c>
      <c r="Y48" s="1">
        <f t="shared" si="22"/>
        <v>1</v>
      </c>
      <c r="Z48" s="1">
        <f t="shared" si="21"/>
        <v>1</v>
      </c>
      <c r="AA48" s="1">
        <f t="shared" si="21"/>
        <v>1</v>
      </c>
      <c r="AB48" s="1">
        <f t="shared" si="21"/>
        <v>1</v>
      </c>
      <c r="AC48" s="1">
        <f t="shared" si="21"/>
        <v>1</v>
      </c>
      <c r="AD48" s="1">
        <f t="shared" si="21"/>
        <v>1</v>
      </c>
      <c r="AE48" s="1">
        <f t="shared" si="21"/>
        <v>1</v>
      </c>
      <c r="AF48" s="1">
        <f t="shared" si="21"/>
        <v>1</v>
      </c>
      <c r="AG48" s="1">
        <f t="shared" si="21"/>
        <v>1</v>
      </c>
      <c r="AH48" s="1">
        <f t="shared" si="21"/>
        <v>1</v>
      </c>
      <c r="AI48" s="1">
        <f t="shared" si="21"/>
        <v>1</v>
      </c>
      <c r="AJ48" s="1">
        <f t="shared" si="21"/>
        <v>1</v>
      </c>
      <c r="AK48" s="1">
        <f t="shared" si="21"/>
        <v>1</v>
      </c>
      <c r="AL48" s="1">
        <f t="shared" si="21"/>
        <v>1</v>
      </c>
      <c r="AM48" s="1">
        <f t="shared" si="21"/>
        <v>1</v>
      </c>
      <c r="AN48" s="1">
        <f t="shared" si="21"/>
        <v>1</v>
      </c>
    </row>
    <row r="49" spans="5:40" x14ac:dyDescent="0.2">
      <c r="E49" s="3" t="s">
        <v>29</v>
      </c>
      <c r="H49" s="1">
        <f t="shared" si="21"/>
        <v>1</v>
      </c>
      <c r="I49" s="1">
        <f t="shared" si="21"/>
        <v>1</v>
      </c>
      <c r="J49" s="1">
        <f t="shared" si="21"/>
        <v>1</v>
      </c>
      <c r="K49" s="1">
        <f t="shared" si="21"/>
        <v>1</v>
      </c>
      <c r="L49" s="1">
        <f t="shared" si="21"/>
        <v>1</v>
      </c>
      <c r="M49" s="1">
        <f t="shared" si="21"/>
        <v>1</v>
      </c>
      <c r="N49" s="1">
        <f t="shared" si="21"/>
        <v>1</v>
      </c>
      <c r="O49" s="1">
        <f t="shared" si="21"/>
        <v>1</v>
      </c>
      <c r="P49" s="1">
        <f t="shared" si="21"/>
        <v>1</v>
      </c>
      <c r="Q49" s="1">
        <f t="shared" si="21"/>
        <v>1</v>
      </c>
      <c r="R49" s="1">
        <f t="shared" si="21"/>
        <v>1</v>
      </c>
      <c r="S49" s="1">
        <f t="shared" si="21"/>
        <v>1</v>
      </c>
      <c r="T49" s="1">
        <f t="shared" si="21"/>
        <v>1</v>
      </c>
      <c r="U49" s="1">
        <f t="shared" si="21"/>
        <v>1</v>
      </c>
      <c r="V49" s="1">
        <f t="shared" si="21"/>
        <v>1</v>
      </c>
      <c r="W49" s="1">
        <f t="shared" si="21"/>
        <v>1</v>
      </c>
      <c r="X49" s="1">
        <f t="shared" si="22"/>
        <v>1</v>
      </c>
      <c r="Y49" s="1">
        <f t="shared" si="22"/>
        <v>1</v>
      </c>
      <c r="Z49" s="1">
        <f t="shared" si="21"/>
        <v>1</v>
      </c>
      <c r="AA49" s="1">
        <f t="shared" si="21"/>
        <v>1</v>
      </c>
      <c r="AB49" s="1">
        <f t="shared" si="21"/>
        <v>1</v>
      </c>
      <c r="AC49" s="1">
        <f t="shared" si="21"/>
        <v>1</v>
      </c>
      <c r="AD49" s="1">
        <f t="shared" si="21"/>
        <v>1</v>
      </c>
      <c r="AE49" s="1">
        <f t="shared" si="21"/>
        <v>1</v>
      </c>
      <c r="AF49" s="1">
        <f t="shared" si="21"/>
        <v>1</v>
      </c>
      <c r="AG49" s="1">
        <f t="shared" si="21"/>
        <v>1</v>
      </c>
      <c r="AH49" s="1">
        <f t="shared" si="21"/>
        <v>1</v>
      </c>
      <c r="AI49" s="1">
        <f t="shared" si="21"/>
        <v>1</v>
      </c>
      <c r="AJ49" s="1">
        <f t="shared" si="21"/>
        <v>1</v>
      </c>
      <c r="AK49" s="1">
        <f t="shared" si="21"/>
        <v>1</v>
      </c>
      <c r="AL49" s="1">
        <f t="shared" si="21"/>
        <v>1</v>
      </c>
      <c r="AM49" s="1">
        <f t="shared" si="21"/>
        <v>1</v>
      </c>
      <c r="AN49" s="1">
        <f t="shared" si="21"/>
        <v>1</v>
      </c>
    </row>
    <row r="50" spans="5:40" x14ac:dyDescent="0.2">
      <c r="E50" s="3" t="s">
        <v>31</v>
      </c>
      <c r="H50" s="1">
        <f t="shared" si="21"/>
        <v>1</v>
      </c>
      <c r="I50" s="1">
        <f t="shared" si="21"/>
        <v>1</v>
      </c>
      <c r="J50" s="1">
        <f t="shared" si="21"/>
        <v>1</v>
      </c>
      <c r="K50" s="1">
        <f t="shared" si="21"/>
        <v>1</v>
      </c>
      <c r="L50" s="1">
        <f t="shared" si="21"/>
        <v>1</v>
      </c>
      <c r="M50" s="1">
        <f t="shared" si="21"/>
        <v>1</v>
      </c>
      <c r="N50" s="1">
        <f t="shared" si="21"/>
        <v>1</v>
      </c>
      <c r="O50" s="1">
        <f t="shared" si="21"/>
        <v>1</v>
      </c>
      <c r="P50" s="1">
        <f t="shared" si="21"/>
        <v>1</v>
      </c>
      <c r="Q50" s="1">
        <f t="shared" si="21"/>
        <v>1</v>
      </c>
      <c r="R50" s="1">
        <f t="shared" si="21"/>
        <v>1</v>
      </c>
      <c r="S50" s="1">
        <f t="shared" si="21"/>
        <v>1</v>
      </c>
      <c r="T50" s="1">
        <f t="shared" si="21"/>
        <v>1</v>
      </c>
      <c r="U50" s="1">
        <f t="shared" si="21"/>
        <v>1</v>
      </c>
      <c r="V50" s="1">
        <f t="shared" si="21"/>
        <v>1</v>
      </c>
      <c r="W50" s="1">
        <f t="shared" si="21"/>
        <v>1</v>
      </c>
      <c r="X50" s="1">
        <f t="shared" si="22"/>
        <v>1</v>
      </c>
      <c r="Y50" s="1">
        <f t="shared" si="22"/>
        <v>1</v>
      </c>
      <c r="Z50" s="1">
        <f t="shared" si="21"/>
        <v>1</v>
      </c>
      <c r="AA50" s="1">
        <f t="shared" si="21"/>
        <v>1</v>
      </c>
      <c r="AB50" s="1">
        <f t="shared" si="21"/>
        <v>1</v>
      </c>
      <c r="AC50" s="1">
        <f t="shared" si="21"/>
        <v>1</v>
      </c>
      <c r="AD50" s="1">
        <f t="shared" si="21"/>
        <v>1</v>
      </c>
      <c r="AE50" s="1">
        <f t="shared" si="21"/>
        <v>1</v>
      </c>
      <c r="AF50" s="1">
        <f t="shared" si="21"/>
        <v>1</v>
      </c>
      <c r="AG50" s="1">
        <f t="shared" si="21"/>
        <v>1</v>
      </c>
      <c r="AH50" s="1">
        <f t="shared" si="21"/>
        <v>1</v>
      </c>
      <c r="AI50" s="1">
        <f t="shared" si="21"/>
        <v>1</v>
      </c>
      <c r="AJ50" s="1">
        <f t="shared" si="21"/>
        <v>1</v>
      </c>
      <c r="AK50" s="1">
        <f t="shared" si="21"/>
        <v>1</v>
      </c>
      <c r="AL50" s="1">
        <f t="shared" si="21"/>
        <v>1</v>
      </c>
      <c r="AM50" s="1">
        <f t="shared" si="21"/>
        <v>1</v>
      </c>
      <c r="AN50" s="1">
        <f t="shared" si="21"/>
        <v>1</v>
      </c>
    </row>
    <row r="51" spans="5:40" x14ac:dyDescent="0.2">
      <c r="E51" s="3" t="s">
        <v>19</v>
      </c>
      <c r="H51" s="1">
        <f t="shared" si="21"/>
        <v>0</v>
      </c>
      <c r="I51" s="1">
        <f t="shared" si="21"/>
        <v>0</v>
      </c>
      <c r="J51" s="1">
        <f t="shared" si="21"/>
        <v>1</v>
      </c>
      <c r="K51" s="1">
        <f t="shared" si="21"/>
        <v>1</v>
      </c>
      <c r="L51" s="1">
        <f t="shared" si="21"/>
        <v>0</v>
      </c>
      <c r="M51" s="1">
        <f t="shared" si="21"/>
        <v>0</v>
      </c>
      <c r="N51" s="1">
        <f t="shared" si="21"/>
        <v>0</v>
      </c>
      <c r="O51" s="1">
        <f t="shared" si="21"/>
        <v>0</v>
      </c>
      <c r="P51" s="1">
        <f t="shared" si="21"/>
        <v>0</v>
      </c>
      <c r="Q51" s="1">
        <f t="shared" si="21"/>
        <v>1</v>
      </c>
      <c r="R51" s="1">
        <f t="shared" si="21"/>
        <v>1</v>
      </c>
      <c r="S51" s="1">
        <f t="shared" si="21"/>
        <v>0</v>
      </c>
      <c r="T51" s="1">
        <f t="shared" si="21"/>
        <v>0</v>
      </c>
      <c r="U51" s="1">
        <f t="shared" si="21"/>
        <v>0</v>
      </c>
      <c r="V51" s="1">
        <f t="shared" si="21"/>
        <v>0</v>
      </c>
      <c r="W51" s="1">
        <f t="shared" si="21"/>
        <v>0</v>
      </c>
      <c r="X51" s="1">
        <f t="shared" si="22"/>
        <v>0</v>
      </c>
      <c r="Y51" s="1">
        <f t="shared" si="22"/>
        <v>1</v>
      </c>
      <c r="Z51" s="1">
        <f t="shared" si="21"/>
        <v>0</v>
      </c>
      <c r="AA51" s="1">
        <f t="shared" si="21"/>
        <v>0</v>
      </c>
      <c r="AB51" s="1">
        <f t="shared" si="21"/>
        <v>0</v>
      </c>
      <c r="AC51" s="1">
        <f t="shared" si="21"/>
        <v>0</v>
      </c>
      <c r="AD51" s="1">
        <f t="shared" si="21"/>
        <v>0</v>
      </c>
      <c r="AE51" s="1">
        <f t="shared" si="21"/>
        <v>1</v>
      </c>
      <c r="AF51" s="1">
        <f t="shared" si="21"/>
        <v>1</v>
      </c>
      <c r="AG51" s="1">
        <f t="shared" si="21"/>
        <v>0</v>
      </c>
      <c r="AH51" s="1">
        <f t="shared" si="21"/>
        <v>0</v>
      </c>
      <c r="AI51" s="1">
        <f t="shared" si="21"/>
        <v>0</v>
      </c>
      <c r="AJ51" s="1">
        <f t="shared" si="21"/>
        <v>0</v>
      </c>
      <c r="AK51" s="1">
        <f t="shared" si="21"/>
        <v>0</v>
      </c>
      <c r="AL51" s="1">
        <f t="shared" si="21"/>
        <v>1</v>
      </c>
      <c r="AM51" s="1">
        <f t="shared" si="21"/>
        <v>1</v>
      </c>
      <c r="AN51" s="1">
        <f t="shared" si="21"/>
        <v>0</v>
      </c>
    </row>
    <row r="52" spans="5:40" x14ac:dyDescent="0.2">
      <c r="E52" s="3" t="s">
        <v>57</v>
      </c>
      <c r="H52" s="1">
        <f t="shared" ref="H52:AN52" si="24">COUNTIFS(H$8:H$43,"WR*")</f>
        <v>0</v>
      </c>
      <c r="I52" s="1">
        <f t="shared" si="24"/>
        <v>0</v>
      </c>
      <c r="J52" s="1">
        <f t="shared" si="24"/>
        <v>0</v>
      </c>
      <c r="K52" s="1">
        <f t="shared" si="24"/>
        <v>0</v>
      </c>
      <c r="L52" s="1">
        <f t="shared" si="24"/>
        <v>0</v>
      </c>
      <c r="M52" s="1">
        <f t="shared" si="24"/>
        <v>0</v>
      </c>
      <c r="N52" s="1">
        <f t="shared" si="24"/>
        <v>0</v>
      </c>
      <c r="O52" s="1">
        <f t="shared" si="24"/>
        <v>0</v>
      </c>
      <c r="P52" s="1">
        <f t="shared" si="24"/>
        <v>0</v>
      </c>
      <c r="Q52" s="1">
        <f t="shared" si="24"/>
        <v>3</v>
      </c>
      <c r="R52" s="1">
        <f t="shared" si="24"/>
        <v>3</v>
      </c>
      <c r="S52" s="1">
        <f t="shared" si="24"/>
        <v>0</v>
      </c>
      <c r="T52" s="1">
        <f t="shared" si="24"/>
        <v>0</v>
      </c>
      <c r="U52" s="1">
        <f t="shared" si="24"/>
        <v>0</v>
      </c>
      <c r="V52" s="1">
        <f t="shared" si="24"/>
        <v>0</v>
      </c>
      <c r="W52" s="1">
        <f t="shared" si="24"/>
        <v>0</v>
      </c>
      <c r="X52" s="1">
        <f>COUNTIFS(X$8:X$43,"WR*")</f>
        <v>5</v>
      </c>
      <c r="Y52" s="1">
        <f>COUNTIFS(Y$8:Y$43,"WR*")</f>
        <v>3</v>
      </c>
      <c r="Z52" s="1">
        <f t="shared" si="24"/>
        <v>0</v>
      </c>
      <c r="AA52" s="1">
        <f t="shared" si="24"/>
        <v>0</v>
      </c>
      <c r="AB52" s="1">
        <f t="shared" si="24"/>
        <v>0</v>
      </c>
      <c r="AC52" s="1">
        <f t="shared" si="24"/>
        <v>0</v>
      </c>
      <c r="AD52" s="1">
        <f t="shared" si="24"/>
        <v>0</v>
      </c>
      <c r="AE52" s="1">
        <f t="shared" si="24"/>
        <v>3</v>
      </c>
      <c r="AF52" s="1">
        <f t="shared" si="24"/>
        <v>3</v>
      </c>
      <c r="AG52" s="1">
        <f t="shared" si="24"/>
        <v>0</v>
      </c>
      <c r="AH52" s="1">
        <f t="shared" si="24"/>
        <v>0</v>
      </c>
      <c r="AI52" s="1">
        <f t="shared" si="24"/>
        <v>0</v>
      </c>
      <c r="AJ52" s="1">
        <f t="shared" si="24"/>
        <v>0</v>
      </c>
      <c r="AK52" s="1">
        <f t="shared" si="24"/>
        <v>0</v>
      </c>
      <c r="AL52" s="1">
        <f t="shared" si="24"/>
        <v>4</v>
      </c>
      <c r="AM52" s="1">
        <f t="shared" si="24"/>
        <v>3</v>
      </c>
      <c r="AN52" s="1">
        <f t="shared" si="24"/>
        <v>0</v>
      </c>
    </row>
    <row r="53" spans="5:40" x14ac:dyDescent="0.2">
      <c r="E53" s="3" t="s">
        <v>70</v>
      </c>
      <c r="H53" s="1">
        <f t="shared" ref="H53:AN53" si="25">COUNTIFS(H$8:H$43,"S")</f>
        <v>1</v>
      </c>
      <c r="I53" s="1">
        <f t="shared" si="25"/>
        <v>1</v>
      </c>
      <c r="J53" s="1">
        <f t="shared" si="25"/>
        <v>1</v>
      </c>
      <c r="K53" s="1">
        <f t="shared" si="25"/>
        <v>1</v>
      </c>
      <c r="L53" s="1">
        <f t="shared" si="25"/>
        <v>1</v>
      </c>
      <c r="M53" s="1">
        <f t="shared" si="25"/>
        <v>1</v>
      </c>
      <c r="N53" s="1">
        <f t="shared" si="25"/>
        <v>1</v>
      </c>
      <c r="O53" s="1">
        <f t="shared" si="25"/>
        <v>1</v>
      </c>
      <c r="P53" s="1">
        <f t="shared" si="25"/>
        <v>1</v>
      </c>
      <c r="Q53" s="1">
        <f t="shared" si="25"/>
        <v>1</v>
      </c>
      <c r="R53" s="1">
        <f t="shared" si="25"/>
        <v>1</v>
      </c>
      <c r="S53" s="1">
        <f t="shared" si="25"/>
        <v>1</v>
      </c>
      <c r="T53" s="1">
        <f t="shared" si="25"/>
        <v>1</v>
      </c>
      <c r="U53" s="1">
        <f t="shared" si="25"/>
        <v>1</v>
      </c>
      <c r="V53" s="1">
        <f t="shared" si="25"/>
        <v>1</v>
      </c>
      <c r="W53" s="1">
        <f t="shared" si="25"/>
        <v>1</v>
      </c>
      <c r="X53" s="1">
        <f>COUNTIFS(X$8:X$43,"S")</f>
        <v>0</v>
      </c>
      <c r="Y53" s="1">
        <f>COUNTIFS(Y$8:Y$43,"S")</f>
        <v>1</v>
      </c>
      <c r="Z53" s="1">
        <f t="shared" si="25"/>
        <v>1</v>
      </c>
      <c r="AA53" s="1">
        <f t="shared" si="25"/>
        <v>1</v>
      </c>
      <c r="AB53" s="1">
        <f t="shared" si="25"/>
        <v>1</v>
      </c>
      <c r="AC53" s="1">
        <f t="shared" si="25"/>
        <v>1</v>
      </c>
      <c r="AD53" s="1">
        <f t="shared" si="25"/>
        <v>1</v>
      </c>
      <c r="AE53" s="1">
        <f t="shared" si="25"/>
        <v>1</v>
      </c>
      <c r="AF53" s="1">
        <f t="shared" si="25"/>
        <v>1</v>
      </c>
      <c r="AG53" s="1">
        <f t="shared" si="25"/>
        <v>1</v>
      </c>
      <c r="AH53" s="1">
        <f t="shared" si="25"/>
        <v>0</v>
      </c>
      <c r="AI53" s="1">
        <f t="shared" si="25"/>
        <v>1</v>
      </c>
      <c r="AJ53" s="1">
        <f t="shared" si="25"/>
        <v>1</v>
      </c>
      <c r="AK53" s="1">
        <f t="shared" si="25"/>
        <v>1</v>
      </c>
      <c r="AL53" s="1">
        <f t="shared" si="25"/>
        <v>0</v>
      </c>
      <c r="AM53" s="1">
        <f t="shared" si="25"/>
        <v>1</v>
      </c>
      <c r="AN53" s="1">
        <f t="shared" si="25"/>
        <v>1</v>
      </c>
    </row>
  </sheetData>
  <mergeCells count="7">
    <mergeCell ref="AP4:AS4"/>
    <mergeCell ref="AP3:AS3"/>
    <mergeCell ref="AP5:AS6"/>
    <mergeCell ref="AT5:AY6"/>
    <mergeCell ref="AZ5:BD6"/>
    <mergeCell ref="AT4:BI4"/>
    <mergeCell ref="BE5:BI6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FC79-97FD-43BE-A30B-8239DB9D1F27}">
  <dimension ref="A1:BT68"/>
  <sheetViews>
    <sheetView topLeftCell="AR1" workbookViewId="0">
      <selection activeCell="BL11" sqref="BL11"/>
    </sheetView>
  </sheetViews>
  <sheetFormatPr baseColWidth="10" defaultColWidth="8.83203125" defaultRowHeight="15" x14ac:dyDescent="0.2"/>
  <sheetData>
    <row r="1" spans="1:72" ht="16" x14ac:dyDescent="0.2">
      <c r="E1" s="99"/>
    </row>
    <row r="2" spans="1:72" ht="16" x14ac:dyDescent="0.2">
      <c r="D2" s="100" t="s">
        <v>0</v>
      </c>
      <c r="E2" s="100" t="s">
        <v>0</v>
      </c>
      <c r="F2" s="101" t="s">
        <v>1</v>
      </c>
      <c r="G2" s="102"/>
      <c r="AE2" s="99"/>
      <c r="AG2" s="103"/>
      <c r="AH2" s="102"/>
      <c r="AI2" s="102"/>
      <c r="AK2" s="101" t="s">
        <v>84</v>
      </c>
      <c r="AQ2" s="104"/>
    </row>
    <row r="3" spans="1:72" ht="16" x14ac:dyDescent="0.25">
      <c r="D3" s="211">
        <v>45868</v>
      </c>
      <c r="E3" s="211">
        <v>45869</v>
      </c>
      <c r="F3" s="211">
        <v>45870</v>
      </c>
      <c r="G3" s="211">
        <v>45871</v>
      </c>
      <c r="H3" s="211">
        <v>45872</v>
      </c>
      <c r="I3" s="211">
        <v>45873</v>
      </c>
      <c r="J3" s="211">
        <v>45874</v>
      </c>
      <c r="K3" s="211">
        <v>45875</v>
      </c>
      <c r="L3" s="211">
        <v>45876</v>
      </c>
      <c r="M3" s="211">
        <v>45877</v>
      </c>
      <c r="N3" s="211">
        <v>45878</v>
      </c>
      <c r="O3" s="211">
        <v>45879</v>
      </c>
      <c r="P3" s="211">
        <v>45880</v>
      </c>
      <c r="Q3" s="211">
        <v>45881</v>
      </c>
      <c r="R3" s="211">
        <v>45882</v>
      </c>
      <c r="S3" s="211">
        <v>45883</v>
      </c>
      <c r="T3" s="211">
        <v>45884</v>
      </c>
      <c r="U3" s="211">
        <v>45885</v>
      </c>
      <c r="V3" s="211">
        <v>45886</v>
      </c>
      <c r="W3" s="211">
        <v>45887</v>
      </c>
      <c r="X3" s="211">
        <v>45888</v>
      </c>
      <c r="Y3" s="211">
        <v>45889</v>
      </c>
      <c r="Z3" s="211">
        <v>45890</v>
      </c>
      <c r="AA3" s="211">
        <v>45891</v>
      </c>
      <c r="AB3" s="211">
        <v>45892</v>
      </c>
      <c r="AC3" s="211">
        <v>45893</v>
      </c>
      <c r="AD3" s="211">
        <v>45894</v>
      </c>
      <c r="AE3" s="211">
        <v>45895</v>
      </c>
      <c r="AF3" s="211">
        <v>45896</v>
      </c>
      <c r="AG3" s="211">
        <v>45897</v>
      </c>
      <c r="AH3" s="211">
        <v>45898</v>
      </c>
      <c r="AI3" s="211">
        <v>45899</v>
      </c>
      <c r="AJ3" s="211">
        <v>45900</v>
      </c>
      <c r="AK3" s="211">
        <v>45901</v>
      </c>
      <c r="AL3" s="211">
        <v>45902</v>
      </c>
      <c r="AM3" s="211">
        <v>45903</v>
      </c>
      <c r="AN3" s="211"/>
      <c r="AO3" s="105"/>
      <c r="AP3" s="105"/>
      <c r="AQ3" s="105"/>
      <c r="AR3" s="105"/>
      <c r="AS3" s="105"/>
      <c r="AT3" s="106"/>
      <c r="AU3" s="106"/>
      <c r="AW3" s="99" t="s">
        <v>120</v>
      </c>
      <c r="AX3" s="99" t="s">
        <v>120</v>
      </c>
      <c r="BD3" s="424" t="s">
        <v>88</v>
      </c>
      <c r="BE3" s="424"/>
      <c r="BF3" s="424"/>
      <c r="BG3" s="424"/>
      <c r="BM3" s="99" t="s">
        <v>120</v>
      </c>
      <c r="BN3" s="198" t="s">
        <v>87</v>
      </c>
      <c r="BP3" s="198" t="s">
        <v>87</v>
      </c>
      <c r="BR3" s="99" t="s">
        <v>120</v>
      </c>
    </row>
    <row r="4" spans="1:72" ht="68" x14ac:dyDescent="0.25">
      <c r="A4" s="107" t="s">
        <v>2</v>
      </c>
      <c r="B4" s="107" t="s">
        <v>3</v>
      </c>
      <c r="C4" s="107" t="s">
        <v>4</v>
      </c>
      <c r="D4" s="108" t="s">
        <v>9</v>
      </c>
      <c r="E4" s="201" t="s">
        <v>129</v>
      </c>
      <c r="F4" s="108" t="s">
        <v>10</v>
      </c>
      <c r="G4" s="108" t="s">
        <v>5</v>
      </c>
      <c r="H4" s="108" t="s">
        <v>6</v>
      </c>
      <c r="I4" s="108" t="s">
        <v>7</v>
      </c>
      <c r="J4" s="108" t="s">
        <v>8</v>
      </c>
      <c r="K4" s="108" t="s">
        <v>9</v>
      </c>
      <c r="L4" s="108" t="s">
        <v>129</v>
      </c>
      <c r="M4" s="108" t="s">
        <v>10</v>
      </c>
      <c r="N4" s="108" t="s">
        <v>5</v>
      </c>
      <c r="O4" s="108" t="s">
        <v>6</v>
      </c>
      <c r="P4" s="108" t="s">
        <v>7</v>
      </c>
      <c r="Q4" s="108" t="s">
        <v>8</v>
      </c>
      <c r="R4" s="108" t="s">
        <v>9</v>
      </c>
      <c r="S4" s="201" t="s">
        <v>129</v>
      </c>
      <c r="T4" s="108" t="s">
        <v>10</v>
      </c>
      <c r="U4" s="108" t="s">
        <v>5</v>
      </c>
      <c r="V4" s="108" t="s">
        <v>6</v>
      </c>
      <c r="W4" s="108" t="s">
        <v>7</v>
      </c>
      <c r="X4" s="108" t="s">
        <v>8</v>
      </c>
      <c r="Y4" s="108" t="s">
        <v>9</v>
      </c>
      <c r="Z4" s="201" t="s">
        <v>129</v>
      </c>
      <c r="AA4" s="108" t="s">
        <v>10</v>
      </c>
      <c r="AB4" s="108" t="s">
        <v>5</v>
      </c>
      <c r="AC4" s="108" t="s">
        <v>6</v>
      </c>
      <c r="AD4" s="108" t="s">
        <v>7</v>
      </c>
      <c r="AE4" s="108" t="s">
        <v>8</v>
      </c>
      <c r="AF4" s="108" t="s">
        <v>9</v>
      </c>
      <c r="AG4" s="109" t="s">
        <v>129</v>
      </c>
      <c r="AH4" s="109" t="s">
        <v>10</v>
      </c>
      <c r="AI4" s="109" t="s">
        <v>5</v>
      </c>
      <c r="AJ4" s="109" t="s">
        <v>6</v>
      </c>
      <c r="AK4" s="109" t="s">
        <v>7</v>
      </c>
      <c r="AL4" s="109" t="s">
        <v>8</v>
      </c>
      <c r="AM4" s="109" t="s">
        <v>9</v>
      </c>
      <c r="AN4" s="109"/>
      <c r="AO4" s="109"/>
      <c r="AP4" s="109"/>
      <c r="AQ4" s="109"/>
      <c r="AR4" s="109"/>
      <c r="AS4" s="109"/>
      <c r="AT4" s="110"/>
      <c r="AU4" s="110"/>
      <c r="AW4" s="111" t="s">
        <v>11</v>
      </c>
      <c r="AX4" s="111" t="s">
        <v>12</v>
      </c>
      <c r="AY4" s="111" t="s">
        <v>13</v>
      </c>
      <c r="AZ4" s="111" t="s">
        <v>14</v>
      </c>
      <c r="BA4" s="111" t="s">
        <v>15</v>
      </c>
      <c r="BB4" s="111" t="s">
        <v>16</v>
      </c>
      <c r="BC4" s="111" t="s">
        <v>17</v>
      </c>
      <c r="BD4" s="186" t="s">
        <v>18</v>
      </c>
      <c r="BE4" s="186" t="s">
        <v>63</v>
      </c>
      <c r="BF4" s="186" t="s">
        <v>76</v>
      </c>
      <c r="BG4" s="186" t="s">
        <v>6</v>
      </c>
      <c r="BH4" s="185" t="s">
        <v>19</v>
      </c>
      <c r="BI4" s="111" t="s">
        <v>20</v>
      </c>
      <c r="BJ4" s="111" t="s">
        <v>21</v>
      </c>
      <c r="BK4" s="111" t="s">
        <v>81</v>
      </c>
      <c r="BL4" s="111" t="s">
        <v>77</v>
      </c>
      <c r="BM4" s="111" t="s">
        <v>23</v>
      </c>
      <c r="BN4" s="111" t="s">
        <v>24</v>
      </c>
      <c r="BO4" s="111" t="s">
        <v>25</v>
      </c>
      <c r="BP4" s="111" t="s">
        <v>26</v>
      </c>
      <c r="BQ4" s="112" t="s">
        <v>27</v>
      </c>
      <c r="BR4" s="113" t="s">
        <v>79</v>
      </c>
      <c r="BS4" s="113" t="s">
        <v>82</v>
      </c>
      <c r="BT4" s="113" t="s">
        <v>80</v>
      </c>
    </row>
    <row r="5" spans="1:72" ht="16" x14ac:dyDescent="0.25">
      <c r="A5" s="114"/>
      <c r="B5" s="115" t="s">
        <v>113</v>
      </c>
      <c r="C5" s="116">
        <v>31</v>
      </c>
      <c r="D5" s="209"/>
      <c r="E5" s="136"/>
      <c r="F5" s="136"/>
      <c r="G5" s="214" t="s">
        <v>77</v>
      </c>
      <c r="H5" s="214"/>
      <c r="I5" s="136"/>
      <c r="J5" s="136" t="s">
        <v>29</v>
      </c>
      <c r="K5" s="136"/>
      <c r="L5" s="136"/>
      <c r="M5" s="136" t="s">
        <v>30</v>
      </c>
      <c r="N5" s="214"/>
      <c r="O5" s="214"/>
      <c r="P5" s="205"/>
      <c r="Q5" s="136"/>
      <c r="R5" s="136" t="s">
        <v>83</v>
      </c>
      <c r="S5" s="136" t="s">
        <v>83</v>
      </c>
      <c r="T5" s="136" t="s">
        <v>83</v>
      </c>
      <c r="U5" s="220"/>
      <c r="V5" s="214"/>
      <c r="W5" s="136" t="s">
        <v>85</v>
      </c>
      <c r="X5" s="136"/>
      <c r="Y5" s="136" t="s">
        <v>34</v>
      </c>
      <c r="Z5" s="205"/>
      <c r="AA5" s="136"/>
      <c r="AB5" s="214" t="s">
        <v>85</v>
      </c>
      <c r="AC5" s="214" t="s">
        <v>81</v>
      </c>
      <c r="AD5" s="136"/>
      <c r="AE5" s="136"/>
      <c r="AF5" s="136"/>
      <c r="AG5" s="136"/>
      <c r="AH5" s="172"/>
      <c r="AI5" s="216" t="s">
        <v>31</v>
      </c>
      <c r="AJ5" s="214"/>
      <c r="AK5" s="136"/>
      <c r="AL5" s="136" t="s">
        <v>30</v>
      </c>
      <c r="AM5" s="199"/>
      <c r="AN5" s="118"/>
      <c r="AO5" s="118"/>
      <c r="AP5" s="118"/>
      <c r="AQ5" s="118"/>
      <c r="AR5" s="118"/>
      <c r="AS5" s="118"/>
      <c r="AT5" s="119"/>
      <c r="AU5" s="120"/>
      <c r="AW5" s="121">
        <v>17.5</v>
      </c>
      <c r="AX5" s="121">
        <v>11</v>
      </c>
      <c r="AY5" s="122">
        <v>7</v>
      </c>
      <c r="AZ5" s="123">
        <v>24.5</v>
      </c>
      <c r="BA5" s="123">
        <v>5</v>
      </c>
      <c r="BB5" s="123">
        <v>16</v>
      </c>
      <c r="BC5" s="124">
        <v>1.4</v>
      </c>
      <c r="BD5" s="123">
        <v>3</v>
      </c>
      <c r="BE5" s="123">
        <v>1</v>
      </c>
      <c r="BF5" s="123">
        <v>1</v>
      </c>
      <c r="BG5" s="123">
        <v>0</v>
      </c>
      <c r="BH5" s="123">
        <v>0</v>
      </c>
      <c r="BI5" s="123">
        <v>0</v>
      </c>
      <c r="BJ5" s="123">
        <v>0</v>
      </c>
      <c r="BK5" s="123">
        <v>1</v>
      </c>
      <c r="BL5" s="123">
        <v>1</v>
      </c>
      <c r="BM5" s="123">
        <v>14</v>
      </c>
      <c r="BN5" s="123">
        <v>6</v>
      </c>
      <c r="BO5" s="123">
        <v>20</v>
      </c>
      <c r="BP5" s="123">
        <v>35</v>
      </c>
      <c r="BQ5" s="125">
        <v>57.142857142857139</v>
      </c>
      <c r="BR5" s="123">
        <v>3</v>
      </c>
      <c r="BS5" s="123">
        <v>1</v>
      </c>
      <c r="BT5" s="126">
        <v>4</v>
      </c>
    </row>
    <row r="6" spans="1:72" ht="16" x14ac:dyDescent="0.25">
      <c r="A6" s="114"/>
      <c r="B6" s="115" t="s">
        <v>92</v>
      </c>
      <c r="C6" s="116">
        <v>31</v>
      </c>
      <c r="D6" s="209"/>
      <c r="E6" s="136" t="s">
        <v>34</v>
      </c>
      <c r="F6" s="136"/>
      <c r="G6" s="214"/>
      <c r="H6" s="214"/>
      <c r="I6" s="136" t="s">
        <v>30</v>
      </c>
      <c r="J6" s="136"/>
      <c r="K6" s="136"/>
      <c r="L6" s="136"/>
      <c r="M6" s="136"/>
      <c r="N6" s="214" t="s">
        <v>19</v>
      </c>
      <c r="O6" s="214"/>
      <c r="P6" s="136"/>
      <c r="Q6" s="136"/>
      <c r="R6" s="136"/>
      <c r="S6" s="205"/>
      <c r="T6" s="136"/>
      <c r="U6" s="214" t="s">
        <v>85</v>
      </c>
      <c r="V6" s="214" t="s">
        <v>77</v>
      </c>
      <c r="W6" s="212"/>
      <c r="X6" s="136"/>
      <c r="Y6" s="136" t="s">
        <v>30</v>
      </c>
      <c r="Z6" s="205"/>
      <c r="AA6" s="136"/>
      <c r="AB6" s="214" t="s">
        <v>85</v>
      </c>
      <c r="AC6" s="214" t="s">
        <v>31</v>
      </c>
      <c r="AD6" s="136"/>
      <c r="AE6" s="136"/>
      <c r="AF6" s="136"/>
      <c r="AG6" s="136"/>
      <c r="AH6" s="214" t="s">
        <v>30</v>
      </c>
      <c r="AI6" s="214"/>
      <c r="AJ6" s="214"/>
      <c r="AK6" s="136"/>
      <c r="AL6" s="136" t="s">
        <v>34</v>
      </c>
      <c r="AM6" s="136"/>
      <c r="AN6" s="118"/>
      <c r="AO6" s="118"/>
      <c r="AP6" s="118"/>
      <c r="AQ6" s="118"/>
      <c r="AR6" s="118"/>
      <c r="AS6" s="118"/>
      <c r="AT6" s="119"/>
      <c r="AU6" s="120"/>
      <c r="AW6" s="121">
        <v>18</v>
      </c>
      <c r="AX6" s="121">
        <v>12</v>
      </c>
      <c r="AY6" s="122">
        <v>7</v>
      </c>
      <c r="AZ6" s="123">
        <v>25</v>
      </c>
      <c r="BA6" s="123">
        <v>6</v>
      </c>
      <c r="BB6" s="123">
        <v>17.5</v>
      </c>
      <c r="BC6" s="124">
        <v>1.1666666666666667</v>
      </c>
      <c r="BD6" s="123">
        <v>3</v>
      </c>
      <c r="BE6" s="123">
        <v>1</v>
      </c>
      <c r="BF6" s="123">
        <v>0</v>
      </c>
      <c r="BG6" s="123">
        <v>1</v>
      </c>
      <c r="BH6" s="123">
        <v>1</v>
      </c>
      <c r="BI6" s="123">
        <v>0</v>
      </c>
      <c r="BJ6" s="123">
        <v>0</v>
      </c>
      <c r="BK6" s="123">
        <v>0</v>
      </c>
      <c r="BL6" s="123">
        <v>1</v>
      </c>
      <c r="BM6" s="123">
        <v>15</v>
      </c>
      <c r="BN6" s="123">
        <v>7</v>
      </c>
      <c r="BO6" s="123">
        <v>22</v>
      </c>
      <c r="BP6" s="123">
        <v>35</v>
      </c>
      <c r="BQ6" s="125">
        <v>62.857142857142854</v>
      </c>
      <c r="BR6" s="123">
        <v>3</v>
      </c>
      <c r="BS6" s="123">
        <v>0</v>
      </c>
      <c r="BT6" s="126">
        <v>3</v>
      </c>
    </row>
    <row r="7" spans="1:72" ht="16" x14ac:dyDescent="0.25">
      <c r="A7" s="127"/>
      <c r="B7" s="128" t="s">
        <v>103</v>
      </c>
      <c r="C7" s="129">
        <v>31</v>
      </c>
      <c r="D7" s="136" t="s">
        <v>83</v>
      </c>
      <c r="E7" s="136" t="s">
        <v>83</v>
      </c>
      <c r="F7" s="136" t="s">
        <v>83</v>
      </c>
      <c r="G7" s="214" t="s">
        <v>130</v>
      </c>
      <c r="H7" s="214" t="s">
        <v>130</v>
      </c>
      <c r="I7" s="136"/>
      <c r="J7" s="136" t="s">
        <v>30</v>
      </c>
      <c r="K7" s="136"/>
      <c r="L7" s="136"/>
      <c r="M7" s="136"/>
      <c r="N7" s="214"/>
      <c r="O7" s="214"/>
      <c r="P7" s="136"/>
      <c r="Q7" s="205" t="s">
        <v>30</v>
      </c>
      <c r="R7" s="136"/>
      <c r="S7" s="136" t="s">
        <v>83</v>
      </c>
      <c r="T7" s="136" t="s">
        <v>83</v>
      </c>
      <c r="U7" s="214" t="s">
        <v>85</v>
      </c>
      <c r="V7" s="214" t="s">
        <v>85</v>
      </c>
      <c r="W7" s="136" t="s">
        <v>30</v>
      </c>
      <c r="X7" s="136"/>
      <c r="Y7" s="136"/>
      <c r="Z7" s="136"/>
      <c r="AA7" s="136"/>
      <c r="AB7" s="214" t="s">
        <v>30</v>
      </c>
      <c r="AC7" s="214"/>
      <c r="AD7" s="136"/>
      <c r="AE7" s="136"/>
      <c r="AF7" s="136"/>
      <c r="AG7" s="199" t="s">
        <v>29</v>
      </c>
      <c r="AH7" s="136"/>
      <c r="AI7" s="214"/>
      <c r="AJ7" s="214" t="s">
        <v>20</v>
      </c>
      <c r="AK7" s="136"/>
      <c r="AL7" s="136"/>
      <c r="AM7" s="136"/>
      <c r="AN7" s="118"/>
      <c r="AO7" s="118"/>
      <c r="AP7" s="118"/>
      <c r="AQ7" s="118"/>
      <c r="AR7" s="118"/>
      <c r="AS7" s="118"/>
      <c r="AT7" s="119"/>
      <c r="AU7" s="120"/>
      <c r="AW7" s="121">
        <v>17.5</v>
      </c>
      <c r="AX7" s="121">
        <v>12.5</v>
      </c>
      <c r="AY7" s="122">
        <v>6.5</v>
      </c>
      <c r="AZ7" s="123">
        <v>24</v>
      </c>
      <c r="BA7" s="123">
        <v>5</v>
      </c>
      <c r="BB7" s="123">
        <v>17.5</v>
      </c>
      <c r="BC7" s="124">
        <v>1.3</v>
      </c>
      <c r="BD7" s="123">
        <v>4</v>
      </c>
      <c r="BE7" s="123">
        <v>0</v>
      </c>
      <c r="BF7" s="123">
        <v>1</v>
      </c>
      <c r="BG7" s="123">
        <v>0</v>
      </c>
      <c r="BH7" s="123">
        <v>0</v>
      </c>
      <c r="BI7" s="123">
        <v>1</v>
      </c>
      <c r="BJ7" s="123">
        <v>0</v>
      </c>
      <c r="BK7" s="123">
        <v>0</v>
      </c>
      <c r="BL7" s="123">
        <v>0</v>
      </c>
      <c r="BM7" s="123">
        <v>14</v>
      </c>
      <c r="BN7" s="123">
        <v>6</v>
      </c>
      <c r="BO7" s="123">
        <v>20</v>
      </c>
      <c r="BP7" s="123">
        <v>35</v>
      </c>
      <c r="BQ7" s="125">
        <v>57.142857142857139</v>
      </c>
      <c r="BR7" s="123">
        <v>3</v>
      </c>
      <c r="BS7" s="123">
        <v>1</v>
      </c>
      <c r="BT7" s="126">
        <v>4</v>
      </c>
    </row>
    <row r="8" spans="1:72" ht="16" x14ac:dyDescent="0.25">
      <c r="A8" s="130"/>
      <c r="B8" s="133" t="s">
        <v>91</v>
      </c>
      <c r="C8" s="116">
        <v>55</v>
      </c>
      <c r="D8" s="209"/>
      <c r="E8" s="136"/>
      <c r="F8" s="136"/>
      <c r="G8" s="214"/>
      <c r="H8" s="205"/>
      <c r="I8" s="136"/>
      <c r="J8" s="199"/>
      <c r="K8" s="136" t="s">
        <v>77</v>
      </c>
      <c r="L8" s="136"/>
      <c r="M8" s="136"/>
      <c r="N8" s="214" t="s">
        <v>31</v>
      </c>
      <c r="O8" s="214"/>
      <c r="P8" s="136"/>
      <c r="Q8" s="136"/>
      <c r="R8" s="136"/>
      <c r="S8" s="136" t="s">
        <v>30</v>
      </c>
      <c r="T8" s="136"/>
      <c r="U8" s="214" t="s">
        <v>20</v>
      </c>
      <c r="V8" s="214"/>
      <c r="W8" s="205"/>
      <c r="X8" s="136" t="s">
        <v>30</v>
      </c>
      <c r="Y8" s="136"/>
      <c r="Z8" s="212"/>
      <c r="AA8" s="212"/>
      <c r="AB8" s="214" t="s">
        <v>130</v>
      </c>
      <c r="AC8" s="214" t="s">
        <v>130</v>
      </c>
      <c r="AD8" s="136" t="s">
        <v>83</v>
      </c>
      <c r="AE8" s="136" t="s">
        <v>83</v>
      </c>
      <c r="AF8" s="136" t="s">
        <v>83</v>
      </c>
      <c r="AG8" s="136" t="s">
        <v>83</v>
      </c>
      <c r="AH8" s="136" t="s">
        <v>83</v>
      </c>
      <c r="AI8" s="214" t="s">
        <v>85</v>
      </c>
      <c r="AJ8" s="214" t="s">
        <v>85</v>
      </c>
      <c r="AK8" s="136"/>
      <c r="AL8" s="136"/>
      <c r="AN8" s="118"/>
      <c r="AO8" s="132"/>
      <c r="AP8" s="118"/>
      <c r="AQ8" s="118"/>
      <c r="AR8" s="118"/>
      <c r="AS8" s="118"/>
      <c r="AT8" s="119"/>
      <c r="AU8" s="120"/>
      <c r="AW8" s="121">
        <v>19.5</v>
      </c>
      <c r="AX8" s="121">
        <v>13</v>
      </c>
      <c r="AY8" s="122">
        <v>4.5</v>
      </c>
      <c r="AZ8" s="123">
        <v>24</v>
      </c>
      <c r="BA8" s="123">
        <v>3</v>
      </c>
      <c r="BB8" s="123">
        <v>16</v>
      </c>
      <c r="BC8" s="124">
        <v>1.5</v>
      </c>
      <c r="BD8" s="123">
        <v>2</v>
      </c>
      <c r="BE8" s="123">
        <v>0</v>
      </c>
      <c r="BF8" s="123">
        <v>1</v>
      </c>
      <c r="BG8" s="123">
        <v>0</v>
      </c>
      <c r="BH8" s="123">
        <v>0</v>
      </c>
      <c r="BI8" s="123">
        <v>1</v>
      </c>
      <c r="BJ8" s="123">
        <v>0</v>
      </c>
      <c r="BK8" s="123">
        <v>0</v>
      </c>
      <c r="BL8" s="123">
        <v>1</v>
      </c>
      <c r="BM8" s="123">
        <v>14</v>
      </c>
      <c r="BN8" s="123">
        <v>6</v>
      </c>
      <c r="BO8" s="123">
        <v>20</v>
      </c>
      <c r="BP8" s="123">
        <v>35</v>
      </c>
      <c r="BQ8" s="125">
        <v>57.142857142857139</v>
      </c>
      <c r="BR8" s="123">
        <v>3</v>
      </c>
      <c r="BS8" s="123">
        <v>1</v>
      </c>
      <c r="BT8" s="126">
        <v>4</v>
      </c>
    </row>
    <row r="9" spans="1:72" ht="16" x14ac:dyDescent="0.25">
      <c r="A9" s="134"/>
      <c r="B9" s="133" t="s">
        <v>121</v>
      </c>
      <c r="C9" s="135">
        <v>55</v>
      </c>
      <c r="D9" s="215" t="s">
        <v>30</v>
      </c>
      <c r="E9" s="136"/>
      <c r="F9" s="136"/>
      <c r="G9" s="215"/>
      <c r="H9" s="214"/>
      <c r="I9" s="136" t="s">
        <v>34</v>
      </c>
      <c r="J9" s="136"/>
      <c r="K9" s="136"/>
      <c r="L9" s="136"/>
      <c r="M9" s="136"/>
      <c r="N9" s="214"/>
      <c r="O9" s="205" t="s">
        <v>30</v>
      </c>
      <c r="P9" s="136"/>
      <c r="Q9" s="136"/>
      <c r="R9" s="136" t="s">
        <v>77</v>
      </c>
      <c r="S9" s="136"/>
      <c r="T9" s="203"/>
      <c r="U9" s="214" t="s">
        <v>85</v>
      </c>
      <c r="V9" s="214"/>
      <c r="W9" s="136"/>
      <c r="X9" s="136"/>
      <c r="Y9" s="136" t="s">
        <v>31</v>
      </c>
      <c r="Z9" s="136"/>
      <c r="AA9" s="136"/>
      <c r="AB9" s="214" t="s">
        <v>85</v>
      </c>
      <c r="AC9" s="214" t="s">
        <v>20</v>
      </c>
      <c r="AD9" s="136"/>
      <c r="AE9" s="205"/>
      <c r="AF9" s="136"/>
      <c r="AG9" s="136"/>
      <c r="AH9" s="136"/>
      <c r="AI9" s="214" t="s">
        <v>30</v>
      </c>
      <c r="AJ9" s="214"/>
      <c r="AK9" s="200"/>
      <c r="AL9" s="136"/>
      <c r="AM9" s="136" t="s">
        <v>30</v>
      </c>
      <c r="AN9" s="118"/>
      <c r="AO9" s="137"/>
      <c r="AP9" s="118"/>
      <c r="AQ9" s="137"/>
      <c r="AR9" s="138"/>
      <c r="AS9" s="137"/>
      <c r="AT9" s="139"/>
      <c r="AU9" s="140"/>
      <c r="AV9" s="141"/>
      <c r="AW9" s="121">
        <v>6</v>
      </c>
      <c r="AX9" s="121">
        <v>5</v>
      </c>
      <c r="AY9" s="122">
        <v>7.5</v>
      </c>
      <c r="AZ9" s="123">
        <v>13.5</v>
      </c>
      <c r="BA9" s="123">
        <v>5</v>
      </c>
      <c r="BB9" s="123">
        <v>10</v>
      </c>
      <c r="BC9" s="124">
        <v>1.5</v>
      </c>
      <c r="BD9" s="123">
        <v>3</v>
      </c>
      <c r="BE9" s="123">
        <v>0</v>
      </c>
      <c r="BF9" s="123">
        <v>1</v>
      </c>
      <c r="BG9" s="123">
        <v>1</v>
      </c>
      <c r="BH9" s="123">
        <v>0</v>
      </c>
      <c r="BI9" s="123">
        <v>1</v>
      </c>
      <c r="BJ9" s="123">
        <v>0</v>
      </c>
      <c r="BK9" s="123">
        <v>0</v>
      </c>
      <c r="BL9" s="123">
        <v>1</v>
      </c>
      <c r="BM9" s="123">
        <v>5</v>
      </c>
      <c r="BN9" s="123">
        <v>6</v>
      </c>
      <c r="BO9" s="123">
        <v>11</v>
      </c>
      <c r="BP9" s="123">
        <v>18</v>
      </c>
      <c r="BQ9" s="125">
        <v>61.111111111111114</v>
      </c>
      <c r="BR9" s="123">
        <v>1</v>
      </c>
      <c r="BS9" s="123">
        <v>1</v>
      </c>
      <c r="BT9" s="126">
        <v>2</v>
      </c>
    </row>
    <row r="10" spans="1:72" ht="16" x14ac:dyDescent="0.25">
      <c r="A10" s="142"/>
      <c r="B10" s="153" t="s">
        <v>95</v>
      </c>
      <c r="C10" s="228" t="s">
        <v>73</v>
      </c>
      <c r="D10" s="210"/>
      <c r="E10" s="136"/>
      <c r="F10" s="136"/>
      <c r="G10" s="214" t="s">
        <v>19</v>
      </c>
      <c r="H10" s="214"/>
      <c r="I10" s="136"/>
      <c r="J10" s="136" t="s">
        <v>77</v>
      </c>
      <c r="K10" s="136"/>
      <c r="L10" s="205"/>
      <c r="M10" s="136"/>
      <c r="N10" s="214"/>
      <c r="O10" s="214"/>
      <c r="P10" s="136" t="s">
        <v>83</v>
      </c>
      <c r="Q10" s="136" t="s">
        <v>83</v>
      </c>
      <c r="R10" s="199" t="s">
        <v>29</v>
      </c>
      <c r="S10" s="136"/>
      <c r="T10" s="136" t="s">
        <v>85</v>
      </c>
      <c r="U10" s="214"/>
      <c r="V10" s="214" t="s">
        <v>30</v>
      </c>
      <c r="W10" s="212"/>
      <c r="X10" s="136"/>
      <c r="Y10" s="136"/>
      <c r="Z10" s="136" t="s">
        <v>34</v>
      </c>
      <c r="AA10" s="212"/>
      <c r="AB10" s="221"/>
      <c r="AC10" s="214"/>
      <c r="AD10" s="136"/>
      <c r="AE10" s="136" t="s">
        <v>85</v>
      </c>
      <c r="AF10" s="136"/>
      <c r="AG10" s="136"/>
      <c r="AH10" s="136" t="s">
        <v>31</v>
      </c>
      <c r="AI10" s="214"/>
      <c r="AJ10" s="214"/>
      <c r="AK10" s="136"/>
      <c r="AL10" s="136"/>
      <c r="AM10" s="136"/>
      <c r="AN10" s="137"/>
      <c r="AO10" s="118"/>
      <c r="AP10" s="118"/>
      <c r="AQ10" s="118"/>
      <c r="AR10" s="137"/>
      <c r="AS10" s="137"/>
      <c r="AT10" s="139"/>
      <c r="AU10" s="140"/>
      <c r="AV10" s="141"/>
      <c r="AW10" s="121">
        <v>18</v>
      </c>
      <c r="AX10" s="121">
        <v>14</v>
      </c>
      <c r="AY10" s="122">
        <v>6</v>
      </c>
      <c r="AZ10" s="123">
        <v>24</v>
      </c>
      <c r="BA10" s="123">
        <v>5</v>
      </c>
      <c r="BB10" s="123">
        <v>18.5</v>
      </c>
      <c r="BC10" s="124">
        <v>1.2</v>
      </c>
      <c r="BD10" s="123">
        <v>2</v>
      </c>
      <c r="BE10" s="123">
        <v>1</v>
      </c>
      <c r="BF10" s="123">
        <v>0</v>
      </c>
      <c r="BG10" s="123">
        <v>1</v>
      </c>
      <c r="BH10" s="123">
        <v>1</v>
      </c>
      <c r="BI10" s="123">
        <v>0</v>
      </c>
      <c r="BJ10" s="123">
        <v>0</v>
      </c>
      <c r="BK10" s="123">
        <v>0</v>
      </c>
      <c r="BL10" s="123">
        <v>1</v>
      </c>
      <c r="BM10" s="123">
        <v>13</v>
      </c>
      <c r="BN10" s="123">
        <v>6</v>
      </c>
      <c r="BO10" s="123">
        <v>19</v>
      </c>
      <c r="BP10" s="123">
        <v>35</v>
      </c>
      <c r="BQ10" s="125">
        <v>54.285714285714285</v>
      </c>
      <c r="BR10" s="123">
        <v>6</v>
      </c>
      <c r="BS10" s="123">
        <v>0</v>
      </c>
      <c r="BT10" s="126">
        <v>6</v>
      </c>
    </row>
    <row r="11" spans="1:72" ht="16" x14ac:dyDescent="0.25">
      <c r="A11" s="134"/>
      <c r="B11" s="143" t="s">
        <v>116</v>
      </c>
      <c r="C11" s="144">
        <v>56</v>
      </c>
      <c r="D11" s="136" t="s">
        <v>77</v>
      </c>
      <c r="E11" s="136"/>
      <c r="F11" s="136"/>
      <c r="G11" s="214" t="s">
        <v>85</v>
      </c>
      <c r="H11" s="214"/>
      <c r="I11" s="136"/>
      <c r="J11" s="136" t="s">
        <v>34</v>
      </c>
      <c r="K11" s="136"/>
      <c r="L11" s="136"/>
      <c r="M11" s="136"/>
      <c r="N11" s="205" t="s">
        <v>34</v>
      </c>
      <c r="O11" s="214"/>
      <c r="P11" s="136"/>
      <c r="Q11" s="136" t="s">
        <v>77</v>
      </c>
      <c r="R11" s="136"/>
      <c r="S11" s="136"/>
      <c r="T11" s="136"/>
      <c r="U11" s="216" t="s">
        <v>21</v>
      </c>
      <c r="V11" s="214"/>
      <c r="W11" s="136"/>
      <c r="X11" s="136" t="s">
        <v>34</v>
      </c>
      <c r="Y11" s="136"/>
      <c r="Z11" s="136" t="s">
        <v>85</v>
      </c>
      <c r="AA11" s="136"/>
      <c r="AB11" s="214"/>
      <c r="AC11" s="214" t="s">
        <v>19</v>
      </c>
      <c r="AD11" s="136"/>
      <c r="AE11" s="136"/>
      <c r="AF11" s="136" t="s">
        <v>83</v>
      </c>
      <c r="AG11" s="136" t="s">
        <v>83</v>
      </c>
      <c r="AH11" s="136" t="s">
        <v>34</v>
      </c>
      <c r="AI11" s="214"/>
      <c r="AJ11" s="214"/>
      <c r="AK11" s="136" t="s">
        <v>83</v>
      </c>
      <c r="AL11" s="136" t="s">
        <v>83</v>
      </c>
      <c r="AM11" s="136" t="s">
        <v>83</v>
      </c>
      <c r="AN11" s="118"/>
      <c r="AO11" s="118"/>
      <c r="AP11" s="118"/>
      <c r="AQ11" s="118"/>
      <c r="AR11" s="118"/>
      <c r="AS11" s="118"/>
      <c r="AT11" s="119"/>
      <c r="AU11" s="120"/>
      <c r="AW11" s="121">
        <v>18</v>
      </c>
      <c r="AX11" s="121">
        <v>12</v>
      </c>
      <c r="AY11" s="122">
        <v>6.5</v>
      </c>
      <c r="AZ11" s="123">
        <v>24.5</v>
      </c>
      <c r="BA11" s="123">
        <v>5</v>
      </c>
      <c r="BB11" s="123">
        <v>16.5</v>
      </c>
      <c r="BC11" s="124">
        <v>1.3</v>
      </c>
      <c r="BD11" s="123">
        <v>2</v>
      </c>
      <c r="BE11" s="123">
        <v>1</v>
      </c>
      <c r="BF11" s="123">
        <v>1</v>
      </c>
      <c r="BG11" s="123">
        <v>0</v>
      </c>
      <c r="BH11" s="123">
        <v>1</v>
      </c>
      <c r="BI11" s="123">
        <v>0</v>
      </c>
      <c r="BJ11" s="123">
        <v>1</v>
      </c>
      <c r="BK11" s="123">
        <v>0</v>
      </c>
      <c r="BL11" s="123">
        <v>1</v>
      </c>
      <c r="BM11" s="123">
        <v>14</v>
      </c>
      <c r="BN11" s="123">
        <v>6</v>
      </c>
      <c r="BO11" s="123">
        <v>20</v>
      </c>
      <c r="BP11" s="123">
        <v>35</v>
      </c>
      <c r="BQ11" s="125">
        <v>57.142857142857139</v>
      </c>
      <c r="BR11" s="123">
        <v>3</v>
      </c>
      <c r="BS11" s="123">
        <v>1</v>
      </c>
      <c r="BT11" s="126">
        <v>4</v>
      </c>
    </row>
    <row r="12" spans="1:72" ht="16" x14ac:dyDescent="0.25">
      <c r="A12" s="134"/>
      <c r="B12" s="143" t="s">
        <v>97</v>
      </c>
      <c r="C12" s="144">
        <v>56</v>
      </c>
      <c r="D12" s="136" t="s">
        <v>83</v>
      </c>
      <c r="E12" s="136"/>
      <c r="F12" s="136" t="s">
        <v>85</v>
      </c>
      <c r="G12" s="216" t="s">
        <v>81</v>
      </c>
      <c r="H12" s="214"/>
      <c r="I12" s="136" t="s">
        <v>83</v>
      </c>
      <c r="J12" s="136"/>
      <c r="K12" s="136"/>
      <c r="L12" s="136"/>
      <c r="M12" s="205" t="s">
        <v>34</v>
      </c>
      <c r="N12" s="214"/>
      <c r="O12" s="214"/>
      <c r="P12" s="136"/>
      <c r="Q12" s="136" t="s">
        <v>83</v>
      </c>
      <c r="R12" s="136" t="s">
        <v>83</v>
      </c>
      <c r="S12" s="136" t="s">
        <v>34</v>
      </c>
      <c r="T12" s="136"/>
      <c r="U12" s="214" t="s">
        <v>77</v>
      </c>
      <c r="V12" s="214"/>
      <c r="W12" s="136"/>
      <c r="X12" s="136" t="s">
        <v>32</v>
      </c>
      <c r="Y12" s="136"/>
      <c r="Z12" s="212"/>
      <c r="AA12" s="212"/>
      <c r="AB12" s="214" t="s">
        <v>85</v>
      </c>
      <c r="AC12" s="214" t="s">
        <v>34</v>
      </c>
      <c r="AD12" s="136"/>
      <c r="AE12" s="136"/>
      <c r="AF12" s="136"/>
      <c r="AG12" s="136"/>
      <c r="AH12" s="136"/>
      <c r="AI12" s="214"/>
      <c r="AJ12" s="226" t="s">
        <v>19</v>
      </c>
      <c r="AK12" s="136"/>
      <c r="AL12" s="136"/>
      <c r="AM12" s="136"/>
      <c r="AN12" s="118"/>
      <c r="AO12" s="118"/>
      <c r="AP12" s="118"/>
      <c r="AQ12" s="118"/>
      <c r="AR12" s="118"/>
      <c r="AS12" s="118"/>
      <c r="AT12" s="119"/>
      <c r="AU12" s="120"/>
      <c r="AW12" s="121">
        <v>18</v>
      </c>
      <c r="AX12" s="121">
        <v>11.5</v>
      </c>
      <c r="AY12" s="122">
        <v>8.5</v>
      </c>
      <c r="AZ12" s="123">
        <v>26.5</v>
      </c>
      <c r="BA12" s="123">
        <v>6</v>
      </c>
      <c r="BB12" s="123">
        <v>17</v>
      </c>
      <c r="BC12" s="124">
        <v>1.4166666666666667</v>
      </c>
      <c r="BD12" s="123">
        <v>2</v>
      </c>
      <c r="BE12" s="123">
        <v>1</v>
      </c>
      <c r="BF12" s="123">
        <v>1</v>
      </c>
      <c r="BG12" s="123">
        <v>1</v>
      </c>
      <c r="BH12" s="123">
        <v>1</v>
      </c>
      <c r="BI12" s="123">
        <v>0</v>
      </c>
      <c r="BJ12" s="123">
        <v>0</v>
      </c>
      <c r="BK12" s="123">
        <v>1</v>
      </c>
      <c r="BL12" s="123">
        <v>1</v>
      </c>
      <c r="BM12" s="123">
        <v>14</v>
      </c>
      <c r="BN12" s="123">
        <v>7</v>
      </c>
      <c r="BO12" s="123">
        <v>21</v>
      </c>
      <c r="BP12" s="123">
        <v>35</v>
      </c>
      <c r="BQ12" s="125">
        <v>60</v>
      </c>
      <c r="BR12" s="123">
        <v>2</v>
      </c>
      <c r="BS12" s="123">
        <v>1</v>
      </c>
      <c r="BT12" s="126">
        <v>3</v>
      </c>
    </row>
    <row r="13" spans="1:72" ht="16" x14ac:dyDescent="0.25">
      <c r="A13" s="134"/>
      <c r="B13" s="143" t="s">
        <v>99</v>
      </c>
      <c r="C13" s="144">
        <v>56</v>
      </c>
      <c r="D13" s="209"/>
      <c r="E13" s="136" t="s">
        <v>83</v>
      </c>
      <c r="F13" s="136" t="s">
        <v>83</v>
      </c>
      <c r="G13" s="214"/>
      <c r="H13" s="214"/>
      <c r="I13" s="136"/>
      <c r="J13" s="136"/>
      <c r="K13" s="205" t="s">
        <v>34</v>
      </c>
      <c r="L13" s="136"/>
      <c r="M13" s="136"/>
      <c r="N13" s="214"/>
      <c r="O13" s="214" t="s">
        <v>34</v>
      </c>
      <c r="P13" s="136"/>
      <c r="R13" s="205" t="s">
        <v>34</v>
      </c>
      <c r="S13" s="136"/>
      <c r="T13" s="136"/>
      <c r="U13" s="214" t="s">
        <v>85</v>
      </c>
      <c r="V13" s="214" t="s">
        <v>34</v>
      </c>
      <c r="W13" s="136"/>
      <c r="X13" s="136" t="s">
        <v>83</v>
      </c>
      <c r="Y13" s="136" t="s">
        <v>83</v>
      </c>
      <c r="Z13" s="136" t="s">
        <v>83</v>
      </c>
      <c r="AA13" s="136" t="s">
        <v>83</v>
      </c>
      <c r="AB13" s="214" t="s">
        <v>85</v>
      </c>
      <c r="AC13" s="214"/>
      <c r="AD13" s="136"/>
      <c r="AE13" s="136"/>
      <c r="AF13" s="136" t="s">
        <v>77</v>
      </c>
      <c r="AG13" s="136"/>
      <c r="AH13" s="136"/>
      <c r="AI13" s="214"/>
      <c r="AJ13" s="214" t="s">
        <v>81</v>
      </c>
      <c r="AK13" s="136"/>
      <c r="AL13" s="136"/>
      <c r="AM13" s="136"/>
      <c r="AN13" s="118"/>
      <c r="AO13" s="118"/>
      <c r="AP13" s="118"/>
      <c r="AQ13" s="118"/>
      <c r="AR13" s="118"/>
      <c r="AS13" s="118"/>
      <c r="AT13" s="119"/>
      <c r="AU13" s="120"/>
      <c r="AW13" s="121">
        <v>18</v>
      </c>
      <c r="AX13" s="121">
        <v>13.5</v>
      </c>
      <c r="AY13" s="122">
        <v>6</v>
      </c>
      <c r="AZ13" s="123">
        <v>24</v>
      </c>
      <c r="BA13" s="123">
        <v>4</v>
      </c>
      <c r="BB13" s="123">
        <v>17.5</v>
      </c>
      <c r="BC13" s="124">
        <v>1.5</v>
      </c>
      <c r="BD13" s="123">
        <v>2</v>
      </c>
      <c r="BE13" s="123">
        <v>0</v>
      </c>
      <c r="BF13" s="123">
        <v>0</v>
      </c>
      <c r="BG13" s="123">
        <v>2</v>
      </c>
      <c r="BH13" s="123">
        <v>0</v>
      </c>
      <c r="BI13" s="123">
        <v>0</v>
      </c>
      <c r="BJ13" s="123">
        <v>0</v>
      </c>
      <c r="BK13" s="123">
        <v>1</v>
      </c>
      <c r="BL13" s="123">
        <v>1</v>
      </c>
      <c r="BM13" s="123">
        <v>14</v>
      </c>
      <c r="BN13" s="123">
        <v>7</v>
      </c>
      <c r="BO13" s="123">
        <v>21</v>
      </c>
      <c r="BP13" s="123">
        <v>35</v>
      </c>
      <c r="BQ13" s="125">
        <v>60</v>
      </c>
      <c r="BR13" s="123">
        <v>4</v>
      </c>
      <c r="BS13" s="123">
        <v>1</v>
      </c>
      <c r="BT13" s="126">
        <v>5</v>
      </c>
    </row>
    <row r="14" spans="1:72" ht="16" x14ac:dyDescent="0.25">
      <c r="A14" s="134"/>
      <c r="B14" s="143" t="s">
        <v>100</v>
      </c>
      <c r="C14" s="144">
        <v>46</v>
      </c>
      <c r="D14" s="209"/>
      <c r="E14" s="136"/>
      <c r="F14" s="136"/>
      <c r="G14" s="214" t="s">
        <v>85</v>
      </c>
      <c r="H14" s="214" t="s">
        <v>85</v>
      </c>
      <c r="I14" s="136" t="s">
        <v>83</v>
      </c>
      <c r="J14" s="136" t="s">
        <v>83</v>
      </c>
      <c r="K14" s="136" t="s">
        <v>83</v>
      </c>
      <c r="L14" s="136" t="s">
        <v>83</v>
      </c>
      <c r="M14" s="136" t="s">
        <v>83</v>
      </c>
      <c r="N14" s="214" t="s">
        <v>130</v>
      </c>
      <c r="O14" s="214" t="s">
        <v>130</v>
      </c>
      <c r="P14" s="136" t="s">
        <v>77</v>
      </c>
      <c r="Q14" s="136"/>
      <c r="R14" s="136"/>
      <c r="S14" s="136"/>
      <c r="T14" s="136" t="s">
        <v>34</v>
      </c>
      <c r="U14" s="214"/>
      <c r="V14" s="214"/>
      <c r="W14" s="205" t="s">
        <v>34</v>
      </c>
      <c r="X14" s="136"/>
      <c r="Y14" s="136" t="s">
        <v>83</v>
      </c>
      <c r="Z14" s="136"/>
      <c r="AA14" s="136"/>
      <c r="AB14" s="214" t="s">
        <v>34</v>
      </c>
      <c r="AC14" s="214"/>
      <c r="AD14" s="136"/>
      <c r="AE14" s="136"/>
      <c r="AF14" s="136"/>
      <c r="AG14" s="205" t="s">
        <v>34</v>
      </c>
      <c r="AH14" s="136"/>
      <c r="AI14" s="214"/>
      <c r="AJ14" s="214" t="s">
        <v>21</v>
      </c>
      <c r="AK14" s="136" t="s">
        <v>31</v>
      </c>
      <c r="AL14" s="136"/>
      <c r="AM14" s="136"/>
      <c r="AN14" s="118"/>
      <c r="AO14" s="118"/>
      <c r="AP14" s="118"/>
      <c r="AQ14" s="118"/>
      <c r="AR14" s="118"/>
      <c r="AS14" s="118"/>
      <c r="AT14" s="119"/>
      <c r="AU14" s="120"/>
      <c r="AW14" s="121">
        <v>17.5</v>
      </c>
      <c r="AX14" s="121">
        <v>12</v>
      </c>
      <c r="AY14" s="122">
        <v>7</v>
      </c>
      <c r="AZ14" s="123">
        <v>24.5</v>
      </c>
      <c r="BA14" s="123">
        <v>5</v>
      </c>
      <c r="BB14" s="123">
        <v>17</v>
      </c>
      <c r="BC14" s="124">
        <v>1.4</v>
      </c>
      <c r="BD14" s="123">
        <v>3</v>
      </c>
      <c r="BE14" s="123">
        <v>1</v>
      </c>
      <c r="BF14" s="123">
        <v>1</v>
      </c>
      <c r="BG14" s="123">
        <v>0</v>
      </c>
      <c r="BH14" s="123">
        <v>0</v>
      </c>
      <c r="BI14" s="123">
        <v>0</v>
      </c>
      <c r="BJ14" s="123">
        <v>1</v>
      </c>
      <c r="BK14" s="123">
        <v>0</v>
      </c>
      <c r="BL14" s="123">
        <v>1</v>
      </c>
      <c r="BM14" s="123">
        <v>15</v>
      </c>
      <c r="BN14" s="123">
        <v>6</v>
      </c>
      <c r="BO14" s="123">
        <v>21</v>
      </c>
      <c r="BP14" s="123">
        <v>35</v>
      </c>
      <c r="BQ14" s="125">
        <v>60</v>
      </c>
      <c r="BR14" s="123">
        <v>2</v>
      </c>
      <c r="BS14" s="123">
        <v>1</v>
      </c>
      <c r="BT14" s="126">
        <v>3</v>
      </c>
    </row>
    <row r="15" spans="1:72" ht="16" x14ac:dyDescent="0.25">
      <c r="A15" s="134"/>
      <c r="B15" s="143" t="s">
        <v>117</v>
      </c>
      <c r="C15" s="144">
        <v>56</v>
      </c>
      <c r="D15" s="214" t="s">
        <v>31</v>
      </c>
      <c r="E15" s="136"/>
      <c r="F15" s="136"/>
      <c r="G15" s="214"/>
      <c r="H15" s="214" t="s">
        <v>77</v>
      </c>
      <c r="I15" s="136"/>
      <c r="J15" s="199" t="s">
        <v>32</v>
      </c>
      <c r="K15" s="136"/>
      <c r="L15" s="205"/>
      <c r="M15" s="136"/>
      <c r="N15" s="214" t="s">
        <v>85</v>
      </c>
      <c r="O15" s="218"/>
      <c r="P15" s="136" t="s">
        <v>30</v>
      </c>
      <c r="Q15" s="136"/>
      <c r="R15" s="136"/>
      <c r="S15" s="205"/>
      <c r="T15" s="136"/>
      <c r="U15" s="214" t="s">
        <v>85</v>
      </c>
      <c r="V15" s="214" t="s">
        <v>81</v>
      </c>
      <c r="W15" s="136"/>
      <c r="X15" s="136"/>
      <c r="Y15" s="136"/>
      <c r="Z15" s="136" t="s">
        <v>32</v>
      </c>
      <c r="AA15" s="136"/>
      <c r="AB15" s="214"/>
      <c r="AC15" s="214"/>
      <c r="AD15" s="136"/>
      <c r="AE15" s="136" t="s">
        <v>34</v>
      </c>
      <c r="AF15" s="136"/>
      <c r="AG15" s="136"/>
      <c r="AH15" s="136"/>
      <c r="AI15" s="214" t="s">
        <v>34</v>
      </c>
      <c r="AJ15" s="214"/>
      <c r="AK15" s="136"/>
      <c r="AL15" s="136"/>
      <c r="AM15" s="136"/>
      <c r="AN15" s="118"/>
      <c r="AO15" s="118"/>
      <c r="AP15" s="118"/>
      <c r="AQ15" s="118"/>
      <c r="AR15" s="118"/>
      <c r="AS15" s="118"/>
      <c r="AT15" s="119"/>
      <c r="AU15" s="120"/>
      <c r="AW15" s="121">
        <v>12</v>
      </c>
      <c r="AX15" s="121">
        <v>8.5</v>
      </c>
      <c r="AY15" s="122">
        <v>6.5</v>
      </c>
      <c r="AZ15" s="123">
        <v>18.5</v>
      </c>
      <c r="BA15" s="123">
        <v>5</v>
      </c>
      <c r="BB15" s="123">
        <v>13.5</v>
      </c>
      <c r="BC15" s="124">
        <v>1.3</v>
      </c>
      <c r="BD15" s="123">
        <v>4</v>
      </c>
      <c r="BE15" s="123">
        <v>0</v>
      </c>
      <c r="BF15" s="123">
        <v>1</v>
      </c>
      <c r="BG15" s="123">
        <v>0</v>
      </c>
      <c r="BH15" s="123">
        <v>0</v>
      </c>
      <c r="BI15" s="123">
        <v>0</v>
      </c>
      <c r="BJ15" s="123">
        <v>0</v>
      </c>
      <c r="BK15" s="123">
        <v>1</v>
      </c>
      <c r="BL15" s="123">
        <v>1</v>
      </c>
      <c r="BM15" s="123">
        <v>8</v>
      </c>
      <c r="BN15" s="123">
        <v>6</v>
      </c>
      <c r="BO15" s="123">
        <v>14</v>
      </c>
      <c r="BP15" s="123">
        <v>26</v>
      </c>
      <c r="BQ15" s="125">
        <v>53.846153846153847</v>
      </c>
      <c r="BR15" s="123">
        <v>2</v>
      </c>
      <c r="BS15" s="123">
        <v>1</v>
      </c>
      <c r="BT15" s="126">
        <v>3</v>
      </c>
    </row>
    <row r="16" spans="1:72" ht="16" x14ac:dyDescent="0.25">
      <c r="A16" s="134"/>
      <c r="B16" s="143" t="s">
        <v>96</v>
      </c>
      <c r="C16" s="144">
        <v>85</v>
      </c>
      <c r="D16" s="136" t="s">
        <v>83</v>
      </c>
      <c r="E16" s="136"/>
      <c r="F16" s="136"/>
      <c r="G16" s="214" t="s">
        <v>34</v>
      </c>
      <c r="H16" s="214"/>
      <c r="I16" s="136"/>
      <c r="J16" s="136"/>
      <c r="K16" s="136"/>
      <c r="L16" s="205" t="s">
        <v>34</v>
      </c>
      <c r="M16" s="136"/>
      <c r="N16" s="214"/>
      <c r="O16" s="214" t="s">
        <v>21</v>
      </c>
      <c r="P16" s="136"/>
      <c r="Q16" s="136" t="s">
        <v>34</v>
      </c>
      <c r="R16" s="136"/>
      <c r="S16" s="136"/>
      <c r="T16" s="136"/>
      <c r="U16" s="214" t="s">
        <v>19</v>
      </c>
      <c r="V16" s="214"/>
      <c r="W16" s="136"/>
      <c r="X16" s="199" t="s">
        <v>31</v>
      </c>
      <c r="Y16" s="136"/>
      <c r="Z16" s="136"/>
      <c r="AA16" s="136"/>
      <c r="AB16" s="214" t="s">
        <v>77</v>
      </c>
      <c r="AC16" s="214"/>
      <c r="AD16" s="136"/>
      <c r="AE16" s="136"/>
      <c r="AF16" s="205" t="s">
        <v>34</v>
      </c>
      <c r="AG16" s="136"/>
      <c r="AH16" s="136" t="s">
        <v>83</v>
      </c>
      <c r="AI16" s="214" t="s">
        <v>85</v>
      </c>
      <c r="AJ16" s="214" t="s">
        <v>85</v>
      </c>
      <c r="AK16" s="136" t="s">
        <v>83</v>
      </c>
      <c r="AL16" s="136" t="s">
        <v>83</v>
      </c>
      <c r="AM16" s="136" t="s">
        <v>83</v>
      </c>
      <c r="AN16" s="118"/>
      <c r="AO16" s="118"/>
      <c r="AP16" s="118"/>
      <c r="AQ16" s="118"/>
      <c r="AR16" s="118"/>
      <c r="AS16" s="118"/>
      <c r="AT16" s="119"/>
      <c r="AU16" s="120"/>
      <c r="AW16" s="121">
        <v>16.5</v>
      </c>
      <c r="AX16" s="121">
        <v>12.5</v>
      </c>
      <c r="AY16" s="122">
        <v>9.5</v>
      </c>
      <c r="AZ16" s="123">
        <v>26</v>
      </c>
      <c r="BA16" s="123">
        <v>7</v>
      </c>
      <c r="BB16" s="123">
        <v>19</v>
      </c>
      <c r="BC16" s="124">
        <v>1.3571428571428572</v>
      </c>
      <c r="BD16" s="123">
        <v>4</v>
      </c>
      <c r="BE16" s="123">
        <v>0</v>
      </c>
      <c r="BF16" s="123">
        <v>2</v>
      </c>
      <c r="BG16" s="123">
        <v>0</v>
      </c>
      <c r="BH16" s="123">
        <v>1</v>
      </c>
      <c r="BI16" s="123">
        <v>0</v>
      </c>
      <c r="BJ16" s="123">
        <v>1</v>
      </c>
      <c r="BK16" s="123">
        <v>0</v>
      </c>
      <c r="BL16" s="123">
        <v>1</v>
      </c>
      <c r="BM16" s="123">
        <v>14</v>
      </c>
      <c r="BN16" s="123">
        <v>6</v>
      </c>
      <c r="BO16" s="123">
        <v>20</v>
      </c>
      <c r="BP16" s="123">
        <v>35</v>
      </c>
      <c r="BQ16" s="125">
        <v>57.142857142857139</v>
      </c>
      <c r="BR16" s="123">
        <v>4</v>
      </c>
      <c r="BS16" s="123">
        <v>1</v>
      </c>
      <c r="BT16" s="126">
        <v>5</v>
      </c>
    </row>
    <row r="17" spans="1:72" ht="16" x14ac:dyDescent="0.25">
      <c r="A17" s="134"/>
      <c r="B17" s="143" t="s">
        <v>94</v>
      </c>
      <c r="C17" s="144">
        <v>85</v>
      </c>
      <c r="D17" s="209"/>
      <c r="E17" s="136"/>
      <c r="F17" s="136"/>
      <c r="G17" s="214"/>
      <c r="H17" s="205" t="s">
        <v>34</v>
      </c>
      <c r="I17" s="136"/>
      <c r="J17" s="136" t="s">
        <v>83</v>
      </c>
      <c r="K17" s="136" t="s">
        <v>83</v>
      </c>
      <c r="L17" s="136" t="s">
        <v>83</v>
      </c>
      <c r="M17" s="136" t="s">
        <v>83</v>
      </c>
      <c r="N17" s="214" t="s">
        <v>130</v>
      </c>
      <c r="O17" s="214" t="s">
        <v>130</v>
      </c>
      <c r="P17" s="136" t="s">
        <v>83</v>
      </c>
      <c r="Q17" s="136"/>
      <c r="R17" s="136"/>
      <c r="S17" s="136"/>
      <c r="T17" s="136"/>
      <c r="U17" s="214" t="s">
        <v>85</v>
      </c>
      <c r="V17" s="214" t="s">
        <v>21</v>
      </c>
      <c r="W17" s="136" t="s">
        <v>77</v>
      </c>
      <c r="X17" s="136"/>
      <c r="Y17" s="136" t="s">
        <v>85</v>
      </c>
      <c r="Z17" s="136"/>
      <c r="AA17" s="136" t="s">
        <v>34</v>
      </c>
      <c r="AB17" s="214"/>
      <c r="AC17" s="214"/>
      <c r="AD17" s="136"/>
      <c r="AE17" s="136"/>
      <c r="AF17" s="136"/>
      <c r="AG17" s="205" t="s">
        <v>32</v>
      </c>
      <c r="AH17" s="136"/>
      <c r="AI17" s="214"/>
      <c r="AJ17" s="214" t="s">
        <v>34</v>
      </c>
      <c r="AK17" s="136"/>
      <c r="AL17" s="136"/>
      <c r="AM17" s="136"/>
      <c r="AN17" s="118"/>
      <c r="AO17" s="118"/>
      <c r="AP17" s="118"/>
      <c r="AQ17" s="118"/>
      <c r="AR17" s="118"/>
      <c r="AS17" s="118"/>
      <c r="AT17" s="119"/>
      <c r="AU17" s="120"/>
      <c r="AW17" s="121">
        <v>18</v>
      </c>
      <c r="AX17" s="121">
        <v>12</v>
      </c>
      <c r="AY17" s="122">
        <v>9</v>
      </c>
      <c r="AZ17" s="123">
        <v>27</v>
      </c>
      <c r="BA17" s="123">
        <v>5</v>
      </c>
      <c r="BB17" s="123">
        <v>17</v>
      </c>
      <c r="BC17" s="124">
        <v>1.8</v>
      </c>
      <c r="BD17" s="123">
        <v>1</v>
      </c>
      <c r="BE17" s="123">
        <v>1</v>
      </c>
      <c r="BF17" s="123">
        <v>1</v>
      </c>
      <c r="BG17" s="123">
        <v>2</v>
      </c>
      <c r="BH17" s="123">
        <v>0</v>
      </c>
      <c r="BI17" s="123">
        <v>0</v>
      </c>
      <c r="BJ17" s="123">
        <v>1</v>
      </c>
      <c r="BK17" s="123">
        <v>0</v>
      </c>
      <c r="BL17" s="123">
        <v>1</v>
      </c>
      <c r="BM17" s="123">
        <v>15</v>
      </c>
      <c r="BN17" s="123">
        <v>6</v>
      </c>
      <c r="BO17" s="123">
        <v>21</v>
      </c>
      <c r="BP17" s="123">
        <v>35</v>
      </c>
      <c r="BQ17" s="125">
        <v>60</v>
      </c>
      <c r="BR17" s="123">
        <v>2</v>
      </c>
      <c r="BS17" s="123">
        <v>1</v>
      </c>
      <c r="BT17" s="126">
        <v>3</v>
      </c>
    </row>
    <row r="18" spans="1:72" ht="16" x14ac:dyDescent="0.25">
      <c r="A18" s="142"/>
      <c r="B18" s="143" t="s">
        <v>123</v>
      </c>
      <c r="C18" s="144">
        <v>85</v>
      </c>
      <c r="D18" s="209"/>
      <c r="E18" s="136"/>
      <c r="F18" s="136"/>
      <c r="G18" s="214" t="s">
        <v>31</v>
      </c>
      <c r="H18" s="214"/>
      <c r="I18" s="136"/>
      <c r="J18" s="136"/>
      <c r="K18" s="136"/>
      <c r="L18" s="136"/>
      <c r="M18" s="136" t="s">
        <v>77</v>
      </c>
      <c r="N18" s="214"/>
      <c r="O18" s="214"/>
      <c r="P18" s="136" t="s">
        <v>34</v>
      </c>
      <c r="Q18" s="136"/>
      <c r="R18" s="136"/>
      <c r="S18" s="136"/>
      <c r="T18" s="136"/>
      <c r="U18" s="214"/>
      <c r="V18" s="214" t="s">
        <v>19</v>
      </c>
      <c r="W18" s="136"/>
      <c r="X18" s="136"/>
      <c r="Y18" s="136"/>
      <c r="Z18" s="136" t="s">
        <v>30</v>
      </c>
      <c r="AA18" s="136"/>
      <c r="AB18" s="216" t="s">
        <v>20</v>
      </c>
      <c r="AC18" s="214"/>
      <c r="AD18" s="136" t="s">
        <v>34</v>
      </c>
      <c r="AE18" s="136"/>
      <c r="AF18" s="136"/>
      <c r="AG18" s="136"/>
      <c r="AH18" s="136"/>
      <c r="AI18" s="214"/>
      <c r="AJ18" s="214"/>
      <c r="AK18" s="136" t="s">
        <v>34</v>
      </c>
      <c r="AL18" s="136"/>
      <c r="AM18" s="136"/>
      <c r="AN18" s="137"/>
      <c r="AO18" s="118"/>
      <c r="AP18" s="118"/>
      <c r="AQ18" s="137"/>
      <c r="AR18" s="137"/>
      <c r="AS18" s="137"/>
      <c r="AT18" s="139"/>
      <c r="AU18" s="140"/>
      <c r="AV18" s="141"/>
      <c r="AW18" s="121">
        <v>6.5</v>
      </c>
      <c r="AX18" s="121">
        <v>4</v>
      </c>
      <c r="AY18" s="122">
        <v>7</v>
      </c>
      <c r="AZ18" s="123">
        <v>13.5</v>
      </c>
      <c r="BA18" s="123">
        <v>6</v>
      </c>
      <c r="BB18" s="123">
        <v>9.5</v>
      </c>
      <c r="BC18" s="124">
        <v>1.1666666666666667</v>
      </c>
      <c r="BD18" s="123">
        <v>4</v>
      </c>
      <c r="BE18" s="123">
        <v>0</v>
      </c>
      <c r="BF18" s="123">
        <v>1</v>
      </c>
      <c r="BG18" s="123">
        <v>0</v>
      </c>
      <c r="BH18" s="123">
        <v>1</v>
      </c>
      <c r="BI18" s="123">
        <v>1</v>
      </c>
      <c r="BJ18" s="123">
        <v>0</v>
      </c>
      <c r="BK18" s="123">
        <v>0</v>
      </c>
      <c r="BL18" s="123">
        <v>1</v>
      </c>
      <c r="BM18" s="123">
        <v>4</v>
      </c>
      <c r="BN18" s="123">
        <v>6</v>
      </c>
      <c r="BO18" s="123">
        <v>10</v>
      </c>
      <c r="BP18" s="123">
        <v>18</v>
      </c>
      <c r="BQ18" s="125">
        <v>55.555555555555557</v>
      </c>
      <c r="BR18" s="123">
        <v>0</v>
      </c>
      <c r="BS18" s="123">
        <v>1</v>
      </c>
      <c r="BT18" s="126">
        <v>1</v>
      </c>
    </row>
    <row r="19" spans="1:72" ht="16" x14ac:dyDescent="0.25">
      <c r="A19" s="142"/>
      <c r="B19" s="146" t="s">
        <v>106</v>
      </c>
      <c r="C19" s="147">
        <v>41</v>
      </c>
      <c r="D19" s="136"/>
      <c r="E19" s="136"/>
      <c r="F19" s="136"/>
      <c r="G19" s="214" t="s">
        <v>32</v>
      </c>
      <c r="H19" s="214"/>
      <c r="I19" s="136"/>
      <c r="J19" s="136"/>
      <c r="K19" s="136"/>
      <c r="L19" s="205" t="s">
        <v>30</v>
      </c>
      <c r="M19" s="136"/>
      <c r="N19" s="214" t="s">
        <v>85</v>
      </c>
      <c r="O19" s="214" t="s">
        <v>85</v>
      </c>
      <c r="P19" s="136" t="s">
        <v>83</v>
      </c>
      <c r="Q19" s="136" t="s">
        <v>83</v>
      </c>
      <c r="R19" s="136" t="s">
        <v>83</v>
      </c>
      <c r="S19" s="136"/>
      <c r="T19" s="136" t="s">
        <v>29</v>
      </c>
      <c r="U19" s="214"/>
      <c r="V19" s="214"/>
      <c r="W19" s="136"/>
      <c r="X19" s="136"/>
      <c r="Y19" s="136"/>
      <c r="Z19" s="136" t="s">
        <v>77</v>
      </c>
      <c r="AA19" s="136"/>
      <c r="AB19" s="214"/>
      <c r="AC19" s="205" t="s">
        <v>32</v>
      </c>
      <c r="AD19" s="136"/>
      <c r="AE19" s="136"/>
      <c r="AF19" s="136"/>
      <c r="AG19" s="136"/>
      <c r="AH19" s="136"/>
      <c r="AI19" s="214"/>
      <c r="AJ19" s="214"/>
      <c r="AK19" s="136" t="s">
        <v>30</v>
      </c>
      <c r="AL19" s="136"/>
      <c r="AM19" s="136"/>
      <c r="AN19" s="118"/>
      <c r="AO19" s="118"/>
      <c r="AP19" s="118"/>
      <c r="AQ19" s="137"/>
      <c r="AR19" s="118"/>
      <c r="AS19" s="137"/>
      <c r="AT19" s="139"/>
      <c r="AU19" s="140"/>
      <c r="AV19" s="141"/>
      <c r="AW19" s="121">
        <v>17.5</v>
      </c>
      <c r="AX19" s="121">
        <v>11</v>
      </c>
      <c r="AY19" s="122">
        <v>8</v>
      </c>
      <c r="AZ19" s="123">
        <v>25.5</v>
      </c>
      <c r="BA19" s="123">
        <v>5</v>
      </c>
      <c r="BB19" s="123">
        <v>16</v>
      </c>
      <c r="BC19" s="124">
        <v>1.6</v>
      </c>
      <c r="BD19" s="123">
        <v>2</v>
      </c>
      <c r="BE19" s="123">
        <v>1</v>
      </c>
      <c r="BF19" s="123">
        <v>1</v>
      </c>
      <c r="BG19" s="123">
        <v>1</v>
      </c>
      <c r="BH19" s="123">
        <v>0</v>
      </c>
      <c r="BI19" s="123">
        <v>0</v>
      </c>
      <c r="BJ19" s="123">
        <v>0</v>
      </c>
      <c r="BK19" s="123">
        <v>0</v>
      </c>
      <c r="BL19" s="123">
        <v>1</v>
      </c>
      <c r="BM19" s="123">
        <v>12</v>
      </c>
      <c r="BN19" s="123">
        <v>6</v>
      </c>
      <c r="BO19" s="123">
        <v>18</v>
      </c>
      <c r="BP19" s="123">
        <v>35</v>
      </c>
      <c r="BQ19" s="125">
        <v>51.428571428571423</v>
      </c>
      <c r="BR19" s="123">
        <v>4</v>
      </c>
      <c r="BS19" s="123">
        <v>0</v>
      </c>
      <c r="BT19" s="126">
        <v>4</v>
      </c>
    </row>
    <row r="20" spans="1:72" ht="16" x14ac:dyDescent="0.25">
      <c r="A20" s="150"/>
      <c r="B20" s="148" t="s">
        <v>109</v>
      </c>
      <c r="C20" s="149">
        <v>66</v>
      </c>
      <c r="D20" s="209"/>
      <c r="E20" s="136" t="s">
        <v>77</v>
      </c>
      <c r="F20" s="136"/>
      <c r="G20" s="214"/>
      <c r="H20" s="214" t="s">
        <v>32</v>
      </c>
      <c r="I20" s="136"/>
      <c r="J20" s="136"/>
      <c r="K20" s="136"/>
      <c r="L20" s="136"/>
      <c r="M20" s="136"/>
      <c r="N20" s="214"/>
      <c r="O20" s="214" t="s">
        <v>32</v>
      </c>
      <c r="P20" s="136"/>
      <c r="Q20" s="136"/>
      <c r="R20" s="136"/>
      <c r="S20" s="205" t="s">
        <v>32</v>
      </c>
      <c r="T20" s="136"/>
      <c r="U20" s="214" t="s">
        <v>130</v>
      </c>
      <c r="V20" s="214" t="s">
        <v>130</v>
      </c>
      <c r="W20" s="136" t="s">
        <v>83</v>
      </c>
      <c r="X20" s="136" t="s">
        <v>83</v>
      </c>
      <c r="Y20" s="136" t="s">
        <v>83</v>
      </c>
      <c r="Z20" s="136" t="s">
        <v>83</v>
      </c>
      <c r="AA20" s="136" t="s">
        <v>83</v>
      </c>
      <c r="AB20" s="214" t="s">
        <v>85</v>
      </c>
      <c r="AC20" s="214" t="s">
        <v>85</v>
      </c>
      <c r="AD20" s="205" t="s">
        <v>32</v>
      </c>
      <c r="AE20" s="136"/>
      <c r="AF20" s="136"/>
      <c r="AG20" s="136" t="s">
        <v>77</v>
      </c>
      <c r="AH20" s="136"/>
      <c r="AI20" s="214" t="s">
        <v>20</v>
      </c>
      <c r="AJ20" s="214"/>
      <c r="AK20" s="136"/>
      <c r="AL20" s="136"/>
      <c r="AM20" s="136"/>
      <c r="AN20" s="117"/>
      <c r="AO20" s="118"/>
      <c r="AP20" s="118"/>
      <c r="AQ20" s="117"/>
      <c r="AR20" s="145"/>
      <c r="AS20" s="117"/>
      <c r="AT20" s="119"/>
      <c r="AU20" s="120"/>
      <c r="AW20" s="121">
        <v>18</v>
      </c>
      <c r="AX20" s="121">
        <v>12</v>
      </c>
      <c r="AY20" s="122">
        <v>6</v>
      </c>
      <c r="AZ20" s="123">
        <v>24</v>
      </c>
      <c r="BA20" s="123">
        <v>4</v>
      </c>
      <c r="BB20" s="123">
        <v>16</v>
      </c>
      <c r="BC20" s="124">
        <v>1.5</v>
      </c>
      <c r="BD20" s="123">
        <v>2</v>
      </c>
      <c r="BE20" s="123">
        <v>0</v>
      </c>
      <c r="BF20" s="123">
        <v>0</v>
      </c>
      <c r="BG20" s="123">
        <v>2</v>
      </c>
      <c r="BH20" s="123">
        <v>0</v>
      </c>
      <c r="BI20" s="123">
        <v>1</v>
      </c>
      <c r="BJ20" s="123">
        <v>0</v>
      </c>
      <c r="BK20" s="123">
        <v>0</v>
      </c>
      <c r="BL20" s="123">
        <v>1</v>
      </c>
      <c r="BM20" s="123">
        <v>13</v>
      </c>
      <c r="BN20" s="123">
        <v>7</v>
      </c>
      <c r="BO20" s="123">
        <v>20</v>
      </c>
      <c r="BP20" s="123">
        <v>35</v>
      </c>
      <c r="BQ20" s="125">
        <v>57.142857142857139</v>
      </c>
      <c r="BR20" s="123">
        <v>3</v>
      </c>
      <c r="BS20" s="123">
        <v>1</v>
      </c>
      <c r="BT20" s="126">
        <v>4</v>
      </c>
    </row>
    <row r="21" spans="1:72" ht="16" x14ac:dyDescent="0.25">
      <c r="A21" s="151"/>
      <c r="B21" s="148" t="s">
        <v>107</v>
      </c>
      <c r="C21" s="149">
        <v>66</v>
      </c>
      <c r="D21" s="209"/>
      <c r="E21" s="136"/>
      <c r="F21" s="136" t="s">
        <v>32</v>
      </c>
      <c r="G21" s="214"/>
      <c r="H21" s="214"/>
      <c r="I21" s="136" t="s">
        <v>83</v>
      </c>
      <c r="J21" s="136" t="s">
        <v>83</v>
      </c>
      <c r="K21" s="136" t="s">
        <v>83</v>
      </c>
      <c r="L21" s="136" t="s">
        <v>83</v>
      </c>
      <c r="M21" s="136" t="s">
        <v>83</v>
      </c>
      <c r="N21" s="214" t="s">
        <v>130</v>
      </c>
      <c r="O21" s="214" t="s">
        <v>130</v>
      </c>
      <c r="P21" s="136"/>
      <c r="Q21" s="136"/>
      <c r="R21" s="136"/>
      <c r="S21" s="205"/>
      <c r="T21" s="136"/>
      <c r="U21" s="214" t="s">
        <v>32</v>
      </c>
      <c r="V21" s="214"/>
      <c r="W21" s="136"/>
      <c r="X21" s="136"/>
      <c r="Y21" s="136"/>
      <c r="Z21" s="136"/>
      <c r="AA21" s="205" t="s">
        <v>32</v>
      </c>
      <c r="AB21" s="214"/>
      <c r="AC21" s="214"/>
      <c r="AD21" s="136"/>
      <c r="AE21" s="136"/>
      <c r="AF21" s="136" t="s">
        <v>31</v>
      </c>
      <c r="AG21" s="136"/>
      <c r="AH21" s="136"/>
      <c r="AI21" s="214" t="s">
        <v>85</v>
      </c>
      <c r="AJ21" s="214" t="s">
        <v>77</v>
      </c>
      <c r="AK21" s="200"/>
      <c r="AL21" s="136"/>
      <c r="AM21" s="136"/>
      <c r="AN21" s="118"/>
      <c r="AO21" s="118"/>
      <c r="AP21" s="118"/>
      <c r="AQ21" s="118"/>
      <c r="AR21" s="118"/>
      <c r="AS21" s="118"/>
      <c r="AT21" s="119"/>
      <c r="AU21" s="120"/>
      <c r="AW21" s="121">
        <v>17.5</v>
      </c>
      <c r="AX21" s="121">
        <v>11.5</v>
      </c>
      <c r="AY21" s="122">
        <v>6.5</v>
      </c>
      <c r="AZ21" s="123">
        <v>24</v>
      </c>
      <c r="BA21" s="123">
        <v>4</v>
      </c>
      <c r="BB21" s="123">
        <v>15.5</v>
      </c>
      <c r="BC21" s="124">
        <v>1.625</v>
      </c>
      <c r="BD21" s="123">
        <v>1</v>
      </c>
      <c r="BE21" s="123">
        <v>2</v>
      </c>
      <c r="BF21" s="123">
        <v>1</v>
      </c>
      <c r="BG21" s="123">
        <v>0</v>
      </c>
      <c r="BH21" s="123">
        <v>0</v>
      </c>
      <c r="BI21" s="123">
        <v>0</v>
      </c>
      <c r="BJ21" s="123">
        <v>0</v>
      </c>
      <c r="BK21" s="123">
        <v>0</v>
      </c>
      <c r="BL21" s="123">
        <v>1</v>
      </c>
      <c r="BM21" s="123">
        <v>14</v>
      </c>
      <c r="BN21" s="123">
        <v>6</v>
      </c>
      <c r="BO21" s="123">
        <v>20</v>
      </c>
      <c r="BP21" s="123">
        <v>35</v>
      </c>
      <c r="BQ21" s="125">
        <v>57.142857142857139</v>
      </c>
      <c r="BR21" s="123">
        <v>3</v>
      </c>
      <c r="BS21" s="123">
        <v>0</v>
      </c>
      <c r="BT21" s="126">
        <v>3</v>
      </c>
    </row>
    <row r="22" spans="1:72" ht="16" x14ac:dyDescent="0.25">
      <c r="A22" s="114"/>
      <c r="B22" s="148" t="s">
        <v>122</v>
      </c>
      <c r="C22" s="149">
        <v>66</v>
      </c>
      <c r="D22" s="227" t="s">
        <v>131</v>
      </c>
      <c r="E22" s="227" t="s">
        <v>131</v>
      </c>
      <c r="F22" s="227" t="s">
        <v>131</v>
      </c>
      <c r="G22" s="227" t="s">
        <v>131</v>
      </c>
      <c r="H22" s="227" t="s">
        <v>131</v>
      </c>
      <c r="I22" s="227" t="s">
        <v>131</v>
      </c>
      <c r="J22" s="227" t="s">
        <v>131</v>
      </c>
      <c r="K22" s="227" t="s">
        <v>131</v>
      </c>
      <c r="L22" s="227" t="s">
        <v>131</v>
      </c>
      <c r="M22" s="227" t="s">
        <v>131</v>
      </c>
      <c r="N22" s="227" t="s">
        <v>131</v>
      </c>
      <c r="O22" s="227" t="s">
        <v>131</v>
      </c>
      <c r="P22" s="227" t="s">
        <v>131</v>
      </c>
      <c r="Q22" s="227" t="s">
        <v>131</v>
      </c>
      <c r="R22" s="227" t="s">
        <v>131</v>
      </c>
      <c r="S22" s="227" t="s">
        <v>131</v>
      </c>
      <c r="T22" s="227" t="s">
        <v>131</v>
      </c>
      <c r="U22" s="227" t="s">
        <v>131</v>
      </c>
      <c r="V22" s="227" t="s">
        <v>131</v>
      </c>
      <c r="W22" s="227" t="s">
        <v>131</v>
      </c>
      <c r="X22" s="227" t="s">
        <v>131</v>
      </c>
      <c r="Y22" s="227" t="s">
        <v>131</v>
      </c>
      <c r="Z22" s="227" t="s">
        <v>131</v>
      </c>
      <c r="AA22" s="227" t="s">
        <v>131</v>
      </c>
      <c r="AB22" s="214" t="s">
        <v>81</v>
      </c>
      <c r="AC22" s="227" t="s">
        <v>131</v>
      </c>
      <c r="AD22" s="136"/>
      <c r="AE22" s="136"/>
      <c r="AF22" s="136" t="s">
        <v>29</v>
      </c>
      <c r="AG22" s="136"/>
      <c r="AH22" s="136"/>
      <c r="AI22" s="216" t="s">
        <v>81</v>
      </c>
      <c r="AJ22" s="205" t="s">
        <v>32</v>
      </c>
      <c r="AK22" s="136"/>
      <c r="AL22" s="136"/>
      <c r="AM22" s="136" t="s">
        <v>32</v>
      </c>
      <c r="AN22" s="118"/>
      <c r="AO22" s="118"/>
      <c r="AP22" s="118"/>
      <c r="AQ22" s="118"/>
      <c r="AR22" s="118"/>
      <c r="AS22" s="118"/>
      <c r="AT22" s="119"/>
      <c r="AU22" s="120"/>
      <c r="AW22" s="121">
        <v>3.5</v>
      </c>
      <c r="AX22" s="121">
        <v>3</v>
      </c>
      <c r="AY22" s="122">
        <v>4</v>
      </c>
      <c r="AZ22" s="123">
        <v>7.5</v>
      </c>
      <c r="BA22" s="123">
        <v>3</v>
      </c>
      <c r="BB22" s="123">
        <v>6</v>
      </c>
      <c r="BC22" s="124">
        <v>1.3333333333333333</v>
      </c>
      <c r="BD22" s="123">
        <v>2</v>
      </c>
      <c r="BE22" s="123">
        <v>0</v>
      </c>
      <c r="BF22" s="123">
        <v>0</v>
      </c>
      <c r="BG22" s="123">
        <v>1</v>
      </c>
      <c r="BH22" s="123">
        <v>0</v>
      </c>
      <c r="BI22" s="123">
        <v>0</v>
      </c>
      <c r="BJ22" s="123">
        <v>0</v>
      </c>
      <c r="BK22" s="123">
        <v>2</v>
      </c>
      <c r="BL22" s="123">
        <v>0</v>
      </c>
      <c r="BM22" s="123">
        <v>6</v>
      </c>
      <c r="BN22" s="123">
        <v>6</v>
      </c>
      <c r="BO22" s="123">
        <v>12</v>
      </c>
      <c r="BP22" s="123">
        <v>18</v>
      </c>
      <c r="BQ22" s="125">
        <v>66.666666666666657</v>
      </c>
      <c r="BR22" s="123">
        <v>1</v>
      </c>
      <c r="BS22" s="123">
        <v>2</v>
      </c>
      <c r="BT22" s="126">
        <v>3</v>
      </c>
    </row>
    <row r="23" spans="1:72" ht="16" x14ac:dyDescent="0.25">
      <c r="A23" s="154"/>
      <c r="B23" s="148" t="s">
        <v>124</v>
      </c>
      <c r="C23" s="149">
        <v>66</v>
      </c>
      <c r="D23" s="136"/>
      <c r="E23" s="136"/>
      <c r="F23" s="136"/>
      <c r="G23" s="214"/>
      <c r="H23" s="216" t="s">
        <v>30</v>
      </c>
      <c r="I23" s="136"/>
      <c r="J23" s="136"/>
      <c r="K23" s="136"/>
      <c r="L23" s="136"/>
      <c r="M23" s="136"/>
      <c r="N23" s="205" t="s">
        <v>32</v>
      </c>
      <c r="O23" s="214"/>
      <c r="P23" s="136"/>
      <c r="Q23" s="136"/>
      <c r="R23" s="136" t="s">
        <v>32</v>
      </c>
      <c r="S23" s="136"/>
      <c r="T23" s="136" t="s">
        <v>83</v>
      </c>
      <c r="U23" s="214" t="s">
        <v>85</v>
      </c>
      <c r="V23" s="214" t="s">
        <v>85</v>
      </c>
      <c r="W23" s="136"/>
      <c r="X23" s="136"/>
      <c r="Y23" s="136"/>
      <c r="Z23" s="136"/>
      <c r="AA23" s="136"/>
      <c r="AB23" s="214" t="s">
        <v>31</v>
      </c>
      <c r="AC23" s="214"/>
      <c r="AD23" s="136"/>
      <c r="AE23" s="136" t="s">
        <v>32</v>
      </c>
      <c r="AF23" s="136"/>
      <c r="AG23" s="136"/>
      <c r="AH23" s="136" t="s">
        <v>77</v>
      </c>
      <c r="AI23" s="214"/>
      <c r="AJ23" s="214"/>
      <c r="AK23" s="136"/>
      <c r="AL23" s="136"/>
      <c r="AM23" s="136"/>
      <c r="AN23" s="137"/>
      <c r="AO23" s="137"/>
      <c r="AP23" s="137"/>
      <c r="AQ23" s="118"/>
      <c r="AR23" s="118"/>
      <c r="AS23" s="137"/>
      <c r="AT23" s="139"/>
      <c r="AU23" s="140"/>
      <c r="AV23" s="141"/>
      <c r="AW23" s="121">
        <v>6.5</v>
      </c>
      <c r="AX23" s="121">
        <v>4</v>
      </c>
      <c r="AY23" s="122">
        <v>9</v>
      </c>
      <c r="AZ23" s="123">
        <v>15.5</v>
      </c>
      <c r="BA23" s="123">
        <v>5</v>
      </c>
      <c r="BB23" s="123">
        <v>9</v>
      </c>
      <c r="BC23" s="124">
        <v>1.8</v>
      </c>
      <c r="BD23" s="123">
        <v>2</v>
      </c>
      <c r="BE23" s="123">
        <v>0</v>
      </c>
      <c r="BF23" s="123">
        <v>2</v>
      </c>
      <c r="BG23" s="123">
        <v>1</v>
      </c>
      <c r="BH23" s="123">
        <v>0</v>
      </c>
      <c r="BI23" s="123">
        <v>0</v>
      </c>
      <c r="BJ23" s="123">
        <v>0</v>
      </c>
      <c r="BK23" s="123">
        <v>0</v>
      </c>
      <c r="BL23" s="123">
        <v>1</v>
      </c>
      <c r="BM23" s="123">
        <v>4</v>
      </c>
      <c r="BN23" s="123">
        <v>6</v>
      </c>
      <c r="BO23" s="123">
        <v>10</v>
      </c>
      <c r="BP23" s="123">
        <v>18</v>
      </c>
      <c r="BQ23" s="125">
        <v>55.555555555555557</v>
      </c>
      <c r="BR23" s="123">
        <v>1</v>
      </c>
      <c r="BS23" s="123">
        <v>0</v>
      </c>
      <c r="BT23" s="126">
        <v>1</v>
      </c>
    </row>
    <row r="24" spans="1:72" ht="16" x14ac:dyDescent="0.25">
      <c r="A24" s="155"/>
      <c r="B24" s="208" t="s">
        <v>108</v>
      </c>
      <c r="C24" s="152">
        <v>86</v>
      </c>
      <c r="D24" s="225" t="s">
        <v>29</v>
      </c>
      <c r="E24" s="136"/>
      <c r="F24" s="136"/>
      <c r="G24" s="214"/>
      <c r="H24" s="214" t="s">
        <v>19</v>
      </c>
      <c r="I24" s="136"/>
      <c r="J24" s="136"/>
      <c r="K24" s="136"/>
      <c r="L24" s="136" t="s">
        <v>77</v>
      </c>
      <c r="M24" s="136"/>
      <c r="N24" s="214"/>
      <c r="O24" s="214"/>
      <c r="P24" s="136" t="s">
        <v>32</v>
      </c>
      <c r="Q24" s="136"/>
      <c r="R24" s="136"/>
      <c r="S24" s="136"/>
      <c r="T24" s="136"/>
      <c r="U24" s="214"/>
      <c r="V24" s="216" t="s">
        <v>29</v>
      </c>
      <c r="W24" s="136"/>
      <c r="X24" s="136"/>
      <c r="Y24" s="136"/>
      <c r="Z24" s="136"/>
      <c r="AA24" s="136"/>
      <c r="AB24" s="205" t="s">
        <v>32</v>
      </c>
      <c r="AC24" s="221"/>
      <c r="AD24" s="136"/>
      <c r="AE24" s="136" t="s">
        <v>30</v>
      </c>
      <c r="AF24" s="136"/>
      <c r="AG24" s="136"/>
      <c r="AH24" s="136"/>
      <c r="AI24" s="214"/>
      <c r="AJ24" s="214"/>
      <c r="AK24" s="136"/>
      <c r="AL24" s="136"/>
      <c r="AM24" s="136"/>
      <c r="AN24" s="118"/>
      <c r="AO24" s="137"/>
      <c r="AP24" s="118"/>
      <c r="AQ24" s="118"/>
      <c r="AR24" s="137"/>
      <c r="AS24" s="137"/>
      <c r="AT24" s="139"/>
      <c r="AU24" s="140"/>
      <c r="AV24" s="141"/>
      <c r="AW24" s="121">
        <v>17</v>
      </c>
      <c r="AX24" s="121">
        <v>11.5</v>
      </c>
      <c r="AY24" s="122">
        <v>7</v>
      </c>
      <c r="AZ24" s="123">
        <v>24</v>
      </c>
      <c r="BA24" s="123">
        <v>5</v>
      </c>
      <c r="BB24" s="123">
        <v>16</v>
      </c>
      <c r="BC24" s="124">
        <v>1.4</v>
      </c>
      <c r="BD24" s="123">
        <v>2</v>
      </c>
      <c r="BE24" s="123">
        <v>0</v>
      </c>
      <c r="BF24" s="123">
        <v>1</v>
      </c>
      <c r="BG24" s="123">
        <v>1</v>
      </c>
      <c r="BH24" s="123">
        <v>1</v>
      </c>
      <c r="BI24" s="123">
        <v>0</v>
      </c>
      <c r="BJ24" s="123">
        <v>0</v>
      </c>
      <c r="BK24" s="123">
        <v>0</v>
      </c>
      <c r="BL24" s="123">
        <v>1</v>
      </c>
      <c r="BM24" s="123">
        <v>15</v>
      </c>
      <c r="BN24" s="123">
        <v>6</v>
      </c>
      <c r="BO24" s="123">
        <v>21</v>
      </c>
      <c r="BP24" s="123">
        <v>35</v>
      </c>
      <c r="BQ24" s="125">
        <v>60</v>
      </c>
      <c r="BR24" s="123">
        <v>2</v>
      </c>
      <c r="BS24" s="123">
        <v>0</v>
      </c>
      <c r="BT24" s="126">
        <v>2</v>
      </c>
    </row>
    <row r="25" spans="1:72" ht="16" x14ac:dyDescent="0.25">
      <c r="A25" s="156"/>
      <c r="B25" s="148" t="s">
        <v>105</v>
      </c>
      <c r="C25" s="152">
        <v>86</v>
      </c>
      <c r="D25" s="136"/>
      <c r="E25" s="136" t="s">
        <v>30</v>
      </c>
      <c r="F25" s="136"/>
      <c r="G25" s="214"/>
      <c r="H25" s="214"/>
      <c r="I25" s="136"/>
      <c r="J25" s="136"/>
      <c r="K25" s="136"/>
      <c r="L25" s="199" t="s">
        <v>32</v>
      </c>
      <c r="M25" s="136"/>
      <c r="N25" s="214" t="s">
        <v>21</v>
      </c>
      <c r="O25" s="214" t="s">
        <v>77</v>
      </c>
      <c r="P25" s="136"/>
      <c r="Q25" s="136"/>
      <c r="R25" s="199" t="s">
        <v>30</v>
      </c>
      <c r="S25" s="205"/>
      <c r="T25" s="136"/>
      <c r="U25" s="216" t="s">
        <v>30</v>
      </c>
      <c r="V25" s="214"/>
      <c r="W25" s="136"/>
      <c r="X25" s="136"/>
      <c r="Y25" s="136" t="s">
        <v>32</v>
      </c>
      <c r="Z25" s="205"/>
      <c r="AA25" s="136"/>
      <c r="AB25" s="214" t="s">
        <v>85</v>
      </c>
      <c r="AC25" s="214"/>
      <c r="AD25" s="136" t="s">
        <v>83</v>
      </c>
      <c r="AE25" s="136" t="s">
        <v>83</v>
      </c>
      <c r="AF25" s="136" t="s">
        <v>83</v>
      </c>
      <c r="AG25" s="136" t="s">
        <v>83</v>
      </c>
      <c r="AH25" s="136" t="s">
        <v>83</v>
      </c>
      <c r="AI25" s="214" t="s">
        <v>130</v>
      </c>
      <c r="AJ25" s="214" t="s">
        <v>130</v>
      </c>
      <c r="AK25" s="136"/>
      <c r="AL25" s="136" t="s">
        <v>32</v>
      </c>
      <c r="AM25" s="136"/>
      <c r="AN25" s="118"/>
      <c r="AO25" s="118"/>
      <c r="AP25" s="118"/>
      <c r="AQ25" s="118"/>
      <c r="AR25" s="118"/>
      <c r="AS25" s="137"/>
      <c r="AT25" s="119"/>
      <c r="AU25" s="120"/>
      <c r="AW25" s="121">
        <v>17.5</v>
      </c>
      <c r="AX25" s="121">
        <v>14.5</v>
      </c>
      <c r="AY25" s="122">
        <v>6.5</v>
      </c>
      <c r="AZ25" s="123">
        <v>24</v>
      </c>
      <c r="BA25" s="123">
        <v>5</v>
      </c>
      <c r="BB25" s="123">
        <v>19.5</v>
      </c>
      <c r="BC25" s="124">
        <v>1.3</v>
      </c>
      <c r="BD25" s="123">
        <v>4</v>
      </c>
      <c r="BE25" s="123">
        <v>0</v>
      </c>
      <c r="BF25" s="123">
        <v>1</v>
      </c>
      <c r="BG25" s="123">
        <v>0</v>
      </c>
      <c r="BH25" s="123">
        <v>0</v>
      </c>
      <c r="BI25" s="123">
        <v>0</v>
      </c>
      <c r="BJ25" s="123">
        <v>1</v>
      </c>
      <c r="BK25" s="123">
        <v>0</v>
      </c>
      <c r="BL25" s="123">
        <v>1</v>
      </c>
      <c r="BM25" s="123">
        <v>15</v>
      </c>
      <c r="BN25" s="123">
        <v>7</v>
      </c>
      <c r="BO25" s="123">
        <v>22</v>
      </c>
      <c r="BP25" s="123">
        <v>35</v>
      </c>
      <c r="BQ25" s="125">
        <v>62.857142857142854</v>
      </c>
      <c r="BR25" s="123">
        <v>6</v>
      </c>
      <c r="BS25" s="123">
        <v>1</v>
      </c>
      <c r="BT25" s="126">
        <v>7</v>
      </c>
    </row>
    <row r="26" spans="1:72" ht="16" x14ac:dyDescent="0.25">
      <c r="A26" s="158"/>
      <c r="B26" s="148" t="s">
        <v>119</v>
      </c>
      <c r="C26" s="152">
        <v>86</v>
      </c>
      <c r="D26" s="136"/>
      <c r="E26" s="136"/>
      <c r="F26" s="136" t="s">
        <v>77</v>
      </c>
      <c r="G26" s="214"/>
      <c r="H26" s="214"/>
      <c r="I26" s="136"/>
      <c r="J26" s="136" t="s">
        <v>31</v>
      </c>
      <c r="K26" s="136"/>
      <c r="L26" s="205"/>
      <c r="M26" s="136"/>
      <c r="N26" s="214" t="s">
        <v>85</v>
      </c>
      <c r="O26" s="216" t="s">
        <v>20</v>
      </c>
      <c r="P26" s="136" t="s">
        <v>85</v>
      </c>
      <c r="Q26" s="136"/>
      <c r="R26" s="136"/>
      <c r="S26" s="136"/>
      <c r="T26" s="136" t="s">
        <v>30</v>
      </c>
      <c r="U26" s="214"/>
      <c r="V26" s="214"/>
      <c r="W26" s="136"/>
      <c r="X26" s="136"/>
      <c r="Y26" s="205"/>
      <c r="Z26" s="136"/>
      <c r="AA26" s="136" t="s">
        <v>31</v>
      </c>
      <c r="AB26" s="214"/>
      <c r="AC26" s="216"/>
      <c r="AD26" s="136"/>
      <c r="AE26" s="136"/>
      <c r="AF26" s="136"/>
      <c r="AG26" s="136"/>
      <c r="AH26" s="136"/>
      <c r="AI26" s="214" t="s">
        <v>32</v>
      </c>
      <c r="AJ26" s="214"/>
      <c r="AK26" s="136"/>
      <c r="AL26" s="136"/>
      <c r="AM26" s="136"/>
      <c r="AN26" s="118"/>
      <c r="AO26" s="118"/>
      <c r="AP26" s="118"/>
      <c r="AQ26" s="118"/>
      <c r="AR26" s="118"/>
      <c r="AS26" s="118"/>
      <c r="AT26" s="119"/>
      <c r="AU26" s="120"/>
      <c r="AW26" s="121">
        <v>12.5</v>
      </c>
      <c r="AX26" s="121">
        <v>8.5</v>
      </c>
      <c r="AY26" s="122">
        <v>6.5</v>
      </c>
      <c r="AZ26" s="123">
        <v>19</v>
      </c>
      <c r="BA26" s="123">
        <v>4</v>
      </c>
      <c r="BB26" s="123">
        <v>12.5</v>
      </c>
      <c r="BC26" s="124">
        <v>1.625</v>
      </c>
      <c r="BD26" s="123">
        <v>1</v>
      </c>
      <c r="BE26" s="123">
        <v>2</v>
      </c>
      <c r="BF26" s="123">
        <v>1</v>
      </c>
      <c r="BG26" s="123">
        <v>0</v>
      </c>
      <c r="BH26" s="123">
        <v>0</v>
      </c>
      <c r="BI26" s="123">
        <v>1</v>
      </c>
      <c r="BJ26" s="123">
        <v>0</v>
      </c>
      <c r="BK26" s="123">
        <v>0</v>
      </c>
      <c r="BL26" s="123">
        <v>1</v>
      </c>
      <c r="BM26" s="123">
        <v>9</v>
      </c>
      <c r="BN26" s="123">
        <v>6</v>
      </c>
      <c r="BO26" s="123">
        <v>15</v>
      </c>
      <c r="BP26" s="123">
        <v>26</v>
      </c>
      <c r="BQ26" s="125">
        <v>57.692307692307686</v>
      </c>
      <c r="BR26" s="123">
        <v>1</v>
      </c>
      <c r="BS26" s="123">
        <v>1</v>
      </c>
      <c r="BT26" s="126">
        <v>2</v>
      </c>
    </row>
    <row r="27" spans="1:72" ht="16" x14ac:dyDescent="0.25">
      <c r="A27" s="158"/>
      <c r="B27" s="208" t="s">
        <v>125</v>
      </c>
      <c r="C27" s="152">
        <v>86</v>
      </c>
      <c r="D27" s="136"/>
      <c r="E27" s="136"/>
      <c r="F27" s="136" t="s">
        <v>34</v>
      </c>
      <c r="G27" s="214"/>
      <c r="H27" s="214"/>
      <c r="I27" s="136"/>
      <c r="J27" s="136"/>
      <c r="K27" s="199" t="s">
        <v>31</v>
      </c>
      <c r="L27" s="136"/>
      <c r="M27" s="136"/>
      <c r="N27" s="214" t="s">
        <v>77</v>
      </c>
      <c r="O27" s="214"/>
      <c r="P27" s="136"/>
      <c r="Q27" s="136"/>
      <c r="R27" s="136" t="s">
        <v>31</v>
      </c>
      <c r="S27" s="136"/>
      <c r="T27" s="136"/>
      <c r="U27" s="214" t="s">
        <v>31</v>
      </c>
      <c r="V27" s="214"/>
      <c r="W27" s="136"/>
      <c r="X27" s="136"/>
      <c r="Y27" s="136"/>
      <c r="Z27" s="136"/>
      <c r="AA27" s="136"/>
      <c r="AB27" s="214"/>
      <c r="AC27" s="216"/>
      <c r="AD27" s="136" t="s">
        <v>31</v>
      </c>
      <c r="AE27" s="136"/>
      <c r="AF27" s="136"/>
      <c r="AG27" s="136"/>
      <c r="AH27" s="136"/>
      <c r="AI27" s="214" t="s">
        <v>19</v>
      </c>
      <c r="AJ27" s="214"/>
      <c r="AK27" s="136"/>
      <c r="AL27" s="136"/>
      <c r="AM27" s="136" t="s">
        <v>77</v>
      </c>
      <c r="AN27" s="118"/>
      <c r="AO27" s="118"/>
      <c r="AP27" s="118"/>
      <c r="AQ27" s="118"/>
      <c r="AR27" s="118"/>
      <c r="AS27" s="118"/>
      <c r="AT27" s="119"/>
      <c r="AU27" s="120"/>
      <c r="AW27" s="121">
        <v>6</v>
      </c>
      <c r="AX27" s="121">
        <v>5.5</v>
      </c>
      <c r="AY27" s="122">
        <v>7.5</v>
      </c>
      <c r="AZ27" s="123">
        <v>13.5</v>
      </c>
      <c r="BA27" s="123">
        <v>6</v>
      </c>
      <c r="BB27" s="123">
        <v>11</v>
      </c>
      <c r="BC27" s="124">
        <v>1.25</v>
      </c>
      <c r="BD27" s="123">
        <v>3</v>
      </c>
      <c r="BE27" s="123">
        <v>1</v>
      </c>
      <c r="BF27" s="123">
        <v>1</v>
      </c>
      <c r="BG27" s="123">
        <v>0</v>
      </c>
      <c r="BH27" s="123">
        <v>1</v>
      </c>
      <c r="BI27" s="123">
        <v>0</v>
      </c>
      <c r="BJ27" s="123">
        <v>0</v>
      </c>
      <c r="BK27" s="123">
        <v>0</v>
      </c>
      <c r="BL27" s="123">
        <v>2</v>
      </c>
      <c r="BM27" s="123">
        <v>5</v>
      </c>
      <c r="BN27" s="123">
        <v>6</v>
      </c>
      <c r="BO27" s="123">
        <v>11</v>
      </c>
      <c r="BP27" s="123">
        <v>18</v>
      </c>
      <c r="BQ27" s="125">
        <v>61.111111111111114</v>
      </c>
      <c r="BR27" s="123">
        <v>0</v>
      </c>
      <c r="BS27" s="123">
        <v>0</v>
      </c>
      <c r="BT27" s="126">
        <v>0</v>
      </c>
    </row>
    <row r="28" spans="1:72" ht="16" x14ac:dyDescent="0.25">
      <c r="A28" s="158"/>
      <c r="B28" s="153" t="s">
        <v>110</v>
      </c>
      <c r="C28" s="157">
        <v>62</v>
      </c>
      <c r="D28" s="136"/>
      <c r="E28" s="136" t="s">
        <v>29</v>
      </c>
      <c r="F28" s="136"/>
      <c r="G28" s="214" t="s">
        <v>20</v>
      </c>
      <c r="H28" s="214"/>
      <c r="I28" s="136"/>
      <c r="J28" s="136"/>
      <c r="K28" s="136"/>
      <c r="L28" s="199" t="s">
        <v>31</v>
      </c>
      <c r="M28" s="136"/>
      <c r="N28" s="214"/>
      <c r="O28" s="214"/>
      <c r="P28" s="136"/>
      <c r="Q28" s="205" t="s">
        <v>29</v>
      </c>
      <c r="R28" s="136"/>
      <c r="S28" s="136" t="s">
        <v>83</v>
      </c>
      <c r="T28" s="136" t="s">
        <v>83</v>
      </c>
      <c r="U28" s="214" t="s">
        <v>85</v>
      </c>
      <c r="V28" s="214" t="s">
        <v>85</v>
      </c>
      <c r="W28" s="136"/>
      <c r="X28" s="136"/>
      <c r="Y28" s="136"/>
      <c r="Z28" s="205" t="s">
        <v>29</v>
      </c>
      <c r="AA28" s="136"/>
      <c r="AB28" s="214"/>
      <c r="AC28" s="214" t="s">
        <v>77</v>
      </c>
      <c r="AD28" s="136"/>
      <c r="AE28" s="136"/>
      <c r="AF28" s="136" t="s">
        <v>32</v>
      </c>
      <c r="AG28" s="136"/>
      <c r="AH28" s="136"/>
      <c r="AI28" s="214"/>
      <c r="AJ28" s="214" t="s">
        <v>31</v>
      </c>
      <c r="AK28" s="136"/>
      <c r="AL28" s="136"/>
      <c r="AM28" s="136"/>
      <c r="AN28" s="118"/>
      <c r="AO28" s="118"/>
      <c r="AP28" s="118"/>
      <c r="AQ28" s="118"/>
      <c r="AR28" s="118"/>
      <c r="AS28" s="118"/>
      <c r="AT28" s="119"/>
      <c r="AU28" s="120"/>
      <c r="AW28" s="121">
        <v>17</v>
      </c>
      <c r="AX28" s="121">
        <v>12</v>
      </c>
      <c r="AY28" s="122">
        <v>6</v>
      </c>
      <c r="AZ28" s="123">
        <v>23</v>
      </c>
      <c r="BA28" s="123">
        <v>5</v>
      </c>
      <c r="BB28" s="123">
        <v>17</v>
      </c>
      <c r="BC28" s="124">
        <v>1.2</v>
      </c>
      <c r="BD28" s="123">
        <v>4</v>
      </c>
      <c r="BE28" s="123">
        <v>0</v>
      </c>
      <c r="BF28" s="123">
        <v>0</v>
      </c>
      <c r="BG28" s="123">
        <v>1</v>
      </c>
      <c r="BH28" s="123">
        <v>0</v>
      </c>
      <c r="BI28" s="123">
        <v>1</v>
      </c>
      <c r="BJ28" s="123">
        <v>0</v>
      </c>
      <c r="BK28" s="123">
        <v>0</v>
      </c>
      <c r="BL28" s="123">
        <v>1</v>
      </c>
      <c r="BM28" s="123">
        <v>14</v>
      </c>
      <c r="BN28" s="123">
        <v>7</v>
      </c>
      <c r="BO28" s="123">
        <v>21</v>
      </c>
      <c r="BP28" s="123">
        <v>35</v>
      </c>
      <c r="BQ28" s="125">
        <v>60</v>
      </c>
      <c r="BR28" s="123">
        <v>4</v>
      </c>
      <c r="BS28" s="123">
        <v>1</v>
      </c>
      <c r="BT28" s="126">
        <v>5</v>
      </c>
    </row>
    <row r="29" spans="1:72" ht="16" x14ac:dyDescent="0.25">
      <c r="A29" s="158"/>
      <c r="B29" s="153" t="s">
        <v>115</v>
      </c>
      <c r="C29" s="157">
        <v>62</v>
      </c>
      <c r="D29" s="136"/>
      <c r="E29" s="136"/>
      <c r="F29" s="136"/>
      <c r="G29" s="214" t="s">
        <v>29</v>
      </c>
      <c r="H29" s="214"/>
      <c r="I29" s="136"/>
      <c r="J29" s="136"/>
      <c r="K29" s="136"/>
      <c r="L29" s="136"/>
      <c r="M29" s="136"/>
      <c r="N29" s="214" t="s">
        <v>20</v>
      </c>
      <c r="O29" s="214"/>
      <c r="P29" s="136"/>
      <c r="Q29" s="136"/>
      <c r="R29" s="136"/>
      <c r="S29" s="136" t="s">
        <v>77</v>
      </c>
      <c r="T29" s="136"/>
      <c r="U29" s="214" t="s">
        <v>85</v>
      </c>
      <c r="V29" s="214"/>
      <c r="W29" s="199" t="s">
        <v>29</v>
      </c>
      <c r="X29" s="205"/>
      <c r="Y29" s="136"/>
      <c r="Z29" s="199"/>
      <c r="AA29" s="136"/>
      <c r="AB29" s="214" t="s">
        <v>85</v>
      </c>
      <c r="AC29" s="214"/>
      <c r="AD29" s="136" t="s">
        <v>83</v>
      </c>
      <c r="AE29" s="136" t="s">
        <v>83</v>
      </c>
      <c r="AF29" s="136"/>
      <c r="AG29" s="136"/>
      <c r="AH29" s="136"/>
      <c r="AI29" s="214"/>
      <c r="AJ29" s="214" t="s">
        <v>29</v>
      </c>
      <c r="AK29" s="136"/>
      <c r="AL29" s="136"/>
      <c r="AM29" s="136"/>
      <c r="AN29" s="118"/>
      <c r="AO29" s="118"/>
      <c r="AP29" s="118"/>
      <c r="AQ29" s="118"/>
      <c r="AR29" s="118"/>
      <c r="AS29" s="118"/>
      <c r="AT29" s="119"/>
      <c r="AU29" s="120"/>
      <c r="AW29" s="121">
        <v>19</v>
      </c>
      <c r="AX29" s="121">
        <v>13</v>
      </c>
      <c r="AY29" s="122">
        <v>8</v>
      </c>
      <c r="AZ29" s="123">
        <v>27</v>
      </c>
      <c r="BA29" s="123">
        <v>4</v>
      </c>
      <c r="BB29" s="123">
        <v>17</v>
      </c>
      <c r="BC29" s="124">
        <v>2</v>
      </c>
      <c r="BD29" s="123">
        <v>1</v>
      </c>
      <c r="BE29" s="123">
        <v>0</v>
      </c>
      <c r="BF29" s="123">
        <v>2</v>
      </c>
      <c r="BG29" s="123">
        <v>1</v>
      </c>
      <c r="BH29" s="123">
        <v>0</v>
      </c>
      <c r="BI29" s="123">
        <v>1</v>
      </c>
      <c r="BJ29" s="123">
        <v>0</v>
      </c>
      <c r="BK29" s="123">
        <v>0</v>
      </c>
      <c r="BL29" s="123">
        <v>1</v>
      </c>
      <c r="BM29" s="123">
        <v>14</v>
      </c>
      <c r="BN29" s="123">
        <v>6</v>
      </c>
      <c r="BO29" s="123">
        <v>20</v>
      </c>
      <c r="BP29" s="123">
        <v>35</v>
      </c>
      <c r="BQ29" s="125">
        <v>57.142857142857139</v>
      </c>
      <c r="BR29" s="123">
        <v>2</v>
      </c>
      <c r="BS29" s="123">
        <v>1</v>
      </c>
      <c r="BT29" s="126">
        <v>3</v>
      </c>
    </row>
    <row r="30" spans="1:72" ht="16" x14ac:dyDescent="0.25">
      <c r="A30" s="160" t="s">
        <v>71</v>
      </c>
      <c r="B30" s="153" t="s">
        <v>102</v>
      </c>
      <c r="C30" s="157">
        <v>62</v>
      </c>
      <c r="D30" s="136"/>
      <c r="E30" s="136"/>
      <c r="F30" s="136" t="s">
        <v>29</v>
      </c>
      <c r="G30" s="214"/>
      <c r="H30" s="214"/>
      <c r="I30" s="136" t="s">
        <v>32</v>
      </c>
      <c r="J30" s="136"/>
      <c r="K30" s="136"/>
      <c r="L30" s="205"/>
      <c r="M30" s="136"/>
      <c r="N30" s="214"/>
      <c r="O30" s="214" t="s">
        <v>29</v>
      </c>
      <c r="P30" s="136"/>
      <c r="Q30" s="136"/>
      <c r="R30" s="136"/>
      <c r="S30" s="136"/>
      <c r="T30" s="136"/>
      <c r="U30" s="214" t="s">
        <v>85</v>
      </c>
      <c r="V30" s="214" t="s">
        <v>20</v>
      </c>
      <c r="W30" s="136" t="s">
        <v>32</v>
      </c>
      <c r="X30" s="136"/>
      <c r="Y30" s="136"/>
      <c r="Z30" s="136"/>
      <c r="AA30" s="136"/>
      <c r="AB30" s="214" t="s">
        <v>19</v>
      </c>
      <c r="AC30" s="214"/>
      <c r="AD30" s="199"/>
      <c r="AE30" s="136"/>
      <c r="AF30" s="136"/>
      <c r="AG30" s="205"/>
      <c r="AH30" s="136"/>
      <c r="AI30" s="214" t="s">
        <v>85</v>
      </c>
      <c r="AJ30" s="214"/>
      <c r="AK30" s="136"/>
      <c r="AL30" s="136" t="s">
        <v>77</v>
      </c>
      <c r="AM30" s="136"/>
      <c r="AN30" s="117"/>
      <c r="AO30" s="117"/>
      <c r="AP30" s="117"/>
      <c r="AQ30" s="117"/>
      <c r="AR30" s="117"/>
      <c r="AS30" s="117"/>
      <c r="AT30" s="119"/>
      <c r="AU30" s="120"/>
      <c r="AW30" s="121">
        <v>18</v>
      </c>
      <c r="AX30" s="121">
        <v>12.5</v>
      </c>
      <c r="AY30" s="122">
        <v>6</v>
      </c>
      <c r="AZ30" s="123">
        <v>24</v>
      </c>
      <c r="BA30" s="123">
        <v>5</v>
      </c>
      <c r="BB30" s="123">
        <v>17</v>
      </c>
      <c r="BC30" s="124">
        <v>1.2</v>
      </c>
      <c r="BD30" s="123">
        <v>2</v>
      </c>
      <c r="BE30" s="123">
        <v>1</v>
      </c>
      <c r="BF30" s="123">
        <v>0</v>
      </c>
      <c r="BG30" s="123">
        <v>1</v>
      </c>
      <c r="BH30" s="123">
        <v>1</v>
      </c>
      <c r="BI30" s="123">
        <v>1</v>
      </c>
      <c r="BJ30" s="123">
        <v>0</v>
      </c>
      <c r="BK30" s="123">
        <v>0</v>
      </c>
      <c r="BL30" s="123">
        <v>1</v>
      </c>
      <c r="BM30" s="123">
        <v>14</v>
      </c>
      <c r="BN30" s="123">
        <v>6</v>
      </c>
      <c r="BO30" s="123">
        <v>20</v>
      </c>
      <c r="BP30" s="123">
        <v>35</v>
      </c>
      <c r="BQ30" s="125">
        <v>57.142857142857139</v>
      </c>
      <c r="BR30" s="123">
        <v>2</v>
      </c>
      <c r="BS30" s="123">
        <v>1</v>
      </c>
      <c r="BT30" s="126">
        <v>3</v>
      </c>
    </row>
    <row r="31" spans="1:72" ht="16" x14ac:dyDescent="0.25">
      <c r="A31" s="187"/>
      <c r="B31" s="153" t="s">
        <v>118</v>
      </c>
      <c r="C31" s="157">
        <v>62</v>
      </c>
      <c r="D31" s="136"/>
      <c r="E31" s="136" t="s">
        <v>83</v>
      </c>
      <c r="F31" s="136" t="s">
        <v>83</v>
      </c>
      <c r="G31" s="214"/>
      <c r="H31" s="216"/>
      <c r="I31" s="136" t="s">
        <v>29</v>
      </c>
      <c r="J31" s="136"/>
      <c r="K31" s="136"/>
      <c r="L31" s="136" t="s">
        <v>29</v>
      </c>
      <c r="M31" s="136"/>
      <c r="N31" s="219"/>
      <c r="O31" s="214"/>
      <c r="P31" s="136"/>
      <c r="Q31" s="136" t="s">
        <v>32</v>
      </c>
      <c r="R31" s="136"/>
      <c r="S31" s="136"/>
      <c r="T31" s="136"/>
      <c r="U31" s="214" t="s">
        <v>34</v>
      </c>
      <c r="V31" s="214"/>
      <c r="W31" s="136"/>
      <c r="X31" s="136"/>
      <c r="Y31" s="136"/>
      <c r="Z31" s="136"/>
      <c r="AA31" s="136"/>
      <c r="AB31" s="214" t="s">
        <v>21</v>
      </c>
      <c r="AC31" s="214"/>
      <c r="AD31" s="136"/>
      <c r="AE31" s="136" t="s">
        <v>29</v>
      </c>
      <c r="AF31" s="136"/>
      <c r="AG31" s="136"/>
      <c r="AH31" s="136"/>
      <c r="AI31" s="214" t="s">
        <v>21</v>
      </c>
      <c r="AJ31" s="214"/>
      <c r="AK31" s="136" t="s">
        <v>32</v>
      </c>
      <c r="AL31" s="136"/>
      <c r="AM31" s="136"/>
      <c r="AN31" s="117"/>
      <c r="AO31" s="117"/>
      <c r="AP31" s="117"/>
      <c r="AQ31" s="117"/>
      <c r="AR31" s="117"/>
      <c r="AS31" s="117"/>
      <c r="AT31" s="119"/>
      <c r="AU31" s="120"/>
      <c r="AW31" s="121">
        <v>11.5</v>
      </c>
      <c r="AX31" s="121">
        <v>7.5</v>
      </c>
      <c r="AY31" s="122">
        <v>7.5</v>
      </c>
      <c r="AZ31" s="123">
        <v>19</v>
      </c>
      <c r="BA31" s="123">
        <v>6</v>
      </c>
      <c r="BB31" s="123">
        <v>13.5</v>
      </c>
      <c r="BC31" s="124">
        <v>1.25</v>
      </c>
      <c r="BD31" s="123">
        <v>5</v>
      </c>
      <c r="BE31" s="123">
        <v>0</v>
      </c>
      <c r="BF31" s="123">
        <v>1</v>
      </c>
      <c r="BG31" s="123">
        <v>0</v>
      </c>
      <c r="BH31" s="123">
        <v>0</v>
      </c>
      <c r="BI31" s="123">
        <v>0</v>
      </c>
      <c r="BJ31" s="123">
        <v>2</v>
      </c>
      <c r="BK31" s="123">
        <v>0</v>
      </c>
      <c r="BL31" s="123">
        <v>0</v>
      </c>
      <c r="BM31" s="123">
        <v>9</v>
      </c>
      <c r="BN31" s="123">
        <v>6</v>
      </c>
      <c r="BO31" s="123">
        <v>15</v>
      </c>
      <c r="BP31" s="123">
        <v>26</v>
      </c>
      <c r="BQ31" s="125">
        <v>57.692307692307686</v>
      </c>
      <c r="BR31" s="123">
        <v>1</v>
      </c>
      <c r="BS31" s="123">
        <v>2</v>
      </c>
      <c r="BT31" s="126">
        <v>3</v>
      </c>
    </row>
    <row r="32" spans="1:72" ht="16" x14ac:dyDescent="0.25">
      <c r="A32" s="187"/>
      <c r="B32" s="153" t="s">
        <v>128</v>
      </c>
      <c r="C32" s="157">
        <v>62</v>
      </c>
      <c r="D32" s="136"/>
      <c r="E32" s="136" t="s">
        <v>83</v>
      </c>
      <c r="F32" s="136" t="s">
        <v>83</v>
      </c>
      <c r="G32" s="214" t="s">
        <v>85</v>
      </c>
      <c r="H32" s="214" t="s">
        <v>85</v>
      </c>
      <c r="I32" s="136"/>
      <c r="J32" s="136"/>
      <c r="K32" s="136" t="s">
        <v>32</v>
      </c>
      <c r="L32" s="136"/>
      <c r="M32" s="136"/>
      <c r="N32" s="214"/>
      <c r="O32" s="214" t="s">
        <v>81</v>
      </c>
      <c r="P32" s="136"/>
      <c r="Q32" s="136"/>
      <c r="R32" s="136"/>
      <c r="S32" s="136"/>
      <c r="T32" s="136" t="s">
        <v>77</v>
      </c>
      <c r="U32" s="214"/>
      <c r="V32" s="214"/>
      <c r="W32" s="136" t="s">
        <v>31</v>
      </c>
      <c r="X32" s="136"/>
      <c r="Y32" s="136"/>
      <c r="Z32" s="136"/>
      <c r="AA32" s="136" t="s">
        <v>29</v>
      </c>
      <c r="AB32" s="214"/>
      <c r="AC32" s="214"/>
      <c r="AD32" s="136"/>
      <c r="AE32" s="136"/>
      <c r="AF32" s="205"/>
      <c r="AG32" s="136"/>
      <c r="AH32" s="136"/>
      <c r="AI32" s="214" t="s">
        <v>29</v>
      </c>
      <c r="AJ32" s="214"/>
      <c r="AK32" s="136"/>
      <c r="AL32" s="136"/>
      <c r="AM32" s="136" t="s">
        <v>34</v>
      </c>
      <c r="AN32" s="117"/>
      <c r="AO32" s="117"/>
      <c r="AP32" s="117"/>
      <c r="AQ32" s="117"/>
      <c r="AR32" s="117"/>
      <c r="AS32" s="117"/>
      <c r="AT32" s="119"/>
      <c r="AU32" s="120"/>
      <c r="AW32" s="121">
        <v>5</v>
      </c>
      <c r="AX32" s="121">
        <v>3.5</v>
      </c>
      <c r="AY32" s="122">
        <v>7</v>
      </c>
      <c r="AZ32" s="123">
        <v>12</v>
      </c>
      <c r="BA32" s="123">
        <v>5</v>
      </c>
      <c r="BB32" s="123">
        <v>8.5</v>
      </c>
      <c r="BC32" s="124">
        <v>1.4</v>
      </c>
      <c r="BD32" s="123">
        <v>3</v>
      </c>
      <c r="BE32" s="123">
        <v>1</v>
      </c>
      <c r="BF32" s="123">
        <v>1</v>
      </c>
      <c r="BG32" s="123">
        <v>0</v>
      </c>
      <c r="BH32" s="123">
        <v>0</v>
      </c>
      <c r="BI32" s="123">
        <v>0</v>
      </c>
      <c r="BJ32" s="123">
        <v>0</v>
      </c>
      <c r="BK32" s="123">
        <v>1</v>
      </c>
      <c r="BL32" s="123">
        <v>1</v>
      </c>
      <c r="BM32" s="123">
        <v>4</v>
      </c>
      <c r="BN32" s="123">
        <v>6</v>
      </c>
      <c r="BO32" s="123">
        <v>10</v>
      </c>
      <c r="BP32" s="123">
        <v>18</v>
      </c>
      <c r="BQ32" s="125">
        <v>55.555555555555557</v>
      </c>
      <c r="BR32" s="123">
        <v>0</v>
      </c>
      <c r="BS32" s="123">
        <v>1</v>
      </c>
      <c r="BT32" s="126">
        <v>1</v>
      </c>
    </row>
    <row r="33" spans="1:72" ht="16" x14ac:dyDescent="0.25">
      <c r="A33" s="187"/>
      <c r="B33" s="153" t="s">
        <v>114</v>
      </c>
      <c r="C33" s="157">
        <v>75</v>
      </c>
      <c r="D33" s="136"/>
      <c r="E33" s="136"/>
      <c r="F33" s="136"/>
      <c r="G33" s="214" t="s">
        <v>21</v>
      </c>
      <c r="H33" s="214"/>
      <c r="I33" s="136" t="s">
        <v>31</v>
      </c>
      <c r="J33" s="136"/>
      <c r="K33" s="136"/>
      <c r="L33" s="136"/>
      <c r="M33" s="205" t="s">
        <v>29</v>
      </c>
      <c r="N33" s="214"/>
      <c r="O33" s="214"/>
      <c r="P33" s="136"/>
      <c r="Q33" s="136"/>
      <c r="R33" s="136"/>
      <c r="S33" s="136"/>
      <c r="U33" s="214"/>
      <c r="V33" s="216" t="s">
        <v>32</v>
      </c>
      <c r="W33" s="136"/>
      <c r="X33" s="136"/>
      <c r="Y33" s="205" t="s">
        <v>29</v>
      </c>
      <c r="Z33" s="136"/>
      <c r="AA33" s="136" t="s">
        <v>83</v>
      </c>
      <c r="AB33" s="214" t="s">
        <v>85</v>
      </c>
      <c r="AC33" s="214" t="s">
        <v>85</v>
      </c>
      <c r="AD33" s="136" t="s">
        <v>83</v>
      </c>
      <c r="AE33" s="136" t="s">
        <v>83</v>
      </c>
      <c r="AF33" s="136" t="s">
        <v>83</v>
      </c>
      <c r="AG33" s="136" t="s">
        <v>83</v>
      </c>
      <c r="AH33" s="136" t="s">
        <v>83</v>
      </c>
      <c r="AI33" s="214" t="s">
        <v>130</v>
      </c>
      <c r="AJ33" s="214" t="s">
        <v>130</v>
      </c>
      <c r="AK33" s="136" t="s">
        <v>77</v>
      </c>
      <c r="AL33" s="136"/>
      <c r="AM33" s="136"/>
      <c r="AN33" s="117"/>
      <c r="AO33" s="117"/>
      <c r="AP33" s="117"/>
      <c r="AQ33" s="117"/>
      <c r="AR33" s="117"/>
      <c r="AS33" s="117"/>
      <c r="AT33" s="119"/>
      <c r="AU33" s="120"/>
      <c r="AW33" s="121">
        <v>17.5</v>
      </c>
      <c r="AX33" s="121">
        <v>12.5</v>
      </c>
      <c r="AY33" s="122">
        <v>9.5</v>
      </c>
      <c r="AZ33" s="123">
        <v>27</v>
      </c>
      <c r="BA33" s="123">
        <v>6</v>
      </c>
      <c r="BB33" s="123">
        <v>18.5</v>
      </c>
      <c r="BC33" s="124">
        <v>1.5833333333333333</v>
      </c>
      <c r="BD33" s="123">
        <v>2</v>
      </c>
      <c r="BE33" s="123">
        <v>2</v>
      </c>
      <c r="BF33" s="123">
        <v>1</v>
      </c>
      <c r="BG33" s="123">
        <v>1</v>
      </c>
      <c r="BH33" s="123">
        <v>0</v>
      </c>
      <c r="BI33" s="123">
        <v>0</v>
      </c>
      <c r="BJ33" s="123">
        <v>1</v>
      </c>
      <c r="BK33" s="123">
        <v>0</v>
      </c>
      <c r="BL33" s="123">
        <v>1</v>
      </c>
      <c r="BM33" s="123">
        <v>14</v>
      </c>
      <c r="BN33" s="123">
        <v>6</v>
      </c>
      <c r="BO33" s="123">
        <v>20</v>
      </c>
      <c r="BP33" s="123">
        <v>35</v>
      </c>
      <c r="BQ33" s="125">
        <v>57.142857142857139</v>
      </c>
      <c r="BR33" s="123">
        <v>3</v>
      </c>
      <c r="BS33" s="123">
        <v>1</v>
      </c>
      <c r="BT33" s="126">
        <v>4</v>
      </c>
    </row>
    <row r="34" spans="1:72" ht="16" x14ac:dyDescent="0.25">
      <c r="A34" s="187"/>
      <c r="B34" s="153" t="s">
        <v>126</v>
      </c>
      <c r="C34" s="157">
        <v>75</v>
      </c>
      <c r="D34" s="136"/>
      <c r="E34" s="136" t="s">
        <v>32</v>
      </c>
      <c r="F34" s="136"/>
      <c r="G34" s="214"/>
      <c r="H34" s="214" t="s">
        <v>20</v>
      </c>
      <c r="I34" s="136"/>
      <c r="J34" s="136"/>
      <c r="K34" s="205" t="s">
        <v>29</v>
      </c>
      <c r="L34" s="136"/>
      <c r="M34" s="136" t="s">
        <v>83</v>
      </c>
      <c r="N34" s="214"/>
      <c r="O34" s="214" t="s">
        <v>31</v>
      </c>
      <c r="P34" s="136"/>
      <c r="Q34" s="136" t="s">
        <v>85</v>
      </c>
      <c r="R34" s="199"/>
      <c r="S34" s="136"/>
      <c r="T34" s="199" t="s">
        <v>32</v>
      </c>
      <c r="U34" s="214"/>
      <c r="V34" s="214"/>
      <c r="W34" s="136"/>
      <c r="X34" s="136"/>
      <c r="Y34" s="136"/>
      <c r="Z34" s="205"/>
      <c r="AA34" s="136" t="s">
        <v>77</v>
      </c>
      <c r="AB34" s="214"/>
      <c r="AC34" s="216" t="s">
        <v>21</v>
      </c>
      <c r="AD34" s="136"/>
      <c r="AE34" s="136" t="s">
        <v>31</v>
      </c>
      <c r="AF34" s="136"/>
      <c r="AG34" s="199"/>
      <c r="AH34" s="136" t="s">
        <v>29</v>
      </c>
      <c r="AI34" s="214"/>
      <c r="AJ34" s="214"/>
      <c r="AK34" s="136"/>
      <c r="AL34" s="136"/>
      <c r="AM34" s="136" t="s">
        <v>29</v>
      </c>
      <c r="AN34" s="117"/>
      <c r="AO34" s="117"/>
      <c r="AP34" s="117"/>
      <c r="AQ34" s="117"/>
      <c r="AR34" s="117"/>
      <c r="AS34" s="117"/>
      <c r="AT34" s="119"/>
      <c r="AU34" s="120"/>
      <c r="AW34" s="121">
        <v>7.5</v>
      </c>
      <c r="AX34" s="121">
        <v>7</v>
      </c>
      <c r="AY34" s="122">
        <v>6.5</v>
      </c>
      <c r="AZ34" s="123">
        <v>14</v>
      </c>
      <c r="BA34" s="123">
        <v>5</v>
      </c>
      <c r="BB34" s="123">
        <v>12</v>
      </c>
      <c r="BC34" s="124">
        <v>1.3</v>
      </c>
      <c r="BD34" s="123">
        <v>3</v>
      </c>
      <c r="BE34" s="123">
        <v>1</v>
      </c>
      <c r="BF34" s="123">
        <v>0</v>
      </c>
      <c r="BG34" s="123">
        <v>1</v>
      </c>
      <c r="BH34" s="123">
        <v>0</v>
      </c>
      <c r="BI34" s="123">
        <v>1</v>
      </c>
      <c r="BJ34" s="123">
        <v>1</v>
      </c>
      <c r="BK34" s="123">
        <v>0</v>
      </c>
      <c r="BL34" s="123">
        <v>1</v>
      </c>
      <c r="BM34" s="123">
        <v>5</v>
      </c>
      <c r="BN34" s="123">
        <v>6</v>
      </c>
      <c r="BO34" s="123">
        <v>11</v>
      </c>
      <c r="BP34" s="123">
        <v>18</v>
      </c>
      <c r="BQ34" s="125">
        <v>61.111111111111114</v>
      </c>
      <c r="BR34" s="123">
        <v>1</v>
      </c>
      <c r="BS34" s="123">
        <v>2</v>
      </c>
      <c r="BT34" s="126">
        <v>3</v>
      </c>
    </row>
    <row r="35" spans="1:72" ht="16" x14ac:dyDescent="0.25">
      <c r="A35" s="187"/>
      <c r="B35" s="153" t="s">
        <v>112</v>
      </c>
      <c r="C35" s="157" t="s">
        <v>72</v>
      </c>
      <c r="D35" s="215" t="s">
        <v>34</v>
      </c>
      <c r="E35" s="136"/>
      <c r="F35" s="136"/>
      <c r="G35" s="214"/>
      <c r="H35" s="214" t="s">
        <v>85</v>
      </c>
      <c r="I35" s="136" t="s">
        <v>83</v>
      </c>
      <c r="J35" s="136"/>
      <c r="K35" s="136"/>
      <c r="L35" s="205"/>
      <c r="M35" s="199" t="s">
        <v>32</v>
      </c>
      <c r="N35" s="214"/>
      <c r="O35" s="214"/>
      <c r="P35" s="136" t="s">
        <v>31</v>
      </c>
      <c r="Q35" s="136"/>
      <c r="R35" s="136"/>
      <c r="S35" s="136"/>
      <c r="T35" s="136"/>
      <c r="U35" s="216" t="s">
        <v>29</v>
      </c>
      <c r="V35" s="214" t="s">
        <v>85</v>
      </c>
      <c r="W35" s="136" t="s">
        <v>83</v>
      </c>
      <c r="X35" s="136" t="s">
        <v>83</v>
      </c>
      <c r="Y35" s="199" t="s">
        <v>77</v>
      </c>
      <c r="Z35" s="205"/>
      <c r="AA35" s="136"/>
      <c r="AB35" s="214"/>
      <c r="AC35" s="216" t="s">
        <v>29</v>
      </c>
      <c r="AD35" s="136"/>
      <c r="AE35" s="136"/>
      <c r="AF35" s="136"/>
      <c r="AG35" s="136"/>
      <c r="AH35" s="136"/>
      <c r="AI35" s="214"/>
      <c r="AJ35" s="214"/>
      <c r="AK35" s="136" t="s">
        <v>29</v>
      </c>
      <c r="AL35" s="136"/>
      <c r="AM35" s="136"/>
      <c r="AN35" s="117"/>
      <c r="AO35" s="117"/>
      <c r="AP35" s="117"/>
      <c r="AQ35" s="117"/>
      <c r="AR35" s="117"/>
      <c r="AS35" s="117"/>
      <c r="AT35" s="119"/>
      <c r="AU35" s="120"/>
      <c r="AW35" s="121">
        <v>17.5</v>
      </c>
      <c r="AX35" s="121">
        <v>12.5</v>
      </c>
      <c r="AY35" s="122">
        <v>8</v>
      </c>
      <c r="AZ35" s="123">
        <v>25.5</v>
      </c>
      <c r="BA35" s="123">
        <v>5</v>
      </c>
      <c r="BB35" s="123">
        <v>17.5</v>
      </c>
      <c r="BC35" s="124">
        <v>1.6</v>
      </c>
      <c r="BD35" s="123">
        <v>2</v>
      </c>
      <c r="BE35" s="123">
        <v>1</v>
      </c>
      <c r="BF35" s="123">
        <v>1</v>
      </c>
      <c r="BG35" s="123">
        <v>1</v>
      </c>
      <c r="BH35" s="123">
        <v>0</v>
      </c>
      <c r="BI35" s="123">
        <v>0</v>
      </c>
      <c r="BJ35" s="123">
        <v>0</v>
      </c>
      <c r="BK35" s="123">
        <v>0</v>
      </c>
      <c r="BL35" s="123">
        <v>1</v>
      </c>
      <c r="BM35" s="123">
        <v>14</v>
      </c>
      <c r="BN35" s="123">
        <v>6</v>
      </c>
      <c r="BO35" s="123">
        <v>20</v>
      </c>
      <c r="BP35" s="123">
        <v>35</v>
      </c>
      <c r="BQ35" s="125">
        <v>57.142857142857139</v>
      </c>
      <c r="BR35" s="123">
        <v>3</v>
      </c>
      <c r="BS35" s="123">
        <v>0</v>
      </c>
      <c r="BT35" s="126">
        <v>3</v>
      </c>
    </row>
    <row r="36" spans="1:72" ht="16" x14ac:dyDescent="0.25">
      <c r="A36" s="187"/>
      <c r="B36" s="153" t="s">
        <v>93</v>
      </c>
      <c r="C36" s="157" t="s">
        <v>73</v>
      </c>
      <c r="D36" s="136"/>
      <c r="E36" s="136"/>
      <c r="F36" s="136"/>
      <c r="G36" s="214"/>
      <c r="H36" s="214" t="s">
        <v>29</v>
      </c>
      <c r="I36" s="136"/>
      <c r="J36" s="136"/>
      <c r="K36" s="136"/>
      <c r="L36" s="136"/>
      <c r="M36" s="136"/>
      <c r="N36" s="205" t="s">
        <v>29</v>
      </c>
      <c r="O36" s="214"/>
      <c r="P36" s="136"/>
      <c r="Q36" s="136"/>
      <c r="R36" s="136"/>
      <c r="S36" s="136" t="s">
        <v>29</v>
      </c>
      <c r="T36" s="136"/>
      <c r="U36" s="214" t="s">
        <v>85</v>
      </c>
      <c r="V36" s="214" t="s">
        <v>85</v>
      </c>
      <c r="W36" s="136" t="s">
        <v>83</v>
      </c>
      <c r="X36" s="136" t="s">
        <v>83</v>
      </c>
      <c r="Y36" s="136" t="s">
        <v>83</v>
      </c>
      <c r="Z36" s="136" t="s">
        <v>83</v>
      </c>
      <c r="AA36" s="136" t="s">
        <v>83</v>
      </c>
      <c r="AB36" s="214" t="s">
        <v>130</v>
      </c>
      <c r="AC36" s="214" t="s">
        <v>130</v>
      </c>
      <c r="AD36" s="136"/>
      <c r="AE36" s="136" t="s">
        <v>77</v>
      </c>
      <c r="AF36" s="136"/>
      <c r="AG36" s="205"/>
      <c r="AH36" s="136" t="s">
        <v>32</v>
      </c>
      <c r="AI36" s="214"/>
      <c r="AJ36" s="214"/>
      <c r="AK36" s="136"/>
      <c r="AL36" s="136"/>
      <c r="AM36" s="136"/>
      <c r="AN36" s="117"/>
      <c r="AO36" s="117"/>
      <c r="AP36" s="117"/>
      <c r="AQ36" s="117"/>
      <c r="AR36" s="117"/>
      <c r="AS36" s="117"/>
      <c r="AT36" s="119"/>
      <c r="AU36" s="120"/>
      <c r="AW36" s="121">
        <v>17.5</v>
      </c>
      <c r="AX36" s="121">
        <v>11.5</v>
      </c>
      <c r="AY36" s="122">
        <v>7</v>
      </c>
      <c r="AZ36" s="123">
        <v>24.5</v>
      </c>
      <c r="BA36" s="123">
        <v>4</v>
      </c>
      <c r="BB36" s="123">
        <v>15.5</v>
      </c>
      <c r="BC36" s="124">
        <v>1.75</v>
      </c>
      <c r="BD36" s="123">
        <v>1</v>
      </c>
      <c r="BE36" s="123">
        <v>1</v>
      </c>
      <c r="BF36" s="123">
        <v>1</v>
      </c>
      <c r="BG36" s="123">
        <v>1</v>
      </c>
      <c r="BH36" s="123">
        <v>0</v>
      </c>
      <c r="BI36" s="123">
        <v>0</v>
      </c>
      <c r="BJ36" s="123">
        <v>0</v>
      </c>
      <c r="BK36" s="123">
        <v>0</v>
      </c>
      <c r="BL36" s="123">
        <v>1</v>
      </c>
      <c r="BM36" s="123">
        <v>15</v>
      </c>
      <c r="BN36" s="123">
        <v>6</v>
      </c>
      <c r="BO36" s="123">
        <v>21</v>
      </c>
      <c r="BP36" s="123">
        <v>35</v>
      </c>
      <c r="BQ36" s="125">
        <v>60</v>
      </c>
      <c r="BR36" s="123">
        <v>1</v>
      </c>
      <c r="BS36" s="123">
        <v>0</v>
      </c>
      <c r="BT36" s="126">
        <v>1</v>
      </c>
    </row>
    <row r="37" spans="1:72" ht="16" x14ac:dyDescent="0.25">
      <c r="A37" s="187"/>
      <c r="B37" s="153" t="s">
        <v>104</v>
      </c>
      <c r="C37" s="157" t="s">
        <v>73</v>
      </c>
      <c r="D37" s="136" t="s">
        <v>83</v>
      </c>
      <c r="E37" s="136" t="s">
        <v>83</v>
      </c>
      <c r="F37" s="136" t="s">
        <v>83</v>
      </c>
      <c r="G37" s="214" t="s">
        <v>130</v>
      </c>
      <c r="H37" s="214" t="s">
        <v>130</v>
      </c>
      <c r="I37" s="136" t="s">
        <v>83</v>
      </c>
      <c r="J37" s="136" t="s">
        <v>83</v>
      </c>
      <c r="K37" s="136"/>
      <c r="L37" s="136"/>
      <c r="M37" s="205" t="s">
        <v>31</v>
      </c>
      <c r="N37" s="214"/>
      <c r="O37" s="214"/>
      <c r="P37" s="199"/>
      <c r="Q37" s="199" t="s">
        <v>31</v>
      </c>
      <c r="R37" s="136"/>
      <c r="S37" s="136" t="s">
        <v>83</v>
      </c>
      <c r="T37" s="199" t="s">
        <v>31</v>
      </c>
      <c r="U37" s="221"/>
      <c r="V37" s="214"/>
      <c r="W37" s="136"/>
      <c r="X37" s="136"/>
      <c r="Y37" s="136"/>
      <c r="Z37" s="136"/>
      <c r="AA37" s="199" t="s">
        <v>30</v>
      </c>
      <c r="AB37" s="136" t="s">
        <v>85</v>
      </c>
      <c r="AC37" s="214"/>
      <c r="AD37" s="199" t="s">
        <v>77</v>
      </c>
      <c r="AE37" s="136"/>
      <c r="AF37" s="136"/>
      <c r="AG37" s="199" t="s">
        <v>31</v>
      </c>
      <c r="AH37" s="136"/>
      <c r="AI37" s="214" t="s">
        <v>85</v>
      </c>
      <c r="AJ37" s="214"/>
      <c r="AK37" s="136"/>
      <c r="AL37" s="136" t="s">
        <v>29</v>
      </c>
      <c r="AM37" s="136"/>
      <c r="AN37" s="117"/>
      <c r="AO37" s="117"/>
      <c r="AP37" s="117"/>
      <c r="AQ37" s="117"/>
      <c r="AR37" s="117"/>
      <c r="AS37" s="117"/>
      <c r="AT37" s="119"/>
      <c r="AU37" s="120"/>
      <c r="AW37" s="121">
        <v>17</v>
      </c>
      <c r="AX37" s="121">
        <v>11.5</v>
      </c>
      <c r="AY37" s="122">
        <v>7.5</v>
      </c>
      <c r="AZ37" s="123">
        <v>24.5</v>
      </c>
      <c r="BA37" s="123">
        <v>6</v>
      </c>
      <c r="BB37" s="123">
        <v>17.5</v>
      </c>
      <c r="BC37" s="124">
        <v>1.25</v>
      </c>
      <c r="BD37" s="123">
        <v>3</v>
      </c>
      <c r="BE37" s="123">
        <v>3</v>
      </c>
      <c r="BF37" s="123">
        <v>0</v>
      </c>
      <c r="BG37" s="123">
        <v>0</v>
      </c>
      <c r="BH37" s="123">
        <v>0</v>
      </c>
      <c r="BI37" s="123">
        <v>0</v>
      </c>
      <c r="BJ37" s="123">
        <v>0</v>
      </c>
      <c r="BK37" s="123">
        <v>0</v>
      </c>
      <c r="BL37" s="123">
        <v>1</v>
      </c>
      <c r="BM37" s="123">
        <v>14</v>
      </c>
      <c r="BN37" s="123">
        <v>7</v>
      </c>
      <c r="BO37" s="123">
        <v>21</v>
      </c>
      <c r="BP37" s="123">
        <v>35</v>
      </c>
      <c r="BQ37" s="125">
        <v>60</v>
      </c>
      <c r="BR37" s="123">
        <v>3</v>
      </c>
      <c r="BS37" s="123">
        <v>0</v>
      </c>
      <c r="BT37" s="126">
        <v>3</v>
      </c>
    </row>
    <row r="38" spans="1:72" ht="16" x14ac:dyDescent="0.25">
      <c r="A38" s="187"/>
      <c r="B38" s="133" t="s">
        <v>127</v>
      </c>
      <c r="C38" s="229">
        <v>51</v>
      </c>
      <c r="D38" s="136"/>
      <c r="E38" s="136"/>
      <c r="F38" s="199" t="s">
        <v>31</v>
      </c>
      <c r="G38" s="214"/>
      <c r="H38" s="214" t="s">
        <v>21</v>
      </c>
      <c r="I38" s="136"/>
      <c r="J38" s="136"/>
      <c r="K38" s="205"/>
      <c r="L38" s="136"/>
      <c r="M38" s="136"/>
      <c r="N38" s="214"/>
      <c r="O38" s="214"/>
      <c r="P38" s="199" t="s">
        <v>29</v>
      </c>
      <c r="Q38" s="136"/>
      <c r="R38" s="136"/>
      <c r="S38" s="136"/>
      <c r="T38" s="136"/>
      <c r="U38" s="216" t="s">
        <v>81</v>
      </c>
      <c r="V38" s="214" t="s">
        <v>31</v>
      </c>
      <c r="W38" s="136"/>
      <c r="X38" s="136"/>
      <c r="Y38" s="213"/>
      <c r="Z38" s="205" t="s">
        <v>31</v>
      </c>
      <c r="AA38" s="136"/>
      <c r="AB38" s="214"/>
      <c r="AC38" s="214"/>
      <c r="AD38" s="136" t="s">
        <v>29</v>
      </c>
      <c r="AE38" s="136"/>
      <c r="AF38" s="136" t="s">
        <v>83</v>
      </c>
      <c r="AG38" s="136" t="s">
        <v>83</v>
      </c>
      <c r="AH38" s="136"/>
      <c r="AI38" s="214" t="s">
        <v>85</v>
      </c>
      <c r="AJ38" s="214" t="s">
        <v>85</v>
      </c>
      <c r="AK38" s="136"/>
      <c r="AL38" s="136"/>
      <c r="AM38" s="136" t="s">
        <v>31</v>
      </c>
      <c r="AN38" s="117"/>
      <c r="AO38" s="117"/>
      <c r="AP38" s="117"/>
      <c r="AQ38" s="117"/>
      <c r="AR38" s="117"/>
      <c r="AS38" s="117"/>
      <c r="AT38" s="119"/>
      <c r="AU38" s="120"/>
      <c r="AW38" s="121">
        <v>6</v>
      </c>
      <c r="AX38" s="121">
        <v>4</v>
      </c>
      <c r="AY38" s="122">
        <v>7.5</v>
      </c>
      <c r="AZ38" s="123">
        <v>13.5</v>
      </c>
      <c r="BA38" s="123">
        <v>6</v>
      </c>
      <c r="BB38" s="123">
        <v>10</v>
      </c>
      <c r="BC38" s="124">
        <v>1.25</v>
      </c>
      <c r="BD38" s="123">
        <v>4</v>
      </c>
      <c r="BE38" s="123">
        <v>1</v>
      </c>
      <c r="BF38" s="123">
        <v>0</v>
      </c>
      <c r="BG38" s="123">
        <v>1</v>
      </c>
      <c r="BH38" s="123">
        <v>0</v>
      </c>
      <c r="BI38" s="123">
        <v>0</v>
      </c>
      <c r="BJ38" s="123">
        <v>1</v>
      </c>
      <c r="BK38" s="123">
        <v>1</v>
      </c>
      <c r="BL38" s="123">
        <v>0</v>
      </c>
      <c r="BM38" s="123">
        <v>4</v>
      </c>
      <c r="BN38" s="123">
        <v>7</v>
      </c>
      <c r="BO38" s="123">
        <v>11</v>
      </c>
      <c r="BP38" s="123">
        <v>18</v>
      </c>
      <c r="BQ38" s="125">
        <v>61.111111111111114</v>
      </c>
      <c r="BR38" s="123">
        <v>0</v>
      </c>
      <c r="BS38" s="123">
        <v>2</v>
      </c>
      <c r="BT38" s="126">
        <v>2</v>
      </c>
    </row>
    <row r="39" spans="1:72" ht="16" x14ac:dyDescent="0.25">
      <c r="B39" s="159" t="s">
        <v>111</v>
      </c>
      <c r="C39" s="223" t="s">
        <v>89</v>
      </c>
      <c r="D39" s="136"/>
      <c r="E39" s="136" t="s">
        <v>31</v>
      </c>
      <c r="F39" s="136"/>
      <c r="G39" s="214"/>
      <c r="H39" s="214" t="s">
        <v>31</v>
      </c>
      <c r="I39" s="136"/>
      <c r="J39" s="136"/>
      <c r="K39" s="136"/>
      <c r="L39" s="136" t="s">
        <v>89</v>
      </c>
      <c r="M39" s="136"/>
      <c r="N39" s="216" t="s">
        <v>81</v>
      </c>
      <c r="O39" s="214" t="s">
        <v>19</v>
      </c>
      <c r="P39" s="136"/>
      <c r="Q39" s="136"/>
      <c r="R39" s="136"/>
      <c r="S39" s="136" t="s">
        <v>89</v>
      </c>
      <c r="T39" s="136"/>
      <c r="U39" s="214"/>
      <c r="V39" s="214" t="s">
        <v>85</v>
      </c>
      <c r="W39" s="136" t="s">
        <v>85</v>
      </c>
      <c r="X39" s="199" t="s">
        <v>29</v>
      </c>
      <c r="Y39" s="136"/>
      <c r="Z39" s="136" t="s">
        <v>89</v>
      </c>
      <c r="AA39" s="136"/>
      <c r="AB39" s="214"/>
      <c r="AC39" s="214" t="s">
        <v>30</v>
      </c>
      <c r="AD39" s="136"/>
      <c r="AE39" s="136"/>
      <c r="AF39" s="136" t="s">
        <v>30</v>
      </c>
      <c r="AG39" s="136" t="s">
        <v>89</v>
      </c>
      <c r="AH39" s="136"/>
      <c r="AI39" s="214" t="s">
        <v>77</v>
      </c>
      <c r="AJ39" s="214"/>
      <c r="AK39" s="136"/>
      <c r="AL39" s="136"/>
      <c r="AM39" s="189"/>
      <c r="AN39" s="117"/>
      <c r="AO39" s="145"/>
      <c r="AP39" s="145"/>
      <c r="AQ39" s="117"/>
      <c r="AR39" s="145"/>
      <c r="AS39" s="145"/>
      <c r="AT39" s="139"/>
      <c r="AU39" s="140"/>
      <c r="AV39" s="141"/>
      <c r="AW39" s="121">
        <v>18</v>
      </c>
      <c r="AX39" s="121">
        <v>13.5</v>
      </c>
      <c r="AY39" s="122">
        <v>6.5</v>
      </c>
      <c r="AZ39" s="123">
        <v>24.5</v>
      </c>
      <c r="BA39" s="123">
        <v>5</v>
      </c>
      <c r="BB39" s="123">
        <v>18</v>
      </c>
      <c r="BC39" s="124">
        <v>1.3</v>
      </c>
      <c r="BD39" s="123">
        <v>2</v>
      </c>
      <c r="BE39" s="123">
        <v>0</v>
      </c>
      <c r="BF39" s="123">
        <v>0</v>
      </c>
      <c r="BG39" s="123">
        <v>2</v>
      </c>
      <c r="BH39" s="123">
        <v>1</v>
      </c>
      <c r="BI39" s="123">
        <v>0</v>
      </c>
      <c r="BJ39" s="123">
        <v>0</v>
      </c>
      <c r="BK39" s="123">
        <v>1</v>
      </c>
      <c r="BL39" s="123">
        <v>1</v>
      </c>
      <c r="BM39" s="123">
        <v>14</v>
      </c>
      <c r="BN39" s="123">
        <v>6</v>
      </c>
      <c r="BO39" s="123">
        <v>20</v>
      </c>
      <c r="BP39" s="123">
        <v>35</v>
      </c>
      <c r="BQ39" s="125">
        <v>57.142857142857139</v>
      </c>
      <c r="BR39" s="123">
        <v>4</v>
      </c>
      <c r="BS39" s="123">
        <v>1</v>
      </c>
      <c r="BT39" s="126">
        <v>5</v>
      </c>
    </row>
    <row r="40" spans="1:72" ht="16" x14ac:dyDescent="0.25">
      <c r="B40" s="159" t="s">
        <v>98</v>
      </c>
      <c r="C40" s="223" t="s">
        <v>74</v>
      </c>
      <c r="D40" s="215" t="s">
        <v>32</v>
      </c>
      <c r="E40" s="136"/>
      <c r="F40" s="136"/>
      <c r="G40" s="214" t="s">
        <v>30</v>
      </c>
      <c r="H40" s="214"/>
      <c r="I40" s="136"/>
      <c r="J40" s="136"/>
      <c r="K40" s="205" t="s">
        <v>30</v>
      </c>
      <c r="L40" s="131"/>
      <c r="M40" s="136" t="s">
        <v>83</v>
      </c>
      <c r="N40" s="214" t="s">
        <v>85</v>
      </c>
      <c r="O40" s="214" t="s">
        <v>85</v>
      </c>
      <c r="P40" s="136" t="s">
        <v>83</v>
      </c>
      <c r="Q40" s="136" t="s">
        <v>83</v>
      </c>
      <c r="R40" s="136" t="s">
        <v>83</v>
      </c>
      <c r="S40" s="136" t="s">
        <v>83</v>
      </c>
      <c r="T40" s="204" t="s">
        <v>83</v>
      </c>
      <c r="U40" s="214" t="s">
        <v>130</v>
      </c>
      <c r="V40" s="214" t="s">
        <v>130</v>
      </c>
      <c r="W40" s="136" t="s">
        <v>83</v>
      </c>
      <c r="X40" s="199" t="s">
        <v>77</v>
      </c>
      <c r="Y40" s="136"/>
      <c r="Z40" s="136"/>
      <c r="AA40" s="212"/>
      <c r="AB40" s="214" t="s">
        <v>29</v>
      </c>
      <c r="AC40" s="214"/>
      <c r="AD40" s="136"/>
      <c r="AE40" s="136"/>
      <c r="AF40" s="136"/>
      <c r="AG40" s="205" t="s">
        <v>30</v>
      </c>
      <c r="AH40" s="131"/>
      <c r="AI40" s="222"/>
      <c r="AJ40" s="214"/>
      <c r="AK40" s="202"/>
      <c r="AL40" s="136" t="s">
        <v>31</v>
      </c>
      <c r="AM40" s="145"/>
      <c r="AN40" s="145"/>
      <c r="AO40" s="145"/>
      <c r="AP40" s="145"/>
      <c r="AQ40" s="145"/>
      <c r="AR40" s="145"/>
      <c r="AS40" s="145"/>
      <c r="AT40" s="139"/>
      <c r="AU40" s="140"/>
      <c r="AV40" s="141"/>
      <c r="AW40" s="121">
        <v>17.5</v>
      </c>
      <c r="AX40" s="121">
        <v>12</v>
      </c>
      <c r="AY40" s="188">
        <v>8</v>
      </c>
      <c r="AZ40" s="123">
        <v>25.5</v>
      </c>
      <c r="BA40" s="123">
        <v>5</v>
      </c>
      <c r="BB40" s="123">
        <v>17</v>
      </c>
      <c r="BC40" s="124">
        <v>1.6</v>
      </c>
      <c r="BD40" s="123">
        <v>3</v>
      </c>
      <c r="BE40" s="123">
        <v>0</v>
      </c>
      <c r="BF40" s="123">
        <v>2</v>
      </c>
      <c r="BG40" s="123">
        <v>0</v>
      </c>
      <c r="BH40" s="123">
        <v>0</v>
      </c>
      <c r="BI40" s="123">
        <v>0</v>
      </c>
      <c r="BJ40" s="123">
        <v>0</v>
      </c>
      <c r="BK40" s="123">
        <v>0</v>
      </c>
      <c r="BL40" s="123">
        <v>1</v>
      </c>
      <c r="BM40" s="123">
        <v>14</v>
      </c>
      <c r="BN40" s="123">
        <v>6</v>
      </c>
      <c r="BO40" s="123">
        <v>20</v>
      </c>
      <c r="BP40" s="123">
        <v>35</v>
      </c>
      <c r="BQ40" s="125">
        <v>57.142857142857139</v>
      </c>
      <c r="BR40" s="123">
        <v>2</v>
      </c>
      <c r="BS40" s="123">
        <v>0</v>
      </c>
      <c r="BT40" s="126">
        <v>2</v>
      </c>
    </row>
    <row r="41" spans="1:72" ht="16" x14ac:dyDescent="0.25">
      <c r="B41" s="159" t="s">
        <v>101</v>
      </c>
      <c r="C41" s="224" t="s">
        <v>74</v>
      </c>
      <c r="D41" s="136"/>
      <c r="E41" s="131"/>
      <c r="F41" s="199" t="s">
        <v>30</v>
      </c>
      <c r="G41" s="217"/>
      <c r="H41" s="214" t="s">
        <v>81</v>
      </c>
      <c r="I41" s="136" t="s">
        <v>77</v>
      </c>
      <c r="J41" s="136"/>
      <c r="K41" s="136"/>
      <c r="L41" s="136"/>
      <c r="M41" s="136"/>
      <c r="N41" s="205" t="s">
        <v>30</v>
      </c>
      <c r="O41" s="214"/>
      <c r="P41" s="136"/>
      <c r="Q41" s="136"/>
      <c r="R41" s="136"/>
      <c r="S41" s="136" t="s">
        <v>31</v>
      </c>
      <c r="T41" s="136"/>
      <c r="U41" s="214" t="s">
        <v>85</v>
      </c>
      <c r="V41" s="214" t="s">
        <v>85</v>
      </c>
      <c r="W41" s="136" t="s">
        <v>83</v>
      </c>
      <c r="X41" s="136" t="s">
        <v>83</v>
      </c>
      <c r="Y41" s="136" t="s">
        <v>83</v>
      </c>
      <c r="Z41" s="136" t="s">
        <v>83</v>
      </c>
      <c r="AA41" s="204" t="s">
        <v>83</v>
      </c>
      <c r="AB41" s="214" t="s">
        <v>130</v>
      </c>
      <c r="AC41" s="214" t="s">
        <v>130</v>
      </c>
      <c r="AD41" s="136" t="s">
        <v>30</v>
      </c>
      <c r="AE41" s="136"/>
      <c r="AF41" s="136"/>
      <c r="AG41" s="205"/>
      <c r="AH41" s="204" t="s">
        <v>83</v>
      </c>
      <c r="AI41" s="214"/>
      <c r="AJ41" s="214" t="s">
        <v>30</v>
      </c>
      <c r="AK41" s="202"/>
      <c r="AL41" s="202"/>
      <c r="AM41" s="117"/>
      <c r="AN41" s="117"/>
      <c r="AO41" s="117"/>
      <c r="AP41" s="117"/>
      <c r="AQ41" s="117"/>
      <c r="AR41" s="117"/>
      <c r="AS41" s="117"/>
      <c r="AW41" s="121">
        <v>18</v>
      </c>
      <c r="AX41" s="121">
        <v>13</v>
      </c>
      <c r="AY41" s="123">
        <v>8</v>
      </c>
      <c r="AZ41" s="123">
        <v>26</v>
      </c>
      <c r="BA41" s="123">
        <v>5</v>
      </c>
      <c r="BB41" s="123">
        <v>18</v>
      </c>
      <c r="BC41" s="124">
        <v>1.6</v>
      </c>
      <c r="BD41" s="123">
        <v>2</v>
      </c>
      <c r="BE41" s="123">
        <v>1</v>
      </c>
      <c r="BF41" s="123">
        <v>1</v>
      </c>
      <c r="BG41" s="123">
        <v>1</v>
      </c>
      <c r="BH41" s="123">
        <v>0</v>
      </c>
      <c r="BI41" s="123">
        <v>0</v>
      </c>
      <c r="BJ41" s="123">
        <v>0</v>
      </c>
      <c r="BK41" s="123">
        <v>1</v>
      </c>
      <c r="BL41" s="123">
        <v>1</v>
      </c>
      <c r="BM41" s="123">
        <v>15</v>
      </c>
      <c r="BN41" s="123">
        <v>6</v>
      </c>
      <c r="BO41" s="123">
        <v>21</v>
      </c>
      <c r="BP41" s="123">
        <v>35</v>
      </c>
      <c r="BQ41" s="125">
        <v>60</v>
      </c>
      <c r="BR41" s="123">
        <v>3</v>
      </c>
      <c r="BS41" s="123">
        <v>1</v>
      </c>
      <c r="BT41" s="126">
        <v>4</v>
      </c>
    </row>
    <row r="42" spans="1:72" ht="16" x14ac:dyDescent="0.25">
      <c r="G42" s="162"/>
      <c r="AP42" s="98"/>
      <c r="AQ42" s="98"/>
      <c r="AR42" s="98"/>
      <c r="AS42" s="98"/>
      <c r="AT42" s="98"/>
      <c r="AW42" s="121"/>
      <c r="AX42" s="161"/>
      <c r="AY42" s="123"/>
      <c r="AZ42" s="123"/>
      <c r="BA42" s="123"/>
      <c r="BB42" s="123"/>
      <c r="BC42" s="124"/>
      <c r="BD42" s="123"/>
      <c r="BE42" s="123"/>
      <c r="BF42" s="123"/>
      <c r="BG42" s="123"/>
      <c r="BH42" s="123"/>
      <c r="BI42" s="123"/>
      <c r="BJ42" s="123"/>
      <c r="BK42" s="123"/>
      <c r="BL42" s="123"/>
      <c r="BM42" s="123"/>
      <c r="BN42" s="123"/>
      <c r="BO42" s="123"/>
      <c r="BP42" s="123"/>
      <c r="BQ42" s="125"/>
      <c r="BR42" s="123"/>
      <c r="BS42" s="123"/>
      <c r="BT42" s="126"/>
    </row>
    <row r="43" spans="1:72" ht="16" x14ac:dyDescent="0.25">
      <c r="A43" s="163" t="s">
        <v>49</v>
      </c>
      <c r="C43" s="98" t="s">
        <v>58</v>
      </c>
      <c r="F43" s="98">
        <v>6</v>
      </c>
      <c r="G43" s="98">
        <v>10</v>
      </c>
      <c r="H43" s="98">
        <v>10</v>
      </c>
      <c r="I43" s="98">
        <v>6</v>
      </c>
      <c r="J43" s="98">
        <v>6</v>
      </c>
      <c r="K43" s="98">
        <v>6</v>
      </c>
      <c r="L43" s="98">
        <v>6</v>
      </c>
      <c r="M43" s="98">
        <v>6</v>
      </c>
      <c r="N43" s="98">
        <v>10</v>
      </c>
      <c r="O43" s="98">
        <v>10</v>
      </c>
      <c r="P43" s="98">
        <v>6</v>
      </c>
      <c r="Q43" s="98">
        <v>6</v>
      </c>
      <c r="R43" s="98">
        <v>6</v>
      </c>
      <c r="S43" s="98">
        <v>6</v>
      </c>
      <c r="T43" s="98">
        <v>6</v>
      </c>
      <c r="U43" s="98">
        <v>10</v>
      </c>
      <c r="V43" s="98">
        <v>10</v>
      </c>
      <c r="W43" s="98">
        <v>6</v>
      </c>
      <c r="X43" s="98">
        <v>6</v>
      </c>
      <c r="Y43" s="98">
        <v>6</v>
      </c>
      <c r="Z43" s="98">
        <v>6</v>
      </c>
      <c r="AA43" s="98">
        <v>6</v>
      </c>
      <c r="AB43" s="98">
        <v>10</v>
      </c>
      <c r="AC43" s="98">
        <v>10</v>
      </c>
      <c r="AD43" s="98">
        <v>6</v>
      </c>
      <c r="AE43" s="98">
        <v>6</v>
      </c>
      <c r="AF43" s="98">
        <v>6</v>
      </c>
      <c r="AG43" s="98">
        <v>6</v>
      </c>
      <c r="AH43" s="98">
        <v>6</v>
      </c>
      <c r="AI43" s="98">
        <v>10</v>
      </c>
      <c r="AJ43" s="98">
        <v>10</v>
      </c>
      <c r="AK43" s="98">
        <v>6</v>
      </c>
      <c r="AL43" s="98">
        <v>6</v>
      </c>
      <c r="AM43" s="98">
        <v>6</v>
      </c>
      <c r="AN43" s="98">
        <v>0</v>
      </c>
      <c r="AO43" s="98">
        <v>0</v>
      </c>
      <c r="AP43" s="98">
        <v>0</v>
      </c>
      <c r="AQ43" s="98">
        <v>0</v>
      </c>
      <c r="AR43" s="98">
        <v>0</v>
      </c>
      <c r="AS43" s="98">
        <v>0</v>
      </c>
      <c r="AT43" s="98"/>
      <c r="AW43" s="121"/>
      <c r="AX43" s="161"/>
      <c r="AY43" s="123"/>
      <c r="AZ43" s="123"/>
      <c r="BA43" s="123"/>
      <c r="BB43" s="123"/>
      <c r="BC43" s="124"/>
      <c r="BD43" s="123"/>
      <c r="BE43" s="123"/>
      <c r="BF43" s="123"/>
      <c r="BG43" s="123"/>
      <c r="BH43" s="123"/>
      <c r="BI43" s="123"/>
      <c r="BJ43" s="123"/>
      <c r="BK43" s="123"/>
      <c r="BL43" s="123"/>
      <c r="BM43" s="123"/>
      <c r="BN43" s="123"/>
      <c r="BO43" s="123"/>
      <c r="BP43" s="123"/>
      <c r="BQ43" s="125"/>
      <c r="BR43" s="123"/>
      <c r="BS43" s="123"/>
      <c r="BT43" s="126"/>
    </row>
    <row r="44" spans="1:72" ht="16" x14ac:dyDescent="0.25">
      <c r="A44" s="164"/>
      <c r="B44" s="165" t="s">
        <v>51</v>
      </c>
      <c r="C44" s="98" t="s">
        <v>50</v>
      </c>
      <c r="F44" s="98">
        <v>5</v>
      </c>
      <c r="G44" s="98">
        <v>6</v>
      </c>
      <c r="H44" s="98">
        <v>6</v>
      </c>
      <c r="I44" s="98">
        <v>5</v>
      </c>
      <c r="J44" s="98">
        <v>5</v>
      </c>
      <c r="K44" s="98">
        <v>5</v>
      </c>
      <c r="L44" s="98">
        <v>5</v>
      </c>
      <c r="M44" s="98">
        <v>5</v>
      </c>
      <c r="N44" s="98">
        <v>6</v>
      </c>
      <c r="O44" s="98">
        <v>6</v>
      </c>
      <c r="P44" s="98">
        <v>5</v>
      </c>
      <c r="Q44" s="98">
        <v>5</v>
      </c>
      <c r="R44" s="98">
        <v>5</v>
      </c>
      <c r="S44" s="98">
        <v>5</v>
      </c>
      <c r="T44" s="98">
        <v>5</v>
      </c>
      <c r="U44" s="98">
        <v>6</v>
      </c>
      <c r="V44" s="98">
        <v>6</v>
      </c>
      <c r="W44" s="98">
        <v>5</v>
      </c>
      <c r="X44" s="98">
        <v>5</v>
      </c>
      <c r="Y44" s="98">
        <v>5</v>
      </c>
      <c r="Z44" s="98">
        <v>5</v>
      </c>
      <c r="AA44" s="98">
        <v>5</v>
      </c>
      <c r="AB44" s="98">
        <v>6</v>
      </c>
      <c r="AC44" s="98">
        <v>6</v>
      </c>
      <c r="AD44" s="98">
        <v>5</v>
      </c>
      <c r="AE44" s="98">
        <v>5</v>
      </c>
      <c r="AF44" s="98">
        <v>5</v>
      </c>
      <c r="AG44" s="98">
        <v>5</v>
      </c>
      <c r="AH44" s="98">
        <v>5</v>
      </c>
      <c r="AI44" s="98">
        <v>6</v>
      </c>
      <c r="AJ44" s="98">
        <v>6</v>
      </c>
      <c r="AK44" s="98">
        <v>5</v>
      </c>
      <c r="AL44" s="98">
        <v>4</v>
      </c>
      <c r="AM44" s="98">
        <v>5</v>
      </c>
      <c r="AN44" s="98">
        <v>0</v>
      </c>
      <c r="AO44" s="98">
        <v>0</v>
      </c>
      <c r="AP44" s="98">
        <v>0</v>
      </c>
      <c r="AQ44" s="98">
        <v>0</v>
      </c>
      <c r="AR44" s="98">
        <v>0</v>
      </c>
      <c r="AS44" s="98">
        <v>0</v>
      </c>
      <c r="AT44" s="98"/>
      <c r="BG44" s="196"/>
    </row>
    <row r="45" spans="1:72" ht="16" x14ac:dyDescent="0.25">
      <c r="A45" s="166"/>
      <c r="B45" s="98" t="s">
        <v>52</v>
      </c>
      <c r="C45" s="98" t="s">
        <v>30</v>
      </c>
      <c r="F45" s="98">
        <v>1</v>
      </c>
      <c r="G45" s="98">
        <v>1</v>
      </c>
      <c r="H45" s="98">
        <v>1</v>
      </c>
      <c r="I45" s="98">
        <v>1</v>
      </c>
      <c r="J45" s="98">
        <v>1</v>
      </c>
      <c r="K45" s="98">
        <v>1</v>
      </c>
      <c r="L45" s="98">
        <v>1</v>
      </c>
      <c r="M45" s="98">
        <v>1</v>
      </c>
      <c r="N45" s="98">
        <v>1</v>
      </c>
      <c r="O45" s="98">
        <v>1</v>
      </c>
      <c r="P45" s="98">
        <v>1</v>
      </c>
      <c r="Q45" s="98">
        <v>1</v>
      </c>
      <c r="R45" s="98">
        <v>1</v>
      </c>
      <c r="S45" s="98">
        <v>1</v>
      </c>
      <c r="T45" s="98">
        <v>1</v>
      </c>
      <c r="U45" s="98">
        <v>1</v>
      </c>
      <c r="V45" s="98">
        <v>1</v>
      </c>
      <c r="W45" s="98">
        <v>1</v>
      </c>
      <c r="X45" s="98">
        <v>1</v>
      </c>
      <c r="Y45" s="98">
        <v>1</v>
      </c>
      <c r="Z45" s="98">
        <v>1</v>
      </c>
      <c r="AA45" s="98">
        <v>1</v>
      </c>
      <c r="AB45" s="98">
        <v>1</v>
      </c>
      <c r="AC45" s="98">
        <v>1</v>
      </c>
      <c r="AD45" s="98">
        <v>1</v>
      </c>
      <c r="AE45" s="167">
        <v>1</v>
      </c>
      <c r="AF45" s="98">
        <v>1</v>
      </c>
      <c r="AG45" s="98">
        <v>1</v>
      </c>
      <c r="AH45" s="98">
        <v>1</v>
      </c>
      <c r="AI45" s="98">
        <v>1</v>
      </c>
      <c r="AJ45" s="98">
        <v>1</v>
      </c>
      <c r="AK45" s="98">
        <v>1</v>
      </c>
      <c r="AL45" s="98">
        <v>1</v>
      </c>
      <c r="AM45" s="98">
        <v>1</v>
      </c>
      <c r="AN45" s="98">
        <v>0</v>
      </c>
      <c r="AO45" s="98">
        <v>0</v>
      </c>
      <c r="AP45" s="98">
        <v>0</v>
      </c>
      <c r="AQ45" s="98">
        <v>0</v>
      </c>
      <c r="AR45" s="98">
        <v>0</v>
      </c>
      <c r="AS45" s="98">
        <v>0</v>
      </c>
      <c r="AT45" s="98"/>
    </row>
    <row r="46" spans="1:72" ht="16" x14ac:dyDescent="0.25">
      <c r="A46" s="168"/>
      <c r="B46" s="98" t="s">
        <v>70</v>
      </c>
      <c r="C46" s="98" t="s">
        <v>34</v>
      </c>
      <c r="F46" s="98">
        <v>1</v>
      </c>
      <c r="G46" s="98">
        <v>1</v>
      </c>
      <c r="H46" s="98">
        <v>1</v>
      </c>
      <c r="I46" s="98">
        <v>1</v>
      </c>
      <c r="J46" s="98">
        <v>1</v>
      </c>
      <c r="K46" s="98">
        <v>1</v>
      </c>
      <c r="L46" s="98">
        <v>1</v>
      </c>
      <c r="M46" s="98">
        <v>1</v>
      </c>
      <c r="N46" s="98">
        <v>1</v>
      </c>
      <c r="O46" s="98">
        <v>1</v>
      </c>
      <c r="P46" s="98">
        <v>1</v>
      </c>
      <c r="Q46" s="98">
        <v>1</v>
      </c>
      <c r="R46" s="98">
        <v>1</v>
      </c>
      <c r="S46" s="98">
        <v>1</v>
      </c>
      <c r="T46" s="98">
        <v>1</v>
      </c>
      <c r="U46" s="98">
        <v>1</v>
      </c>
      <c r="V46" s="98">
        <v>1</v>
      </c>
      <c r="W46" s="98">
        <v>1</v>
      </c>
      <c r="X46" s="98">
        <v>1</v>
      </c>
      <c r="Y46" s="98">
        <v>1</v>
      </c>
      <c r="Z46" s="98">
        <v>1</v>
      </c>
      <c r="AA46" s="98">
        <v>1</v>
      </c>
      <c r="AB46" s="98">
        <v>1</v>
      </c>
      <c r="AC46" s="98">
        <v>1</v>
      </c>
      <c r="AD46" s="98">
        <v>1</v>
      </c>
      <c r="AE46" s="98">
        <v>1</v>
      </c>
      <c r="AF46" s="98">
        <v>1</v>
      </c>
      <c r="AG46" s="98">
        <v>1</v>
      </c>
      <c r="AH46" s="98">
        <v>1</v>
      </c>
      <c r="AI46" s="98">
        <v>1</v>
      </c>
      <c r="AJ46" s="98">
        <v>1</v>
      </c>
      <c r="AK46" s="98">
        <v>1</v>
      </c>
      <c r="AL46" s="98">
        <v>1</v>
      </c>
      <c r="AM46" s="98">
        <v>1</v>
      </c>
      <c r="AN46" s="98">
        <v>0</v>
      </c>
      <c r="AO46" s="98">
        <v>0</v>
      </c>
      <c r="AP46" s="98">
        <v>0</v>
      </c>
      <c r="AQ46" s="98">
        <v>0</v>
      </c>
      <c r="AR46" s="98">
        <v>0</v>
      </c>
      <c r="AS46" s="98">
        <v>0</v>
      </c>
      <c r="AT46" s="98"/>
    </row>
    <row r="47" spans="1:72" ht="16" x14ac:dyDescent="0.25">
      <c r="A47" s="162" t="s">
        <v>54</v>
      </c>
      <c r="B47" s="98" t="s">
        <v>55</v>
      </c>
      <c r="C47" s="98" t="s">
        <v>32</v>
      </c>
      <c r="F47" s="98">
        <v>1</v>
      </c>
      <c r="G47" s="98">
        <v>1</v>
      </c>
      <c r="H47" s="98">
        <v>1</v>
      </c>
      <c r="I47" s="98">
        <v>1</v>
      </c>
      <c r="J47" s="98">
        <v>1</v>
      </c>
      <c r="K47" s="98">
        <v>1</v>
      </c>
      <c r="L47" s="98">
        <v>1</v>
      </c>
      <c r="M47" s="98">
        <v>1</v>
      </c>
      <c r="N47" s="98">
        <v>1</v>
      </c>
      <c r="O47" s="98">
        <v>1</v>
      </c>
      <c r="P47" s="98">
        <v>1</v>
      </c>
      <c r="Q47" s="98">
        <v>1</v>
      </c>
      <c r="R47" s="98">
        <v>1</v>
      </c>
      <c r="S47" s="98">
        <v>1</v>
      </c>
      <c r="T47" s="98">
        <v>1</v>
      </c>
      <c r="U47" s="98">
        <v>1</v>
      </c>
      <c r="V47" s="98">
        <v>1</v>
      </c>
      <c r="W47" s="98">
        <v>1</v>
      </c>
      <c r="X47" s="98">
        <v>1</v>
      </c>
      <c r="Y47" s="98">
        <v>1</v>
      </c>
      <c r="Z47" s="98">
        <v>1</v>
      </c>
      <c r="AA47" s="98">
        <v>1</v>
      </c>
      <c r="AB47" s="98">
        <v>1</v>
      </c>
      <c r="AC47" s="98">
        <v>1</v>
      </c>
      <c r="AD47" s="98">
        <v>1</v>
      </c>
      <c r="AE47" s="98">
        <v>1</v>
      </c>
      <c r="AF47" s="98">
        <v>1</v>
      </c>
      <c r="AG47" s="98">
        <v>1</v>
      </c>
      <c r="AH47" s="98">
        <v>1</v>
      </c>
      <c r="AI47" s="98">
        <v>1</v>
      </c>
      <c r="AJ47" s="98">
        <v>1</v>
      </c>
      <c r="AK47" s="98">
        <v>1</v>
      </c>
      <c r="AL47" s="98">
        <v>1</v>
      </c>
      <c r="AM47" s="98">
        <v>1</v>
      </c>
      <c r="AN47" s="98">
        <v>0</v>
      </c>
      <c r="AO47" s="98">
        <v>0</v>
      </c>
      <c r="AP47" s="98">
        <v>0</v>
      </c>
      <c r="AQ47" s="98">
        <v>0</v>
      </c>
      <c r="AR47" s="98">
        <v>0</v>
      </c>
      <c r="AS47" s="98">
        <v>0</v>
      </c>
      <c r="AT47" s="98"/>
    </row>
    <row r="48" spans="1:72" ht="16" x14ac:dyDescent="0.25">
      <c r="A48" s="169"/>
      <c r="B48" s="98" t="s">
        <v>56</v>
      </c>
      <c r="C48" s="98" t="s">
        <v>29</v>
      </c>
      <c r="F48" s="98">
        <v>1</v>
      </c>
      <c r="G48" s="98">
        <v>1</v>
      </c>
      <c r="H48" s="98">
        <v>1</v>
      </c>
      <c r="I48" s="98">
        <v>1</v>
      </c>
      <c r="J48" s="98">
        <v>1</v>
      </c>
      <c r="K48" s="98">
        <v>1</v>
      </c>
      <c r="L48" s="98">
        <v>1</v>
      </c>
      <c r="M48" s="98">
        <v>1</v>
      </c>
      <c r="N48" s="98">
        <v>1</v>
      </c>
      <c r="O48" s="98">
        <v>1</v>
      </c>
      <c r="P48" s="98">
        <v>1</v>
      </c>
      <c r="Q48" s="98">
        <v>1</v>
      </c>
      <c r="R48" s="98">
        <v>1</v>
      </c>
      <c r="S48" s="98">
        <v>1</v>
      </c>
      <c r="T48" s="98">
        <v>1</v>
      </c>
      <c r="U48" s="98">
        <v>1</v>
      </c>
      <c r="V48" s="98">
        <v>1</v>
      </c>
      <c r="W48" s="98">
        <v>1</v>
      </c>
      <c r="X48" s="98">
        <v>1</v>
      </c>
      <c r="Y48" s="98">
        <v>1</v>
      </c>
      <c r="Z48" s="98">
        <v>1</v>
      </c>
      <c r="AA48" s="98">
        <v>1</v>
      </c>
      <c r="AB48" s="98">
        <v>1</v>
      </c>
      <c r="AC48" s="98">
        <v>1</v>
      </c>
      <c r="AD48" s="98">
        <v>1</v>
      </c>
      <c r="AE48" s="98">
        <v>1</v>
      </c>
      <c r="AF48" s="98">
        <v>1</v>
      </c>
      <c r="AG48" s="98">
        <v>1</v>
      </c>
      <c r="AH48" s="98">
        <v>1</v>
      </c>
      <c r="AI48" s="98">
        <v>1</v>
      </c>
      <c r="AJ48" s="98">
        <v>1</v>
      </c>
      <c r="AK48" s="98">
        <v>1</v>
      </c>
      <c r="AL48" s="98">
        <v>1</v>
      </c>
      <c r="AM48" s="98">
        <v>1</v>
      </c>
      <c r="AN48" s="98">
        <v>0</v>
      </c>
      <c r="AO48" s="98">
        <v>0</v>
      </c>
      <c r="AP48" s="98">
        <v>0</v>
      </c>
      <c r="AQ48" s="98">
        <v>0</v>
      </c>
      <c r="AR48" s="98">
        <v>0</v>
      </c>
      <c r="AS48" s="98">
        <v>0</v>
      </c>
      <c r="AT48" s="98"/>
    </row>
    <row r="49" spans="1:46" ht="16" x14ac:dyDescent="0.25">
      <c r="A49" s="170" t="s">
        <v>54</v>
      </c>
      <c r="B49" s="98" t="s">
        <v>78</v>
      </c>
      <c r="C49" s="98" t="s">
        <v>31</v>
      </c>
      <c r="F49" s="98">
        <v>1</v>
      </c>
      <c r="G49" s="98">
        <v>1</v>
      </c>
      <c r="H49" s="98">
        <v>1</v>
      </c>
      <c r="I49" s="98">
        <v>1</v>
      </c>
      <c r="J49" s="98">
        <v>1</v>
      </c>
      <c r="K49" s="98">
        <v>1</v>
      </c>
      <c r="L49" s="98">
        <v>1</v>
      </c>
      <c r="M49" s="98">
        <v>1</v>
      </c>
      <c r="N49" s="98">
        <v>1</v>
      </c>
      <c r="O49" s="98">
        <v>1</v>
      </c>
      <c r="P49" s="98">
        <v>1</v>
      </c>
      <c r="Q49" s="98">
        <v>1</v>
      </c>
      <c r="R49" s="98">
        <v>1</v>
      </c>
      <c r="S49" s="98">
        <v>1</v>
      </c>
      <c r="T49" s="98">
        <v>1</v>
      </c>
      <c r="U49" s="98">
        <v>1</v>
      </c>
      <c r="V49" s="98">
        <v>1</v>
      </c>
      <c r="W49" s="98">
        <v>1</v>
      </c>
      <c r="X49" s="98">
        <v>1</v>
      </c>
      <c r="Y49" s="98">
        <v>1</v>
      </c>
      <c r="Z49" s="98">
        <v>1</v>
      </c>
      <c r="AA49" s="98">
        <v>1</v>
      </c>
      <c r="AB49" s="98">
        <v>1</v>
      </c>
      <c r="AC49" s="98">
        <v>1</v>
      </c>
      <c r="AD49" s="98">
        <v>1</v>
      </c>
      <c r="AE49" s="167">
        <v>1</v>
      </c>
      <c r="AF49" s="98">
        <v>1</v>
      </c>
      <c r="AG49" s="98">
        <v>1</v>
      </c>
      <c r="AH49" s="98">
        <v>1</v>
      </c>
      <c r="AI49" s="98">
        <v>1</v>
      </c>
      <c r="AJ49" s="98">
        <v>1</v>
      </c>
      <c r="AK49" s="98">
        <v>1</v>
      </c>
      <c r="AL49" s="98">
        <v>1</v>
      </c>
      <c r="AM49" s="98">
        <v>1</v>
      </c>
      <c r="AN49" s="98">
        <v>0</v>
      </c>
      <c r="AO49" s="98">
        <v>0</v>
      </c>
      <c r="AP49" s="98">
        <v>0</v>
      </c>
      <c r="AQ49" s="98">
        <v>0</v>
      </c>
      <c r="AR49" s="98">
        <v>0</v>
      </c>
      <c r="AS49" s="98">
        <v>0</v>
      </c>
      <c r="AT49" s="98"/>
    </row>
    <row r="50" spans="1:46" ht="16" x14ac:dyDescent="0.25">
      <c r="A50" s="171"/>
      <c r="C50" s="98" t="s">
        <v>19</v>
      </c>
      <c r="F50" s="98">
        <v>0</v>
      </c>
      <c r="G50" s="98">
        <v>1</v>
      </c>
      <c r="H50" s="98">
        <v>1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1</v>
      </c>
      <c r="O50" s="98">
        <v>1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1</v>
      </c>
      <c r="V50" s="98">
        <v>1</v>
      </c>
      <c r="W50" s="98">
        <v>0</v>
      </c>
      <c r="X50" s="98">
        <v>0</v>
      </c>
      <c r="Y50" s="98">
        <v>0</v>
      </c>
      <c r="Z50" s="98">
        <v>0</v>
      </c>
      <c r="AA50" s="98">
        <v>0</v>
      </c>
      <c r="AB50" s="98">
        <v>1</v>
      </c>
      <c r="AC50" s="98">
        <v>1</v>
      </c>
      <c r="AD50" s="98">
        <v>0</v>
      </c>
      <c r="AE50" s="98">
        <v>0</v>
      </c>
      <c r="AF50" s="98">
        <v>0</v>
      </c>
      <c r="AG50" s="98">
        <v>0</v>
      </c>
      <c r="AH50" s="98">
        <v>0</v>
      </c>
      <c r="AI50" s="98">
        <v>1</v>
      </c>
      <c r="AJ50" s="98">
        <v>1</v>
      </c>
      <c r="AK50" s="98">
        <v>0</v>
      </c>
      <c r="AL50" s="98">
        <v>0</v>
      </c>
      <c r="AM50" s="98">
        <v>0</v>
      </c>
      <c r="AN50" s="98">
        <v>0</v>
      </c>
      <c r="AO50" s="98">
        <v>0</v>
      </c>
      <c r="AP50" s="98">
        <v>0</v>
      </c>
      <c r="AQ50" s="98">
        <v>0</v>
      </c>
      <c r="AR50" s="98">
        <v>0</v>
      </c>
      <c r="AS50" s="98">
        <v>0</v>
      </c>
      <c r="AT50" s="98"/>
    </row>
    <row r="51" spans="1:46" ht="16" x14ac:dyDescent="0.25">
      <c r="A51" s="172"/>
      <c r="C51" s="98" t="s">
        <v>57</v>
      </c>
      <c r="F51" s="98">
        <v>0</v>
      </c>
      <c r="G51" s="98">
        <v>3</v>
      </c>
      <c r="H51" s="98">
        <v>3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3</v>
      </c>
      <c r="O51" s="98">
        <v>3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3</v>
      </c>
      <c r="V51" s="98">
        <v>3</v>
      </c>
      <c r="W51" s="98">
        <v>0</v>
      </c>
      <c r="X51" s="98">
        <v>0</v>
      </c>
      <c r="Y51" s="98">
        <v>0</v>
      </c>
      <c r="Z51" s="98">
        <v>0</v>
      </c>
      <c r="AA51" s="98">
        <v>0</v>
      </c>
      <c r="AB51" s="98">
        <v>3</v>
      </c>
      <c r="AC51" s="98">
        <v>3</v>
      </c>
      <c r="AD51" s="98">
        <v>0</v>
      </c>
      <c r="AE51" s="173">
        <v>0</v>
      </c>
      <c r="AF51" s="98">
        <v>0</v>
      </c>
      <c r="AG51" s="98">
        <v>0</v>
      </c>
      <c r="AH51" s="98">
        <v>0</v>
      </c>
      <c r="AI51" s="98">
        <v>3</v>
      </c>
      <c r="AJ51" s="98">
        <v>3</v>
      </c>
      <c r="AK51" s="98">
        <v>0</v>
      </c>
      <c r="AL51" s="98">
        <v>0</v>
      </c>
      <c r="AM51" s="98">
        <v>0</v>
      </c>
      <c r="AN51" s="98">
        <v>0</v>
      </c>
      <c r="AO51" s="98">
        <v>0</v>
      </c>
      <c r="AP51" s="98">
        <v>0</v>
      </c>
      <c r="AQ51" s="98">
        <v>0</v>
      </c>
      <c r="AR51" s="98">
        <v>0</v>
      </c>
      <c r="AS51" s="98">
        <v>0</v>
      </c>
      <c r="AT51" s="98"/>
    </row>
    <row r="52" spans="1:46" ht="16" x14ac:dyDescent="0.25">
      <c r="A52" s="163"/>
      <c r="B52" s="174"/>
      <c r="C52" s="98" t="s">
        <v>53</v>
      </c>
      <c r="F52" s="98">
        <v>1</v>
      </c>
      <c r="G52" s="98">
        <v>1</v>
      </c>
      <c r="H52" s="98">
        <v>1</v>
      </c>
      <c r="I52" s="98">
        <v>1</v>
      </c>
      <c r="J52" s="98">
        <v>1</v>
      </c>
      <c r="K52" s="98">
        <v>1</v>
      </c>
      <c r="L52" s="98">
        <v>1</v>
      </c>
      <c r="M52" s="98">
        <v>1</v>
      </c>
      <c r="N52" s="98">
        <v>1</v>
      </c>
      <c r="O52" s="98">
        <v>1</v>
      </c>
      <c r="P52" s="98">
        <v>1</v>
      </c>
      <c r="Q52" s="98">
        <v>1</v>
      </c>
      <c r="R52" s="98">
        <v>1</v>
      </c>
      <c r="S52" s="98">
        <v>1</v>
      </c>
      <c r="T52" s="98">
        <v>1</v>
      </c>
      <c r="U52" s="98">
        <v>1</v>
      </c>
      <c r="V52" s="98">
        <v>1</v>
      </c>
      <c r="W52" s="98">
        <v>1</v>
      </c>
      <c r="X52" s="98">
        <v>1</v>
      </c>
      <c r="Y52" s="98">
        <v>1</v>
      </c>
      <c r="Z52" s="98">
        <v>1</v>
      </c>
      <c r="AA52" s="98">
        <v>1</v>
      </c>
      <c r="AB52" s="98">
        <v>1</v>
      </c>
      <c r="AC52" s="98">
        <v>1</v>
      </c>
      <c r="AD52" s="98">
        <v>1</v>
      </c>
      <c r="AE52" s="98">
        <v>1</v>
      </c>
      <c r="AF52" s="98">
        <v>1</v>
      </c>
      <c r="AG52" s="98">
        <v>1</v>
      </c>
      <c r="AH52" s="98">
        <v>1</v>
      </c>
      <c r="AI52" s="98">
        <v>1</v>
      </c>
      <c r="AJ52" s="98">
        <v>1</v>
      </c>
      <c r="AK52" s="98">
        <v>1</v>
      </c>
      <c r="AL52" s="98">
        <v>1</v>
      </c>
      <c r="AM52" s="98">
        <v>1</v>
      </c>
      <c r="AN52" s="98">
        <v>0</v>
      </c>
      <c r="AO52" s="98">
        <v>0</v>
      </c>
      <c r="AP52" s="98">
        <v>0</v>
      </c>
      <c r="AQ52" s="98">
        <v>0</v>
      </c>
      <c r="AR52" s="98">
        <v>0</v>
      </c>
      <c r="AS52" s="98">
        <v>0</v>
      </c>
    </row>
    <row r="54" spans="1:46" ht="16" x14ac:dyDescent="0.25">
      <c r="A54" s="175" t="s">
        <v>59</v>
      </c>
      <c r="B54" s="176" t="s">
        <v>60</v>
      </c>
      <c r="F54" s="206"/>
    </row>
    <row r="55" spans="1:46" ht="16" x14ac:dyDescent="0.25">
      <c r="A55" s="177" t="s">
        <v>30</v>
      </c>
      <c r="B55" s="178" t="s">
        <v>64</v>
      </c>
      <c r="F55" s="207"/>
    </row>
    <row r="56" spans="1:46" ht="16" x14ac:dyDescent="0.25">
      <c r="A56" s="179" t="s">
        <v>34</v>
      </c>
      <c r="B56" s="180" t="s">
        <v>65</v>
      </c>
    </row>
    <row r="57" spans="1:46" ht="16" x14ac:dyDescent="0.25">
      <c r="A57" s="177" t="s">
        <v>32</v>
      </c>
      <c r="B57" s="178" t="s">
        <v>75</v>
      </c>
    </row>
    <row r="58" spans="1:46" ht="16" x14ac:dyDescent="0.25">
      <c r="A58" s="179" t="s">
        <v>29</v>
      </c>
      <c r="B58" s="180" t="s">
        <v>66</v>
      </c>
    </row>
    <row r="59" spans="1:46" ht="16" x14ac:dyDescent="0.25">
      <c r="A59" s="177" t="s">
        <v>31</v>
      </c>
      <c r="B59" s="178" t="s">
        <v>67</v>
      </c>
    </row>
    <row r="60" spans="1:46" ht="68" x14ac:dyDescent="0.25">
      <c r="A60" s="179" t="s">
        <v>19</v>
      </c>
      <c r="B60" s="181" t="s">
        <v>61</v>
      </c>
    </row>
    <row r="61" spans="1:46" ht="51" x14ac:dyDescent="0.25">
      <c r="A61" s="177" t="s">
        <v>20</v>
      </c>
      <c r="B61" s="182" t="s">
        <v>68</v>
      </c>
    </row>
    <row r="62" spans="1:46" ht="51" x14ac:dyDescent="0.25">
      <c r="A62" s="179" t="s">
        <v>21</v>
      </c>
      <c r="B62" s="181" t="s">
        <v>62</v>
      </c>
    </row>
    <row r="63" spans="1:46" ht="17" x14ac:dyDescent="0.25">
      <c r="A63" s="183" t="s">
        <v>22</v>
      </c>
      <c r="B63" s="184" t="s">
        <v>69</v>
      </c>
    </row>
    <row r="64" spans="1:46" ht="16" x14ac:dyDescent="0.25">
      <c r="B64" s="98" t="s">
        <v>89</v>
      </c>
    </row>
    <row r="66" spans="5:15" ht="16" x14ac:dyDescent="0.25">
      <c r="E66" s="136" t="s">
        <v>83</v>
      </c>
      <c r="F66" s="189" t="s">
        <v>77</v>
      </c>
      <c r="I66" s="191" t="s">
        <v>30</v>
      </c>
      <c r="J66" s="191" t="s">
        <v>34</v>
      </c>
      <c r="K66" s="191" t="s">
        <v>32</v>
      </c>
      <c r="L66" s="192" t="s">
        <v>29</v>
      </c>
      <c r="M66" s="192" t="s">
        <v>31</v>
      </c>
      <c r="N66" s="193" t="s">
        <v>19</v>
      </c>
      <c r="O66" s="195" t="s">
        <v>89</v>
      </c>
    </row>
    <row r="67" spans="5:15" ht="16" x14ac:dyDescent="0.25">
      <c r="E67" s="194" t="s">
        <v>85</v>
      </c>
      <c r="F67" s="190" t="s">
        <v>86</v>
      </c>
    </row>
    <row r="68" spans="5:15" x14ac:dyDescent="0.2">
      <c r="E68" s="197" t="s">
        <v>90</v>
      </c>
    </row>
  </sheetData>
  <mergeCells count="1">
    <mergeCell ref="BD3:BG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038F07-8039-4E42-9123-7308C54C9E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Lookup Data</vt:lpstr>
      <vt:lpstr>Index</vt:lpstr>
      <vt:lpstr>Month</vt:lpstr>
      <vt:lpstr>Month-1</vt:lpstr>
      <vt:lpstr>Infopedia</vt:lpstr>
      <vt:lpstr>Jan 26</vt:lpstr>
      <vt:lpstr>Dec 25</vt:lpstr>
      <vt:lpstr>Nov 25</vt:lpstr>
      <vt:lpstr>Oct 25</vt:lpstr>
      <vt:lpstr>Sep 25</vt:lpstr>
      <vt:lpstr>Aug 25</vt:lpstr>
      <vt:lpstr>Infopedia!ExternalData_2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Ong</dc:creator>
  <cp:lastModifiedBy>Aletheia Chia</cp:lastModifiedBy>
  <dcterms:created xsi:type="dcterms:W3CDTF">2022-07-16T01:34:00Z</dcterms:created>
  <dcterms:modified xsi:type="dcterms:W3CDTF">2026-07-03T00:53:40Z</dcterms:modified>
</cp:coreProperties>
</file>